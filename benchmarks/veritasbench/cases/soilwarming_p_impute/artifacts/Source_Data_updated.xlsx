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tian/Library/Mobile Documents/com~apple~CloudDocs/Science/PhD/Achenkich/1. P-MS/Manuscript/5. Final version/Submitted version_new/"/>
    </mc:Choice>
  </mc:AlternateContent>
  <xr:revisionPtr revIDLastSave="0" documentId="13_ncr:1_{E7194310-16D9-A54E-8D44-BD1A83BC46CF}" xr6:coauthVersionLast="47" xr6:coauthVersionMax="47" xr10:uidLastSave="{00000000-0000-0000-0000-000000000000}"/>
  <bookViews>
    <workbookView xWindow="0" yWindow="500" windowWidth="26480" windowHeight="21900" xr2:uid="{697D56E6-4C8F-664F-B6C7-01FA1CA04CD2}"/>
  </bookViews>
  <sheets>
    <sheet name="Mastersheet" sheetId="1" r:id="rId1"/>
    <sheet name="Fig2_PCA_data" sheetId="2" r:id="rId2"/>
    <sheet name="Fig2_PCA_group" sheetId="3" r:id="rId3"/>
    <sheet name="Fig2_PCA_property" sheetId="4" r:id="rId4"/>
    <sheet name="Fig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<sst xmlns="http://schemas.openxmlformats.org/spreadsheetml/2006/main" count="1494" uniqueCount="170">
  <si>
    <t>pH</t>
  </si>
  <si>
    <t>SWC</t>
  </si>
  <si>
    <t>AP</t>
  </si>
  <si>
    <t>TN</t>
  </si>
  <si>
    <t>TP</t>
  </si>
  <si>
    <t>TIP</t>
  </si>
  <si>
    <t>TOP</t>
  </si>
  <si>
    <t>MBC</t>
  </si>
  <si>
    <t>MBN</t>
  </si>
  <si>
    <t>MBP</t>
  </si>
  <si>
    <t>Fe_oxalate</t>
  </si>
  <si>
    <t>Mn_oxalate</t>
  </si>
  <si>
    <t>Al_oxalate</t>
  </si>
  <si>
    <t>Fe_dithionite</t>
  </si>
  <si>
    <t>Mn_dithionite</t>
  </si>
  <si>
    <t>Fe_crystalline</t>
  </si>
  <si>
    <t>sand</t>
  </si>
  <si>
    <t>silt</t>
  </si>
  <si>
    <t>clay</t>
  </si>
  <si>
    <t>eNa</t>
  </si>
  <si>
    <t>eK</t>
  </si>
  <si>
    <t>eCa</t>
  </si>
  <si>
    <t>eMg</t>
  </si>
  <si>
    <t>eMn</t>
  </si>
  <si>
    <t>CEC</t>
  </si>
  <si>
    <t>Kaolinite</t>
  </si>
  <si>
    <t>Illite</t>
  </si>
  <si>
    <t>Treatment</t>
  </si>
  <si>
    <t>Start</t>
  </si>
  <si>
    <t>Duration</t>
  </si>
  <si>
    <t>Warming</t>
  </si>
  <si>
    <t>Depth</t>
  </si>
  <si>
    <t>Block</t>
  </si>
  <si>
    <t>Season</t>
  </si>
  <si>
    <t>P1H10-I</t>
  </si>
  <si>
    <t>warmed</t>
  </si>
  <si>
    <t>May</t>
  </si>
  <si>
    <t>P1H20-I</t>
  </si>
  <si>
    <t>P2H10-I</t>
  </si>
  <si>
    <t>P2H20-I</t>
  </si>
  <si>
    <t>P3H10-I</t>
  </si>
  <si>
    <t>P3H20-I</t>
  </si>
  <si>
    <t>P4H10-I</t>
  </si>
  <si>
    <t>P4H20-I</t>
  </si>
  <si>
    <t>P5H10-I</t>
  </si>
  <si>
    <t>P5H20-I</t>
  </si>
  <si>
    <t>P6H10-I</t>
  </si>
  <si>
    <t>P6H20-I</t>
  </si>
  <si>
    <t>P1C10-I</t>
  </si>
  <si>
    <t>control</t>
  </si>
  <si>
    <t>P1C20-I</t>
  </si>
  <si>
    <t>P2C10-I</t>
  </si>
  <si>
    <t>P2C20-I</t>
  </si>
  <si>
    <t>P3C10-I</t>
  </si>
  <si>
    <t>P3C20-I</t>
  </si>
  <si>
    <t>P4C10-I</t>
  </si>
  <si>
    <t>P4C20-I</t>
  </si>
  <si>
    <t>P5C10-I</t>
  </si>
  <si>
    <t>P5C20-I</t>
  </si>
  <si>
    <t>P6C10-I</t>
  </si>
  <si>
    <t>P6C20-I</t>
  </si>
  <si>
    <t>P1H10-II</t>
  </si>
  <si>
    <t>Aug</t>
  </si>
  <si>
    <t>P1H20-II</t>
  </si>
  <si>
    <t>P2H10-II</t>
  </si>
  <si>
    <t>P2H20-II</t>
  </si>
  <si>
    <t>P3H10-II</t>
  </si>
  <si>
    <t>P3H20-II</t>
  </si>
  <si>
    <t>P4H10-II</t>
  </si>
  <si>
    <t>P4H20-II</t>
  </si>
  <si>
    <t>P5H10-II</t>
  </si>
  <si>
    <t>P5H20-II</t>
  </si>
  <si>
    <t>P6H10-II</t>
  </si>
  <si>
    <t>P6H20-II</t>
  </si>
  <si>
    <t>P1C10-II</t>
  </si>
  <si>
    <t>P1C20-II</t>
  </si>
  <si>
    <t>P2C10-II</t>
  </si>
  <si>
    <t>P2C20-II</t>
  </si>
  <si>
    <t>P3C10-II</t>
  </si>
  <si>
    <t>P3C20-II</t>
  </si>
  <si>
    <t>P4C10-II</t>
  </si>
  <si>
    <t>P4C20-II</t>
  </si>
  <si>
    <t>P5C10-II</t>
  </si>
  <si>
    <t>P5C20-II</t>
  </si>
  <si>
    <t>P6C10-II</t>
  </si>
  <si>
    <t>P6C20-II</t>
  </si>
  <si>
    <t>P1H10-III</t>
  </si>
  <si>
    <t>Oct</t>
  </si>
  <si>
    <t>P1H20-III</t>
  </si>
  <si>
    <t>P2H10-III</t>
  </si>
  <si>
    <t>P2H20-III</t>
  </si>
  <si>
    <t>P3H10-III</t>
  </si>
  <si>
    <t>P3H20-III</t>
  </si>
  <si>
    <t>P4H10-III</t>
  </si>
  <si>
    <t>P4H20-III</t>
  </si>
  <si>
    <t>P5H10-III</t>
  </si>
  <si>
    <t>P5H20-III</t>
  </si>
  <si>
    <t>P6H10-III</t>
  </si>
  <si>
    <t>P6H20-III</t>
  </si>
  <si>
    <t>P1C10-III</t>
  </si>
  <si>
    <t>P1C20-III</t>
  </si>
  <si>
    <t>P2C10-III</t>
  </si>
  <si>
    <t>P2C20-III</t>
  </si>
  <si>
    <t>P3C10-III</t>
  </si>
  <si>
    <t>P3C20-III</t>
  </si>
  <si>
    <t>P4C10-III</t>
  </si>
  <si>
    <t>P4C20-III</t>
  </si>
  <si>
    <t>P5C10-III</t>
  </si>
  <si>
    <t>P5C20-III</t>
  </si>
  <si>
    <t>P6C10-III</t>
  </si>
  <si>
    <t>P6C20-III</t>
  </si>
  <si>
    <t>SOC</t>
  </si>
  <si>
    <t>OlsenP</t>
  </si>
  <si>
    <t>OlsenPi</t>
  </si>
  <si>
    <t>OlsenPo</t>
  </si>
  <si>
    <t>abiotic_immobilization</t>
  </si>
  <si>
    <t>total_immobilization</t>
  </si>
  <si>
    <t>biotic_immobilization</t>
  </si>
  <si>
    <t>gross_P_mobilization</t>
  </si>
  <si>
    <t>gross_P_immobilization</t>
  </si>
  <si>
    <t>Chlorite_mixed_layer</t>
  </si>
  <si>
    <t>Total soil P</t>
  </si>
  <si>
    <t>Microbial biomass P</t>
  </si>
  <si>
    <t>Net abiotic Pi immobilization</t>
  </si>
  <si>
    <t>Net biotic Pi immobilization</t>
  </si>
  <si>
    <t>Gross Pi mobilization</t>
  </si>
  <si>
    <t>Dithionite extracted Fe</t>
  </si>
  <si>
    <t>Soil sand content</t>
  </si>
  <si>
    <t>Soil clay content</t>
  </si>
  <si>
    <t>Exchangeable Ca++</t>
  </si>
  <si>
    <t>P1H10</t>
  </si>
  <si>
    <t>P1H20</t>
  </si>
  <si>
    <t>P2H10</t>
  </si>
  <si>
    <t>P2H20</t>
  </si>
  <si>
    <t>P3H10</t>
  </si>
  <si>
    <t>P3H20</t>
  </si>
  <si>
    <t>P4H10</t>
  </si>
  <si>
    <t>P4H20</t>
  </si>
  <si>
    <t>P5H10</t>
  </si>
  <si>
    <t>P5H20</t>
  </si>
  <si>
    <t>P6H10</t>
  </si>
  <si>
    <t>P6H20</t>
  </si>
  <si>
    <t>P1C10</t>
  </si>
  <si>
    <t>P1C20</t>
  </si>
  <si>
    <t>P2C10</t>
  </si>
  <si>
    <t>P2C20</t>
  </si>
  <si>
    <t>P3C10</t>
  </si>
  <si>
    <t>P3C20</t>
  </si>
  <si>
    <t>P4C10</t>
  </si>
  <si>
    <t>P4C20</t>
  </si>
  <si>
    <t>P5C10</t>
  </si>
  <si>
    <t>P5C20</t>
  </si>
  <si>
    <t>P6C10</t>
  </si>
  <si>
    <t>P6C20</t>
  </si>
  <si>
    <t>Parameters</t>
  </si>
  <si>
    <t>group</t>
  </si>
  <si>
    <t>Soil P pools</t>
  </si>
  <si>
    <t>Soil P processes</t>
  </si>
  <si>
    <t>Soil metal</t>
  </si>
  <si>
    <t>Soil texture</t>
  </si>
  <si>
    <t>Code</t>
  </si>
  <si>
    <t>H10-I</t>
  </si>
  <si>
    <t>H20-I</t>
  </si>
  <si>
    <t>C10-I</t>
  </si>
  <si>
    <t>C20-I</t>
  </si>
  <si>
    <t>TDP</t>
  </si>
  <si>
    <t>abio_immobi</t>
  </si>
  <si>
    <t>MBP_seasonal</t>
  </si>
  <si>
    <t>TP_seasonal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</si>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</sst>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</cellXfs>
  <cellStyles count="4">
    <cellStyle name="Neutral 2" xfId="2" xr:uid="{2D1CD8BE-812B-0145-9A86-871B7B95A861}"/>
    <cellStyle name="Normal" xfId="0" builtinId="0"/>
    <cellStyle name="Normal 2" xfId="1" xr:uid="{CECB58FC-84D9-6A49-B671-0E51EC357E0D}"/>
    <cellStyle name="Note 2" xfId="3" xr:uid="{0CE8BCD1-1C4B-404E-986C-77516BA80F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CCD9-1F07-F243-99BB-1BD7E86BFE8D}">
  <dimension ref="A1:AR73"/>
  <sheetViews>
    <sheetView tabSelected="1" workbookViewId="0">
      <selection activeCell="N16" sqref="N16"/>
    </sheetView>
  </sheetViews>
  <sheetFormatPr baseColWidth="10" defaultRowHeight="16" x14ac:dyDescent="0.2"/>
  <sheetData>
    <row r="1" spans="1:44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0</v>
      </c>
      <c r="I1" t="s">
        <v>1</v>
      </c>
      <c r="J1" t="s">
        <v>2</v>
      </c>
      <c r="K1" t="s">
        <v>111</v>
      </c>
      <c r="L1" t="s">
        <v>3</v>
      </c>
      <c r="M1" t="s">
        <v>4</v>
      </c>
      <c r="N1" t="s">
        <v>5</v>
      </c>
      <c r="O1" t="s">
        <v>6</v>
      </c>
      <c r="P1" t="s">
        <v>112</v>
      </c>
      <c r="Q1" t="s">
        <v>113</v>
      </c>
      <c r="R1" t="s">
        <v>114</v>
      </c>
      <c r="S1" t="s">
        <v>7</v>
      </c>
      <c r="T1" t="s">
        <v>8</v>
      </c>
      <c r="U1" t="s">
        <v>9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120</v>
      </c>
    </row>
    <row r="2" spans="1:44" x14ac:dyDescent="0.2">
      <c r="A2" t="s">
        <v>34</v>
      </c>
      <c r="B2">
        <v>2005</v>
      </c>
      <c r="C2">
        <v>14</v>
      </c>
      <c r="D2" t="s">
        <v>35</v>
      </c>
      <c r="E2">
        <v>10</v>
      </c>
      <c r="F2">
        <v>1</v>
      </c>
      <c r="G2" t="s">
        <v>36</v>
      </c>
      <c r="H2" s="1">
        <v>6.6050000000000004</v>
      </c>
      <c r="I2" s="1">
        <v>0.81951770911831245</v>
      </c>
      <c r="J2" s="1">
        <v>1332.2092802988298</v>
      </c>
      <c r="K2" s="1">
        <v>115.03753085823024</v>
      </c>
      <c r="L2" s="1">
        <v>7.3499532674193553</v>
      </c>
      <c r="M2" s="1">
        <v>0.70363695750437594</v>
      </c>
      <c r="N2" s="1">
        <v>85.357833238843781</v>
      </c>
      <c r="O2" s="1">
        <v>618.27912426553223</v>
      </c>
      <c r="P2" s="1">
        <v>5.4265283612696189</v>
      </c>
      <c r="Q2" s="1">
        <v>3.7411943845796167</v>
      </c>
      <c r="R2" s="1">
        <v>1.6853339766900026</v>
      </c>
      <c r="S2" s="1">
        <v>2638.7893971937524</v>
      </c>
      <c r="T2" s="1">
        <v>463.54307626361469</v>
      </c>
      <c r="U2" s="1">
        <v>46.620241875874008</v>
      </c>
      <c r="V2" s="1">
        <v>78.016066636455378</v>
      </c>
      <c r="W2" s="1">
        <v>94.207102416707997</v>
      </c>
      <c r="X2" s="1">
        <v>16.191035780252619</v>
      </c>
      <c r="Y2" s="1">
        <v>0.36289096268651883</v>
      </c>
      <c r="Z2" s="1">
        <v>0.5103238500417917</v>
      </c>
      <c r="AA2" s="1">
        <v>1.2974051896207586</v>
      </c>
      <c r="AB2" s="1">
        <v>0.12425149700598803</v>
      </c>
      <c r="AC2" s="1">
        <v>1.0129740518962078</v>
      </c>
      <c r="AD2" s="1">
        <v>5.0490196078431371</v>
      </c>
      <c r="AE2" s="1">
        <v>0.166421568627451</v>
      </c>
      <c r="AF2" s="1">
        <v>3.7516144182223785</v>
      </c>
      <c r="AG2" s="2">
        <v>13</v>
      </c>
      <c r="AH2" s="2">
        <v>56.6</v>
      </c>
      <c r="AI2" s="2">
        <v>30.4</v>
      </c>
      <c r="AJ2" s="1">
        <v>0.77604842196281876</v>
      </c>
      <c r="AK2" s="1">
        <v>2.2189796800691739</v>
      </c>
      <c r="AL2" s="1">
        <v>474.89228806004263</v>
      </c>
      <c r="AM2" s="1">
        <v>206.18099339261633</v>
      </c>
      <c r="AN2" s="1">
        <v>0.26696930393428447</v>
      </c>
      <c r="AO2" s="1">
        <v>684.37851275399919</v>
      </c>
      <c r="AP2" s="2">
        <v>52</v>
      </c>
      <c r="AQ2" s="2">
        <v>13</v>
      </c>
      <c r="AR2" s="2">
        <v>35</v>
      </c>
    </row>
    <row r="3" spans="1:44" x14ac:dyDescent="0.2">
      <c r="A3" t="s">
        <v>37</v>
      </c>
      <c r="B3">
        <v>2005</v>
      </c>
      <c r="C3">
        <v>14</v>
      </c>
      <c r="D3" t="s">
        <v>35</v>
      </c>
      <c r="E3">
        <v>20</v>
      </c>
      <c r="F3">
        <v>1</v>
      </c>
      <c r="G3" t="s">
        <v>36</v>
      </c>
      <c r="H3" s="1">
        <v>5.8250000000000002</v>
      </c>
      <c r="I3" s="1">
        <v>0.54119496855345917</v>
      </c>
      <c r="J3" s="1">
        <v>409.660776980918</v>
      </c>
      <c r="K3" s="1">
        <v>55.651825917284697</v>
      </c>
      <c r="L3" s="1">
        <v>3.8092151345241749</v>
      </c>
      <c r="M3" s="1">
        <v>0.47824205061237507</v>
      </c>
      <c r="N3" s="1">
        <v>38.507703957719116</v>
      </c>
      <c r="O3" s="1">
        <v>439.73434665465595</v>
      </c>
      <c r="P3" s="1">
        <v>2.4064539396163833</v>
      </c>
      <c r="Q3" s="1">
        <v>1.5791019191244349</v>
      </c>
      <c r="R3" s="1">
        <v>0.82735202049194823</v>
      </c>
      <c r="S3" s="1">
        <v>1391.9606269342119</v>
      </c>
      <c r="T3" s="1">
        <v>231.48828115670034</v>
      </c>
      <c r="U3" s="1">
        <v>22.20854445485357</v>
      </c>
      <c r="V3" s="1">
        <v>75.889918998525843</v>
      </c>
      <c r="W3" s="1">
        <v>92.032349031515878</v>
      </c>
      <c r="X3" s="1">
        <v>16.142430032990042</v>
      </c>
      <c r="Y3" s="1">
        <v>0.12575758210626037</v>
      </c>
      <c r="Z3" s="1">
        <v>0.24498289537763338</v>
      </c>
      <c r="AA3" s="1">
        <v>1.2401185770750989</v>
      </c>
      <c r="AB3" s="1">
        <v>0.11462450592885375</v>
      </c>
      <c r="AC3" s="1">
        <v>0.98320158102766786</v>
      </c>
      <c r="AD3" s="1">
        <v>5.2411417322834648</v>
      </c>
      <c r="AE3" s="1">
        <v>0.16264763779527561</v>
      </c>
      <c r="AF3" s="1">
        <v>4.0010231552083662</v>
      </c>
      <c r="AG3" s="2">
        <v>12.4</v>
      </c>
      <c r="AH3" s="2">
        <v>47.4</v>
      </c>
      <c r="AI3" s="2">
        <v>40.200000000000003</v>
      </c>
      <c r="AJ3" s="1">
        <v>0.48684768773865084</v>
      </c>
      <c r="AK3" s="1">
        <v>1.2420449724225708</v>
      </c>
      <c r="AL3" s="1">
        <v>325.99148526282369</v>
      </c>
      <c r="AM3" s="1">
        <v>142.8990535577108</v>
      </c>
      <c r="AN3" s="1">
        <v>4.5608824777259215E-2</v>
      </c>
      <c r="AO3" s="1">
        <v>470.71170980059384</v>
      </c>
      <c r="AP3" s="2">
        <v>54</v>
      </c>
      <c r="AQ3" s="2">
        <v>10</v>
      </c>
      <c r="AR3" s="2">
        <v>36</v>
      </c>
    </row>
    <row r="4" spans="1:44" x14ac:dyDescent="0.2">
      <c r="A4" t="s">
        <v>38</v>
      </c>
      <c r="B4">
        <v>2005</v>
      </c>
      <c r="C4">
        <v>14</v>
      </c>
      <c r="D4" t="s">
        <v>35</v>
      </c>
      <c r="E4">
        <v>10</v>
      </c>
      <c r="F4">
        <v>2</v>
      </c>
      <c r="G4" t="s">
        <v>36</v>
      </c>
      <c r="H4" s="1">
        <v>5.5750000000000002</v>
      </c>
      <c r="I4" s="1">
        <v>0.63610406091370586</v>
      </c>
      <c r="J4" s="1">
        <v>848.80875904045581</v>
      </c>
      <c r="K4" s="1">
        <v>82.31416451486524</v>
      </c>
      <c r="L4" s="1">
        <v>4.7910834749193558</v>
      </c>
      <c r="M4" s="1">
        <v>0.41450206523612904</v>
      </c>
      <c r="N4" s="1">
        <v>47.257369742273532</v>
      </c>
      <c r="O4" s="1">
        <v>367.24469549385555</v>
      </c>
      <c r="P4" s="1">
        <v>3.538306784498253</v>
      </c>
      <c r="Q4" s="1">
        <v>2.2887383682872349</v>
      </c>
      <c r="R4" s="1">
        <v>1.2495684162110179</v>
      </c>
      <c r="S4" s="1">
        <v>1405.1733279096145</v>
      </c>
      <c r="T4" s="1">
        <v>235.90829639284539</v>
      </c>
      <c r="U4" s="1">
        <v>24.521822657658479</v>
      </c>
      <c r="V4" s="1">
        <v>80.173475655304998</v>
      </c>
      <c r="W4" s="1">
        <v>93.27200631587597</v>
      </c>
      <c r="X4" s="1">
        <v>13.098530660570972</v>
      </c>
      <c r="Y4" s="1">
        <v>8.900090053771581E-2</v>
      </c>
      <c r="Z4" s="1">
        <v>0.17634597300265994</v>
      </c>
      <c r="AA4" s="1">
        <v>1.0841584158415842</v>
      </c>
      <c r="AB4" s="1">
        <v>8.7128712871287123E-2</v>
      </c>
      <c r="AC4" s="1">
        <v>0.95049504950495045</v>
      </c>
      <c r="AD4" s="1">
        <v>4.2652859960552272</v>
      </c>
      <c r="AE4" s="1">
        <v>0.11341222879684421</v>
      </c>
      <c r="AF4" s="1">
        <v>3.1811275802136429</v>
      </c>
      <c r="AG4" s="2">
        <v>7</v>
      </c>
      <c r="AH4" s="2">
        <v>60.4</v>
      </c>
      <c r="AI4" s="2">
        <v>32.6</v>
      </c>
      <c r="AJ4" s="1">
        <v>0.49973474801061002</v>
      </c>
      <c r="AK4" s="1">
        <v>1.5437665782493368</v>
      </c>
      <c r="AL4" s="1">
        <v>310.65122177832109</v>
      </c>
      <c r="AM4" s="1">
        <v>122.10633790337656</v>
      </c>
      <c r="AN4" s="1">
        <v>0.80742705570291773</v>
      </c>
      <c r="AO4" s="1">
        <v>435.66578249336879</v>
      </c>
      <c r="AP4" s="2">
        <v>55</v>
      </c>
      <c r="AQ4" s="2">
        <v>9</v>
      </c>
      <c r="AR4" s="2">
        <v>36</v>
      </c>
    </row>
    <row r="5" spans="1:44" x14ac:dyDescent="0.2">
      <c r="A5" t="s">
        <v>39</v>
      </c>
      <c r="B5">
        <v>2005</v>
      </c>
      <c r="C5">
        <v>14</v>
      </c>
      <c r="D5" t="s">
        <v>35</v>
      </c>
      <c r="E5">
        <v>20</v>
      </c>
      <c r="F5">
        <v>2</v>
      </c>
      <c r="G5" t="s">
        <v>36</v>
      </c>
      <c r="H5" s="1">
        <v>6.7249999999999996</v>
      </c>
      <c r="I5" s="1">
        <v>0.44737640279041579</v>
      </c>
      <c r="J5" s="1">
        <v>240.38146004534013</v>
      </c>
      <c r="K5" s="1">
        <v>44.453391234438008</v>
      </c>
      <c r="L5" s="1">
        <v>2.783988340721208</v>
      </c>
      <c r="M5" s="1">
        <v>0.31507068422532541</v>
      </c>
      <c r="N5" s="1">
        <v>44.565180732165011</v>
      </c>
      <c r="O5" s="1">
        <v>270.5055034931604</v>
      </c>
      <c r="P5" s="1">
        <v>2.0257119726540922</v>
      </c>
      <c r="Q5" s="1">
        <v>0.85249625703531251</v>
      </c>
      <c r="R5" s="1">
        <v>1.1732157156187797</v>
      </c>
      <c r="S5" s="1">
        <v>553.041486857275</v>
      </c>
      <c r="T5" s="1">
        <v>135.40743661214722</v>
      </c>
      <c r="U5" s="1">
        <v>13.824710258796339</v>
      </c>
      <c r="V5" s="1">
        <v>81.332482768712083</v>
      </c>
      <c r="W5" s="1">
        <v>91.09672783059365</v>
      </c>
      <c r="X5" s="1">
        <v>9.7642450618815744</v>
      </c>
      <c r="Y5" s="1">
        <v>0.12396640342900909</v>
      </c>
      <c r="Z5" s="1">
        <v>0.17073428312430025</v>
      </c>
      <c r="AA5" s="1">
        <v>1.1045364891518736</v>
      </c>
      <c r="AB5" s="1">
        <v>7.9881656804733733E-2</v>
      </c>
      <c r="AC5" s="1">
        <v>0.94674556213017746</v>
      </c>
      <c r="AD5" s="1">
        <v>4.5250000000000004</v>
      </c>
      <c r="AE5" s="1">
        <v>0.10300000000000001</v>
      </c>
      <c r="AF5" s="1">
        <v>3.4204635108481267</v>
      </c>
      <c r="AG5" s="2">
        <v>7.1</v>
      </c>
      <c r="AH5" s="2">
        <v>57.5</v>
      </c>
      <c r="AI5" s="2">
        <v>35.4</v>
      </c>
      <c r="AJ5" s="1">
        <v>0.47149007665651593</v>
      </c>
      <c r="AK5" s="1">
        <v>0.99233434841961565</v>
      </c>
      <c r="AL5" s="1">
        <v>238.86035362877251</v>
      </c>
      <c r="AM5" s="1">
        <v>102.6349734740313</v>
      </c>
      <c r="AN5" s="1">
        <v>0.19426651265357556</v>
      </c>
      <c r="AO5" s="1">
        <v>343.21642339598878</v>
      </c>
      <c r="AP5" s="2">
        <v>55</v>
      </c>
      <c r="AQ5" s="2">
        <v>8</v>
      </c>
      <c r="AR5" s="2">
        <v>37</v>
      </c>
    </row>
    <row r="6" spans="1:44" x14ac:dyDescent="0.2">
      <c r="A6" t="s">
        <v>40</v>
      </c>
      <c r="B6">
        <v>2005</v>
      </c>
      <c r="C6">
        <v>14</v>
      </c>
      <c r="D6" t="s">
        <v>35</v>
      </c>
      <c r="E6">
        <v>10</v>
      </c>
      <c r="F6">
        <v>3</v>
      </c>
      <c r="G6" t="s">
        <v>36</v>
      </c>
      <c r="H6" s="1">
        <v>6.6550000000000002</v>
      </c>
      <c r="I6" s="1">
        <v>1.0464447358402773</v>
      </c>
      <c r="J6" s="1">
        <v>1206.454611154177</v>
      </c>
      <c r="K6" s="1">
        <v>132.38094882999857</v>
      </c>
      <c r="L6" s="1">
        <v>7.1459467931754439</v>
      </c>
      <c r="M6" s="1">
        <v>0.47158511792560315</v>
      </c>
      <c r="N6" s="1">
        <v>64.370629065856747</v>
      </c>
      <c r="O6" s="1">
        <v>407.21448885974638</v>
      </c>
      <c r="P6" s="1">
        <v>3.3603507600683482</v>
      </c>
      <c r="Q6" s="1">
        <v>2.1612507170295876</v>
      </c>
      <c r="R6" s="1">
        <v>1.1991000430387606</v>
      </c>
      <c r="S6" s="1">
        <v>1051.5387698210977</v>
      </c>
      <c r="T6" s="1">
        <v>265.20798754539646</v>
      </c>
      <c r="U6" s="1">
        <v>57.132038423340681</v>
      </c>
      <c r="V6" s="1">
        <v>79.433128433014488</v>
      </c>
      <c r="W6" s="1">
        <v>92.909577770638663</v>
      </c>
      <c r="X6" s="1">
        <v>13.476449337624175</v>
      </c>
      <c r="Y6" s="1">
        <v>0.2358115754645051</v>
      </c>
      <c r="Z6" s="1">
        <v>0.25248647242607303</v>
      </c>
      <c r="AA6" s="1">
        <v>0.97804391217564879</v>
      </c>
      <c r="AB6" s="1">
        <v>4.9101796407185629E-2</v>
      </c>
      <c r="AC6" s="1">
        <v>0.84331337325349298</v>
      </c>
      <c r="AD6" s="1">
        <v>4.0668662674650697</v>
      </c>
      <c r="AE6" s="1">
        <v>6.6367265469061881E-2</v>
      </c>
      <c r="AF6" s="1">
        <v>3.088822355289421</v>
      </c>
      <c r="AG6" s="2">
        <v>7.7</v>
      </c>
      <c r="AH6" s="2">
        <v>64</v>
      </c>
      <c r="AI6" s="2">
        <v>28.3</v>
      </c>
      <c r="AJ6" s="1">
        <v>0.64879812805786008</v>
      </c>
      <c r="AK6" s="1">
        <v>1.3965113805573284</v>
      </c>
      <c r="AL6" s="1">
        <v>346.8257185520215</v>
      </c>
      <c r="AM6" s="1">
        <v>142.40742333268389</v>
      </c>
      <c r="AN6" s="1">
        <v>0.31482663263135502</v>
      </c>
      <c r="AO6" s="1">
        <v>491.63794937247394</v>
      </c>
      <c r="AP6" s="2">
        <v>51</v>
      </c>
      <c r="AQ6" s="2">
        <v>8</v>
      </c>
      <c r="AR6" s="2">
        <v>41</v>
      </c>
    </row>
    <row r="7" spans="1:44" x14ac:dyDescent="0.2">
      <c r="A7" t="s">
        <v>41</v>
      </c>
      <c r="B7">
        <v>2005</v>
      </c>
      <c r="C7">
        <v>14</v>
      </c>
      <c r="D7" t="s">
        <v>35</v>
      </c>
      <c r="E7">
        <v>20</v>
      </c>
      <c r="F7">
        <v>3</v>
      </c>
      <c r="G7" t="s">
        <v>36</v>
      </c>
      <c r="H7" s="1">
        <v>6.5350000000000001</v>
      </c>
      <c r="I7" s="1">
        <v>0.67953667953667951</v>
      </c>
      <c r="J7" s="1">
        <v>244.05721472357746</v>
      </c>
      <c r="K7" s="1">
        <v>60.329729912993116</v>
      </c>
      <c r="L7" s="1">
        <v>3.8578170253980506</v>
      </c>
      <c r="M7" s="1">
        <v>0.44992014056204999</v>
      </c>
      <c r="N7" s="1">
        <v>58.668899302246295</v>
      </c>
      <c r="O7" s="1">
        <v>391.25124125980369</v>
      </c>
      <c r="P7" s="1">
        <v>2.586401589372445</v>
      </c>
      <c r="Q7" s="1">
        <v>0.94053245531458307</v>
      </c>
      <c r="R7" s="1">
        <v>1.6458691340578617</v>
      </c>
      <c r="S7" s="1">
        <v>1000.0145954431672</v>
      </c>
      <c r="T7" s="1">
        <v>161.12379711579715</v>
      </c>
      <c r="U7" s="1">
        <v>14.688285090188828</v>
      </c>
      <c r="V7" s="1">
        <v>79.721874669325686</v>
      </c>
      <c r="W7" s="1">
        <v>90.073106417795998</v>
      </c>
      <c r="X7" s="1">
        <v>10.351231748470312</v>
      </c>
      <c r="Y7" s="1">
        <v>7.9626067745036319E-2</v>
      </c>
      <c r="Z7" s="1">
        <v>0.19951978072926443</v>
      </c>
      <c r="AA7" s="1">
        <v>0.87797619047619047</v>
      </c>
      <c r="AB7" s="1">
        <v>4.2311507936507939E-2</v>
      </c>
      <c r="AC7" s="1">
        <v>0.76884920634920639</v>
      </c>
      <c r="AD7" s="1">
        <v>3.8690476190476191</v>
      </c>
      <c r="AE7" s="1">
        <v>6.8948412698412703E-2</v>
      </c>
      <c r="AF7" s="1">
        <v>2.9910714285714288</v>
      </c>
      <c r="AG7" s="2">
        <v>13.5</v>
      </c>
      <c r="AH7" s="2">
        <v>53.5</v>
      </c>
      <c r="AI7" s="2">
        <v>33</v>
      </c>
      <c r="AJ7" s="1">
        <v>0.4163615440945706</v>
      </c>
      <c r="AK7" s="1">
        <v>0.7553091327544722</v>
      </c>
      <c r="AL7" s="1">
        <v>226.13363730538023</v>
      </c>
      <c r="AM7" s="1">
        <v>100.44864117563242</v>
      </c>
      <c r="AN7" s="1">
        <v>3.7660843184433516E-2</v>
      </c>
      <c r="AO7" s="1">
        <v>327.8585626111518</v>
      </c>
      <c r="AP7" s="2">
        <v>51</v>
      </c>
      <c r="AQ7" s="2">
        <v>8</v>
      </c>
      <c r="AR7" s="2">
        <v>41</v>
      </c>
    </row>
    <row r="8" spans="1:44" x14ac:dyDescent="0.2">
      <c r="A8" t="s">
        <v>42</v>
      </c>
      <c r="B8">
        <v>2008</v>
      </c>
      <c r="C8">
        <v>12</v>
      </c>
      <c r="D8" t="s">
        <v>35</v>
      </c>
      <c r="E8">
        <v>10</v>
      </c>
      <c r="F8">
        <v>4</v>
      </c>
      <c r="G8" t="s">
        <v>36</v>
      </c>
      <c r="H8" s="1">
        <v>6.43</v>
      </c>
      <c r="I8" s="1">
        <v>0.85258964143426297</v>
      </c>
      <c r="J8" s="1">
        <v>751.71624575281658</v>
      </c>
      <c r="K8" s="1">
        <v>133.62933008293521</v>
      </c>
      <c r="L8" s="1">
        <v>8.0648871678699052</v>
      </c>
      <c r="M8" s="1">
        <v>0.67465047220567953</v>
      </c>
      <c r="N8" s="1">
        <v>87.463068092402452</v>
      </c>
      <c r="O8" s="1">
        <v>587.18740411327701</v>
      </c>
      <c r="P8" s="1">
        <v>2.525380051191723</v>
      </c>
      <c r="Q8" s="1">
        <v>2.3611926350652399</v>
      </c>
      <c r="R8" s="1">
        <v>0.16418741612648288</v>
      </c>
      <c r="S8" s="1">
        <v>2395.4959110924715</v>
      </c>
      <c r="T8" s="1">
        <v>557.04297108749824</v>
      </c>
      <c r="U8" s="1">
        <v>69.076944746190364</v>
      </c>
      <c r="V8" s="1">
        <v>73.949406437003105</v>
      </c>
      <c r="W8" s="1">
        <v>94.447010890556925</v>
      </c>
      <c r="X8" s="1">
        <v>20.497604453553819</v>
      </c>
      <c r="Y8" s="1">
        <v>0.23433717306841143</v>
      </c>
      <c r="Z8" s="1">
        <v>0.32734686034108629</v>
      </c>
      <c r="AA8" s="1">
        <v>0.84661354581673309</v>
      </c>
      <c r="AB8" s="1">
        <v>5.8266932270916331E-2</v>
      </c>
      <c r="AC8" s="1">
        <v>0.76195219123505975</v>
      </c>
      <c r="AD8" s="1">
        <v>3.7401574803149602</v>
      </c>
      <c r="AE8" s="1">
        <v>9.0059055118110229E-2</v>
      </c>
      <c r="AF8" s="1">
        <v>2.893543934498227</v>
      </c>
      <c r="AG8" s="2">
        <v>8.4</v>
      </c>
      <c r="AH8" s="2">
        <v>53.7</v>
      </c>
      <c r="AI8" s="2">
        <v>37.9</v>
      </c>
      <c r="AJ8" s="1">
        <v>0.90269636576787815</v>
      </c>
      <c r="AK8" s="1">
        <v>1.2309495896834703</v>
      </c>
      <c r="AL8" s="1">
        <v>354.59784213951104</v>
      </c>
      <c r="AM8" s="1">
        <v>174.0156077166119</v>
      </c>
      <c r="AN8" s="1">
        <v>0.41777683043802627</v>
      </c>
      <c r="AO8" s="1">
        <v>531.3236704678676</v>
      </c>
      <c r="AP8" s="2">
        <v>79</v>
      </c>
      <c r="AQ8" s="2">
        <v>12</v>
      </c>
      <c r="AR8" s="2">
        <v>9</v>
      </c>
    </row>
    <row r="9" spans="1:44" x14ac:dyDescent="0.2">
      <c r="A9" t="s">
        <v>43</v>
      </c>
      <c r="B9">
        <v>2008</v>
      </c>
      <c r="C9">
        <v>12</v>
      </c>
      <c r="D9" t="s">
        <v>35</v>
      </c>
      <c r="E9">
        <v>20</v>
      </c>
      <c r="F9">
        <v>4</v>
      </c>
      <c r="G9" t="s">
        <v>36</v>
      </c>
      <c r="H9" s="1">
        <v>6.3849999999999998</v>
      </c>
      <c r="I9" s="1">
        <v>0.32180524895756696</v>
      </c>
      <c r="J9" s="1">
        <v>190.2001299772291</v>
      </c>
      <c r="K9" s="1">
        <v>41.601027880740673</v>
      </c>
      <c r="L9" s="1">
        <v>2.8429155539705881</v>
      </c>
      <c r="M9" s="3" t="s">
        <v>169</v>
      </c>
      <c r="N9" s="3" t="s">
        <v>169</v>
      </c>
      <c r="O9" s="3" t="s">
        <v>169</v>
      </c>
      <c r="P9" s="1">
        <v>2.5298501014285137</v>
      </c>
      <c r="Q9" s="1">
        <v>1.4826835198261556</v>
      </c>
      <c r="R9" s="1">
        <v>1.0471665816023579</v>
      </c>
      <c r="S9" s="1">
        <v>821.82640533368999</v>
      </c>
      <c r="T9" s="1">
        <v>142.69272317567416</v>
      </c>
      <c r="U9" s="1">
        <v>31.935292132563362</v>
      </c>
      <c r="V9" s="1">
        <v>61.373617237478044</v>
      </c>
      <c r="W9" s="1">
        <v>85.23745630725324</v>
      </c>
      <c r="X9" s="1">
        <v>23.863839069775196</v>
      </c>
      <c r="Y9" s="1">
        <v>0.36243912391240835</v>
      </c>
      <c r="Z9" s="1">
        <v>0.60206295794980824</v>
      </c>
      <c r="AA9" s="1">
        <v>0.71782178217821779</v>
      </c>
      <c r="AB9" s="1">
        <v>2.1683168316831682E-2</v>
      </c>
      <c r="AC9" s="1">
        <v>0.71287128712871284</v>
      </c>
      <c r="AD9" s="1">
        <v>4.0841584158415838</v>
      </c>
      <c r="AE9" s="1">
        <v>4.5792079207920791E-2</v>
      </c>
      <c r="AF9" s="1">
        <v>3.3663366336633658</v>
      </c>
      <c r="AG9" s="2">
        <v>14.4</v>
      </c>
      <c r="AH9" s="2">
        <v>55.9</v>
      </c>
      <c r="AI9" s="2">
        <v>29.7</v>
      </c>
      <c r="AJ9" s="1">
        <v>0.72683789123427267</v>
      </c>
      <c r="AK9" s="1">
        <v>0.54382863678901938</v>
      </c>
      <c r="AL9" s="1">
        <v>142.53512712670769</v>
      </c>
      <c r="AM9" s="1">
        <v>88.179232860814381</v>
      </c>
      <c r="AN9" s="1">
        <v>6.4469169179577818E-2</v>
      </c>
      <c r="AO9" s="1">
        <v>233.19226369969843</v>
      </c>
      <c r="AP9" s="2">
        <v>80</v>
      </c>
      <c r="AQ9" s="2">
        <v>11</v>
      </c>
      <c r="AR9" s="2">
        <v>9</v>
      </c>
    </row>
    <row r="10" spans="1:44" x14ac:dyDescent="0.2">
      <c r="A10" t="s">
        <v>44</v>
      </c>
      <c r="B10">
        <v>2008</v>
      </c>
      <c r="C10">
        <v>12</v>
      </c>
      <c r="D10" t="s">
        <v>35</v>
      </c>
      <c r="E10">
        <v>10</v>
      </c>
      <c r="F10">
        <v>5</v>
      </c>
      <c r="G10" t="s">
        <v>36</v>
      </c>
      <c r="H10" s="1">
        <v>6.2149999999999999</v>
      </c>
      <c r="I10" s="1">
        <v>0.96285829632620068</v>
      </c>
      <c r="J10" s="1">
        <v>724.03574974148114</v>
      </c>
      <c r="K10" s="1">
        <v>137.0548153259254</v>
      </c>
      <c r="L10" s="1">
        <v>6.9529039946056574</v>
      </c>
      <c r="M10" s="3" t="s">
        <v>169</v>
      </c>
      <c r="N10" s="1">
        <v>131.28953180811939</v>
      </c>
      <c r="O10" s="3" t="s">
        <v>169</v>
      </c>
      <c r="P10" s="1">
        <v>5.9345800306962149</v>
      </c>
      <c r="Q10" s="1">
        <v>4.6944794322386638</v>
      </c>
      <c r="R10" s="1">
        <v>1.2401005984575508</v>
      </c>
      <c r="S10" s="1">
        <v>2415.6089043181596</v>
      </c>
      <c r="T10" s="1">
        <v>610.23549645954711</v>
      </c>
      <c r="U10" s="1">
        <v>97.700115172976979</v>
      </c>
      <c r="V10" s="1">
        <v>68.574790563962466</v>
      </c>
      <c r="W10" s="1">
        <v>93.869459285582565</v>
      </c>
      <c r="X10" s="1">
        <v>25.294668721620091</v>
      </c>
      <c r="Y10" s="1">
        <v>0.72156755097502767</v>
      </c>
      <c r="Z10" s="1">
        <v>1.1296834703557572</v>
      </c>
      <c r="AA10" s="1">
        <v>0.69801980198019797</v>
      </c>
      <c r="AB10" s="1">
        <v>0.11188118811881187</v>
      </c>
      <c r="AC10" s="1">
        <v>0.84653465346534662</v>
      </c>
      <c r="AD10" s="1">
        <v>2.2360557768924303</v>
      </c>
      <c r="AE10" s="1">
        <v>0.19646414342629484</v>
      </c>
      <c r="AF10" s="1">
        <v>1.5380359749122323</v>
      </c>
      <c r="AG10" s="2">
        <v>37.200000000000003</v>
      </c>
      <c r="AH10" s="2">
        <v>40.9</v>
      </c>
      <c r="AI10" s="2">
        <v>21.9</v>
      </c>
      <c r="AJ10" s="1">
        <v>0.57900432900432908</v>
      </c>
      <c r="AK10" s="1">
        <v>1.6396103896103895</v>
      </c>
      <c r="AL10" s="1">
        <v>492.82867049032404</v>
      </c>
      <c r="AM10" s="1">
        <v>213.06959790794428</v>
      </c>
      <c r="AN10" s="1">
        <v>0.11471861471861472</v>
      </c>
      <c r="AO10" s="1">
        <v>708.30627705627705</v>
      </c>
      <c r="AP10" s="2">
        <v>75</v>
      </c>
      <c r="AQ10" s="2">
        <v>17</v>
      </c>
      <c r="AR10" s="2">
        <v>8</v>
      </c>
    </row>
    <row r="11" spans="1:44" x14ac:dyDescent="0.2">
      <c r="A11" t="s">
        <v>45</v>
      </c>
      <c r="B11">
        <v>2008</v>
      </c>
      <c r="C11">
        <v>12</v>
      </c>
      <c r="D11" t="s">
        <v>35</v>
      </c>
      <c r="E11">
        <v>20</v>
      </c>
      <c r="F11">
        <v>5</v>
      </c>
      <c r="G11" t="s">
        <v>36</v>
      </c>
      <c r="H11" s="1">
        <v>6.4450000000000003</v>
      </c>
      <c r="I11" s="1">
        <v>0.75740740740740731</v>
      </c>
      <c r="J11" s="1">
        <v>555.12947709805951</v>
      </c>
      <c r="K11" s="1">
        <v>86.736216191811906</v>
      </c>
      <c r="L11" s="1">
        <v>5.5065225022087709</v>
      </c>
      <c r="M11" s="3" t="s">
        <v>169</v>
      </c>
      <c r="N11" s="1">
        <v>110.77383632883</v>
      </c>
      <c r="O11" s="3" t="s">
        <v>169</v>
      </c>
      <c r="P11" s="1">
        <v>10.403473374639033</v>
      </c>
      <c r="Q11" s="1">
        <v>4.8339709954493975</v>
      </c>
      <c r="R11" s="1">
        <v>5.5695023791896352</v>
      </c>
      <c r="S11" s="1">
        <v>2065.009146490584</v>
      </c>
      <c r="T11" s="1">
        <v>482.33564912909964</v>
      </c>
      <c r="U11" s="1">
        <v>46.390775101086881</v>
      </c>
      <c r="V11" s="1">
        <v>68.357736049834216</v>
      </c>
      <c r="W11" s="1">
        <v>92.032708817574218</v>
      </c>
      <c r="X11" s="1">
        <v>23.674972767739995</v>
      </c>
      <c r="Y11" s="1">
        <v>0.56528594647123231</v>
      </c>
      <c r="Z11" s="1">
        <v>0.9737983142722616</v>
      </c>
      <c r="AA11" s="1">
        <v>0.57499999999999996</v>
      </c>
      <c r="AB11" s="1">
        <v>7.4999999999999997E-2</v>
      </c>
      <c r="AC11" s="1">
        <v>0.73</v>
      </c>
      <c r="AD11" s="1">
        <v>2.2268700787401574</v>
      </c>
      <c r="AE11" s="1">
        <v>0.18208661417322833</v>
      </c>
      <c r="AF11" s="1">
        <v>1.6518700787401575</v>
      </c>
      <c r="AG11" s="2">
        <v>41.5</v>
      </c>
      <c r="AH11" s="2">
        <v>35.299999999999997</v>
      </c>
      <c r="AI11" s="2">
        <v>23.3</v>
      </c>
      <c r="AJ11" s="1">
        <v>0.25982323501224575</v>
      </c>
      <c r="AK11" s="1">
        <v>0.66020658076882133</v>
      </c>
      <c r="AL11" s="1">
        <v>380.2113424250752</v>
      </c>
      <c r="AM11" s="1">
        <v>145.86255811799796</v>
      </c>
      <c r="AN11" s="1">
        <v>6.495580875306145E-2</v>
      </c>
      <c r="AO11" s="1">
        <v>527.19625173038014</v>
      </c>
      <c r="AP11" s="2">
        <v>77</v>
      </c>
      <c r="AQ11" s="2">
        <v>14</v>
      </c>
      <c r="AR11" s="2">
        <v>9</v>
      </c>
    </row>
    <row r="12" spans="1:44" x14ac:dyDescent="0.2">
      <c r="A12" t="s">
        <v>46</v>
      </c>
      <c r="B12">
        <v>2008</v>
      </c>
      <c r="C12">
        <v>12</v>
      </c>
      <c r="D12" t="s">
        <v>35</v>
      </c>
      <c r="E12">
        <v>10</v>
      </c>
      <c r="F12">
        <v>6</v>
      </c>
      <c r="G12" t="s">
        <v>36</v>
      </c>
      <c r="H12" s="1">
        <v>6.665</v>
      </c>
      <c r="I12" s="1">
        <v>0.88580246913580274</v>
      </c>
      <c r="J12" s="1">
        <v>400.27153988610263</v>
      </c>
      <c r="K12" s="1">
        <v>114.92340302072911</v>
      </c>
      <c r="L12" s="1">
        <v>7.4126492696442252</v>
      </c>
      <c r="M12" s="1">
        <v>0.71833661652510983</v>
      </c>
      <c r="N12" s="1">
        <v>99.614488325959243</v>
      </c>
      <c r="O12" s="1">
        <v>618.72212819915046</v>
      </c>
      <c r="P12" s="1">
        <v>3.9686380128758794</v>
      </c>
      <c r="Q12" s="1">
        <v>2.902780247848928</v>
      </c>
      <c r="R12" s="1">
        <v>1.0658577650269516</v>
      </c>
      <c r="S12" s="1">
        <v>2353.0525853975278</v>
      </c>
      <c r="T12" s="1">
        <v>418.38692541408187</v>
      </c>
      <c r="U12" s="1">
        <v>66.786629946987745</v>
      </c>
      <c r="V12" s="1">
        <v>79.297258586364762</v>
      </c>
      <c r="W12" s="1">
        <v>93.527257774850256</v>
      </c>
      <c r="X12" s="1">
        <v>14.229999188485493</v>
      </c>
      <c r="Y12" s="1">
        <v>0.24020610862950048</v>
      </c>
      <c r="Z12" s="1">
        <v>0.45972407382651964</v>
      </c>
      <c r="AA12" s="1">
        <v>1.3017751479289938</v>
      </c>
      <c r="AB12" s="1">
        <v>0.15384615384615385</v>
      </c>
      <c r="AC12" s="1">
        <v>1.1193293885601578</v>
      </c>
      <c r="AD12" s="1">
        <v>4.5974155069582503</v>
      </c>
      <c r="AE12" s="1">
        <v>0.20054671968190857</v>
      </c>
      <c r="AF12" s="1">
        <v>3.2956403590292567</v>
      </c>
      <c r="AG12" s="2">
        <v>4.8</v>
      </c>
      <c r="AH12" s="2">
        <v>53.2</v>
      </c>
      <c r="AI12" s="2">
        <v>42</v>
      </c>
      <c r="AJ12" s="1">
        <v>0.89619600257898147</v>
      </c>
      <c r="AK12" s="1">
        <v>1.816032667096497</v>
      </c>
      <c r="AL12" s="1">
        <v>452.79420968959062</v>
      </c>
      <c r="AM12" s="1">
        <v>192.46261386510534</v>
      </c>
      <c r="AN12" s="1">
        <v>0.57274876423812604</v>
      </c>
      <c r="AO12" s="1">
        <v>648.60090264345581</v>
      </c>
      <c r="AP12" s="2">
        <v>51</v>
      </c>
      <c r="AQ12" s="2">
        <v>7</v>
      </c>
      <c r="AR12" s="2">
        <v>42</v>
      </c>
    </row>
    <row r="13" spans="1:44" x14ac:dyDescent="0.2">
      <c r="A13" t="s">
        <v>47</v>
      </c>
      <c r="B13">
        <v>2008</v>
      </c>
      <c r="C13">
        <v>12</v>
      </c>
      <c r="D13" t="s">
        <v>35</v>
      </c>
      <c r="E13">
        <v>20</v>
      </c>
      <c r="F13">
        <v>6</v>
      </c>
      <c r="G13" t="s">
        <v>36</v>
      </c>
      <c r="H13" s="1">
        <v>6.51</v>
      </c>
      <c r="I13" s="1">
        <v>0.74871794871794861</v>
      </c>
      <c r="J13" s="1">
        <v>356.65287044199027</v>
      </c>
      <c r="K13" s="1">
        <v>76.205973694643021</v>
      </c>
      <c r="L13" s="1">
        <v>5.029639095497366</v>
      </c>
      <c r="M13" s="1">
        <v>0.61668534356045779</v>
      </c>
      <c r="N13" s="1">
        <v>75.118989593473273</v>
      </c>
      <c r="O13" s="1">
        <v>541.56635396698448</v>
      </c>
      <c r="P13" s="1">
        <v>3.1474067483663069</v>
      </c>
      <c r="Q13" s="1">
        <v>1.4544334405685848</v>
      </c>
      <c r="R13" s="1">
        <v>1.6929733077977223</v>
      </c>
      <c r="S13" s="1">
        <v>1805.5084693463248</v>
      </c>
      <c r="T13" s="1">
        <v>312.37304726651877</v>
      </c>
      <c r="U13" s="1">
        <v>40.746546864787838</v>
      </c>
      <c r="V13" s="1">
        <v>76.244474137497249</v>
      </c>
      <c r="W13" s="1">
        <v>89.356456148674326</v>
      </c>
      <c r="X13" s="1">
        <v>13.111982011177076</v>
      </c>
      <c r="Y13" s="1">
        <v>0.16694452804780843</v>
      </c>
      <c r="Z13" s="1">
        <v>0.33657771986287782</v>
      </c>
      <c r="AA13" s="1">
        <v>0.99900596421471188</v>
      </c>
      <c r="AB13" s="1">
        <v>7.1073558648111324E-2</v>
      </c>
      <c r="AC13" s="1">
        <v>0.84493041749502984</v>
      </c>
      <c r="AD13" s="1">
        <v>3.8290513833992095</v>
      </c>
      <c r="AE13" s="1">
        <v>0.13512845849802371</v>
      </c>
      <c r="AF13" s="1">
        <v>2.8300454191844975</v>
      </c>
      <c r="AG13" s="2">
        <v>11.6</v>
      </c>
      <c r="AH13" s="2">
        <v>59.3</v>
      </c>
      <c r="AI13" s="2">
        <v>29.1</v>
      </c>
      <c r="AJ13" s="1">
        <v>0.77773100399915795</v>
      </c>
      <c r="AK13" s="1">
        <v>0.91664912649968422</v>
      </c>
      <c r="AL13" s="1">
        <v>261.03212138869475</v>
      </c>
      <c r="AM13" s="1">
        <v>111.08953720949509</v>
      </c>
      <c r="AN13" s="1">
        <v>5.6830141022942531E-2</v>
      </c>
      <c r="AO13" s="1">
        <v>373.93180383077242</v>
      </c>
      <c r="AP13" s="2">
        <v>52</v>
      </c>
      <c r="AQ13" s="2">
        <v>8</v>
      </c>
      <c r="AR13" s="2">
        <v>40</v>
      </c>
    </row>
    <row r="14" spans="1:44" x14ac:dyDescent="0.2">
      <c r="A14" t="s">
        <v>48</v>
      </c>
      <c r="B14">
        <v>2005</v>
      </c>
      <c r="C14">
        <v>14</v>
      </c>
      <c r="D14" t="s">
        <v>49</v>
      </c>
      <c r="E14">
        <v>10</v>
      </c>
      <c r="F14">
        <v>1</v>
      </c>
      <c r="G14" t="s">
        <v>36</v>
      </c>
      <c r="H14" s="1">
        <v>7.125</v>
      </c>
      <c r="I14" s="1">
        <v>1.3036967711745431</v>
      </c>
      <c r="J14" s="1">
        <v>449.26458251078941</v>
      </c>
      <c r="K14" s="1">
        <v>184.07146397166883</v>
      </c>
      <c r="L14" s="1">
        <v>10.798107897804684</v>
      </c>
      <c r="M14" s="1">
        <v>0.95047398737989719</v>
      </c>
      <c r="N14" s="1">
        <v>113.35296997084048</v>
      </c>
      <c r="O14" s="1">
        <v>837.12101740905666</v>
      </c>
      <c r="P14" s="1">
        <v>5.9783021230310123</v>
      </c>
      <c r="Q14" s="1">
        <v>4.6180986942964877</v>
      </c>
      <c r="R14" s="1">
        <v>1.3602034287345244</v>
      </c>
      <c r="S14" s="1">
        <v>4160.3952485181007</v>
      </c>
      <c r="T14" s="1">
        <v>549.46501602609601</v>
      </c>
      <c r="U14" s="1">
        <v>115.31957496842945</v>
      </c>
      <c r="V14" s="1">
        <v>70.773563834810062</v>
      </c>
      <c r="W14" s="1">
        <v>94.134892223866359</v>
      </c>
      <c r="X14" s="1">
        <v>23.361328389056297</v>
      </c>
      <c r="Y14" s="1">
        <v>1.1807571348746022</v>
      </c>
      <c r="Z14" s="1">
        <v>0.69388983903742218</v>
      </c>
      <c r="AA14" s="1">
        <v>1.1676646706586826</v>
      </c>
      <c r="AB14" s="1">
        <v>0.1192614770459082</v>
      </c>
      <c r="AC14" s="1">
        <v>1.0778443113772456</v>
      </c>
      <c r="AD14" s="1">
        <v>3.6127167630057802</v>
      </c>
      <c r="AE14" s="1">
        <v>0.16690751445086704</v>
      </c>
      <c r="AF14" s="1">
        <v>2.4450520923470975</v>
      </c>
      <c r="AG14" s="2">
        <v>16.8</v>
      </c>
      <c r="AH14" s="2">
        <v>59.6</v>
      </c>
      <c r="AI14" s="2">
        <v>23.6</v>
      </c>
      <c r="AJ14" s="1">
        <v>0.77760668719753634</v>
      </c>
      <c r="AK14" s="1">
        <v>1.923669159700836</v>
      </c>
      <c r="AL14" s="1">
        <v>513.38147421812664</v>
      </c>
      <c r="AM14" s="1">
        <v>205.87061553110337</v>
      </c>
      <c r="AN14" s="1">
        <v>0.1825780906291245</v>
      </c>
      <c r="AO14" s="1">
        <v>722.17113946326435</v>
      </c>
      <c r="AP14" s="2">
        <v>52</v>
      </c>
      <c r="AQ14" s="2">
        <v>13</v>
      </c>
      <c r="AR14" s="2">
        <v>35</v>
      </c>
    </row>
    <row r="15" spans="1:44" x14ac:dyDescent="0.2">
      <c r="A15" t="s">
        <v>50</v>
      </c>
      <c r="B15">
        <v>2005</v>
      </c>
      <c r="C15">
        <v>14</v>
      </c>
      <c r="D15" t="s">
        <v>49</v>
      </c>
      <c r="E15">
        <v>20</v>
      </c>
      <c r="F15">
        <v>1</v>
      </c>
      <c r="G15" t="s">
        <v>36</v>
      </c>
      <c r="H15" s="1">
        <v>6.8887499999999999</v>
      </c>
      <c r="I15" s="1">
        <v>0.64340344168260044</v>
      </c>
      <c r="J15" s="1">
        <v>299.44454346328627</v>
      </c>
      <c r="K15" s="1">
        <v>83.763249260522187</v>
      </c>
      <c r="L15" s="1">
        <v>5.4758555800768995</v>
      </c>
      <c r="M15" s="1">
        <v>0.62860687017572414</v>
      </c>
      <c r="N15" s="1">
        <v>88.612039576694343</v>
      </c>
      <c r="O15" s="1">
        <v>539.9948305990298</v>
      </c>
      <c r="P15" s="1">
        <v>3.5108766563417886</v>
      </c>
      <c r="Q15" s="1">
        <v>2.522618185980364</v>
      </c>
      <c r="R15" s="1">
        <v>0.98825847036142489</v>
      </c>
      <c r="S15" s="1">
        <v>3169.4478824740663</v>
      </c>
      <c r="T15" s="1">
        <v>495.09831318331129</v>
      </c>
      <c r="U15" s="1">
        <v>42.660976198184372</v>
      </c>
      <c r="V15" s="1">
        <v>69.00264359847543</v>
      </c>
      <c r="W15" s="1">
        <v>89.221328984973496</v>
      </c>
      <c r="X15" s="1">
        <v>20.218685386498059</v>
      </c>
      <c r="Y15" s="1">
        <v>0.27622957662190439</v>
      </c>
      <c r="Z15" s="1">
        <v>0.69320309345466546</v>
      </c>
      <c r="AA15" s="1">
        <v>0.86826347305389207</v>
      </c>
      <c r="AB15" s="1">
        <v>7.7345309381237529E-2</v>
      </c>
      <c r="AC15" s="1">
        <v>0.82834331337325351</v>
      </c>
      <c r="AD15" s="1">
        <v>3.1930693069306932</v>
      </c>
      <c r="AE15" s="1">
        <v>0.12425742574257426</v>
      </c>
      <c r="AF15" s="1">
        <v>2.324805833876801</v>
      </c>
      <c r="AG15" s="2">
        <v>18.100000000000001</v>
      </c>
      <c r="AH15" s="2">
        <v>56.9</v>
      </c>
      <c r="AI15" s="2">
        <v>25</v>
      </c>
      <c r="AJ15" s="1">
        <v>0.4398270224659846</v>
      </c>
      <c r="AK15" s="1">
        <v>1.0262630524206307</v>
      </c>
      <c r="AL15" s="1">
        <v>289.66692799508945</v>
      </c>
      <c r="AM15" s="1">
        <v>120.84884038377353</v>
      </c>
      <c r="AN15" s="1">
        <v>4.5353865625988816E-2</v>
      </c>
      <c r="AO15" s="1">
        <v>412.06518299757414</v>
      </c>
      <c r="AP15" s="2">
        <v>52</v>
      </c>
      <c r="AQ15" s="2">
        <v>13</v>
      </c>
      <c r="AR15" s="2">
        <v>35</v>
      </c>
    </row>
    <row r="16" spans="1:44" x14ac:dyDescent="0.2">
      <c r="A16" t="s">
        <v>51</v>
      </c>
      <c r="B16">
        <v>2005</v>
      </c>
      <c r="C16">
        <v>14</v>
      </c>
      <c r="D16" t="s">
        <v>49</v>
      </c>
      <c r="E16">
        <v>10</v>
      </c>
      <c r="F16">
        <v>2</v>
      </c>
      <c r="G16" t="s">
        <v>36</v>
      </c>
      <c r="H16" s="1">
        <v>6.5949999999999998</v>
      </c>
      <c r="I16" s="1">
        <v>0.71442463533225298</v>
      </c>
      <c r="J16" s="1">
        <v>479.44838314056</v>
      </c>
      <c r="K16" s="1">
        <v>103.0193422987486</v>
      </c>
      <c r="L16" s="1">
        <v>5.4923117600839735</v>
      </c>
      <c r="M16" s="1">
        <v>0.46382405225724904</v>
      </c>
      <c r="N16" s="1">
        <v>65.183337772816685</v>
      </c>
      <c r="O16" s="1">
        <v>398.64071448443235</v>
      </c>
      <c r="P16" s="1">
        <v>2.4506158276740662</v>
      </c>
      <c r="Q16" s="1">
        <v>2.1137343740908392</v>
      </c>
      <c r="R16" s="1">
        <v>0.33688145358322691</v>
      </c>
      <c r="S16" s="1">
        <v>2942.7142534582431</v>
      </c>
      <c r="T16" s="1">
        <v>476.78310196248208</v>
      </c>
      <c r="U16" s="1">
        <v>54.931688082874054</v>
      </c>
      <c r="V16" s="1">
        <v>72.944866004240168</v>
      </c>
      <c r="W16" s="1">
        <v>93.758726242248684</v>
      </c>
      <c r="X16" s="1">
        <v>20.81386023800853</v>
      </c>
      <c r="Y16" s="1">
        <v>0.56936979020136502</v>
      </c>
      <c r="Z16" s="1">
        <v>0.36809939411799536</v>
      </c>
      <c r="AA16" s="1">
        <v>1.0285433070866141</v>
      </c>
      <c r="AB16" s="1">
        <v>4.0255905511811019E-2</v>
      </c>
      <c r="AC16" s="1">
        <v>0.80708661417322825</v>
      </c>
      <c r="AD16" s="1">
        <v>3.7276341948310141</v>
      </c>
      <c r="AE16" s="1">
        <v>5.3429423459244535E-2</v>
      </c>
      <c r="AF16" s="1">
        <v>2.6990908877443998</v>
      </c>
      <c r="AG16" s="2">
        <v>11.2</v>
      </c>
      <c r="AH16" s="2">
        <v>60.8</v>
      </c>
      <c r="AI16" s="2">
        <v>28</v>
      </c>
      <c r="AJ16" s="1">
        <v>0.73594909862142111</v>
      </c>
      <c r="AK16" s="1">
        <v>2.0148462354188759</v>
      </c>
      <c r="AL16" s="1">
        <v>299.68447930391721</v>
      </c>
      <c r="AM16" s="1">
        <v>132.98360128993221</v>
      </c>
      <c r="AN16" s="1">
        <v>0.84199363732767774</v>
      </c>
      <c r="AO16" s="1">
        <v>436.32555673382819</v>
      </c>
      <c r="AP16" s="2">
        <v>52</v>
      </c>
      <c r="AQ16" s="2">
        <v>9</v>
      </c>
      <c r="AR16" s="2">
        <v>39</v>
      </c>
    </row>
    <row r="17" spans="1:44" x14ac:dyDescent="0.2">
      <c r="A17" t="s">
        <v>52</v>
      </c>
      <c r="B17">
        <v>2005</v>
      </c>
      <c r="C17">
        <v>14</v>
      </c>
      <c r="D17" t="s">
        <v>49</v>
      </c>
      <c r="E17">
        <v>20</v>
      </c>
      <c r="F17">
        <v>2</v>
      </c>
      <c r="G17" t="s">
        <v>36</v>
      </c>
      <c r="H17" s="1">
        <v>6.8887499999999999</v>
      </c>
      <c r="I17" s="1">
        <v>0.54456618300266535</v>
      </c>
      <c r="J17" s="1">
        <v>193.12770925300492</v>
      </c>
      <c r="K17" s="1">
        <v>58.957865481758915</v>
      </c>
      <c r="L17" s="1">
        <v>3.6725324194805919</v>
      </c>
      <c r="M17" s="1">
        <v>0.39581140265326542</v>
      </c>
      <c r="N17" s="1">
        <v>61.82751976028198</v>
      </c>
      <c r="O17" s="1">
        <v>333.9838828929835</v>
      </c>
      <c r="P17" s="1">
        <v>1.5125449092323513</v>
      </c>
      <c r="Q17" s="1">
        <v>0.87266852124925165</v>
      </c>
      <c r="R17" s="1">
        <v>0.63987638798309965</v>
      </c>
      <c r="S17" s="1">
        <v>763.03634470633278</v>
      </c>
      <c r="T17" s="1">
        <v>172.97688997949589</v>
      </c>
      <c r="U17" s="1">
        <v>23.304810581937481</v>
      </c>
      <c r="V17" s="1">
        <v>72.88614360324155</v>
      </c>
      <c r="W17" s="1">
        <v>90.742959483549313</v>
      </c>
      <c r="X17" s="1">
        <v>17.856815880307764</v>
      </c>
      <c r="Y17" s="1">
        <v>0.19194559613028692</v>
      </c>
      <c r="Z17" s="1">
        <v>0.32258152393772016</v>
      </c>
      <c r="AA17" s="1">
        <v>1.1215415019762847</v>
      </c>
      <c r="AB17" s="1">
        <v>3.0385375494071144E-2</v>
      </c>
      <c r="AC17" s="1">
        <v>0.83498023715415015</v>
      </c>
      <c r="AD17" s="1">
        <v>4.7277227722772279</v>
      </c>
      <c r="AE17" s="1">
        <v>4.8514851485148516E-2</v>
      </c>
      <c r="AF17" s="1">
        <v>3.6061812703009433</v>
      </c>
      <c r="AG17" s="2">
        <v>9</v>
      </c>
      <c r="AH17" s="2">
        <v>56.5</v>
      </c>
      <c r="AI17" s="2">
        <v>34.5</v>
      </c>
      <c r="AJ17" s="1">
        <v>0.31213993924793132</v>
      </c>
      <c r="AK17" s="1">
        <v>0.78558709542264582</v>
      </c>
      <c r="AL17" s="1">
        <v>233.80279254071343</v>
      </c>
      <c r="AM17" s="1">
        <v>117.77571379635583</v>
      </c>
      <c r="AN17" s="1">
        <v>4.6087776264795224E-2</v>
      </c>
      <c r="AO17" s="1">
        <v>352.77678851995398</v>
      </c>
      <c r="AP17" s="2">
        <v>56</v>
      </c>
      <c r="AQ17" s="2">
        <v>7</v>
      </c>
      <c r="AR17" s="2">
        <v>37</v>
      </c>
    </row>
    <row r="18" spans="1:44" x14ac:dyDescent="0.2">
      <c r="A18" t="s">
        <v>53</v>
      </c>
      <c r="B18">
        <v>2005</v>
      </c>
      <c r="C18">
        <v>14</v>
      </c>
      <c r="D18" t="s">
        <v>49</v>
      </c>
      <c r="E18">
        <v>10</v>
      </c>
      <c r="F18">
        <v>3</v>
      </c>
      <c r="G18" t="s">
        <v>36</v>
      </c>
      <c r="H18" s="1">
        <v>6.8849999999999998</v>
      </c>
      <c r="I18" s="1">
        <v>1.169923534409516</v>
      </c>
      <c r="J18" s="1">
        <v>467.22983429411414</v>
      </c>
      <c r="K18" s="1">
        <v>158.19104983860763</v>
      </c>
      <c r="L18" s="1">
        <v>9.0440219911864421</v>
      </c>
      <c r="M18" s="1">
        <v>0.79862303003875945</v>
      </c>
      <c r="N18" s="1">
        <v>122.27280873321305</v>
      </c>
      <c r="O18" s="1">
        <v>676.35022130554648</v>
      </c>
      <c r="P18" s="1">
        <v>2.6557892408355226</v>
      </c>
      <c r="Q18" s="1">
        <v>2.2050585501051301</v>
      </c>
      <c r="R18" s="1">
        <v>0.45073069073039268</v>
      </c>
      <c r="S18" s="1">
        <v>2213.7759149556277</v>
      </c>
      <c r="T18" s="1">
        <v>418.07730307668123</v>
      </c>
      <c r="U18" s="1">
        <v>102.27537220123681</v>
      </c>
      <c r="V18" s="1">
        <v>71.980453974173827</v>
      </c>
      <c r="W18" s="1">
        <v>94.698145614876097</v>
      </c>
      <c r="X18" s="1">
        <v>22.717691640702263</v>
      </c>
      <c r="Y18" s="1">
        <v>2.2112763074717864E-2</v>
      </c>
      <c r="Z18" s="1">
        <v>0.4272052342124672</v>
      </c>
      <c r="AA18" s="1">
        <v>1.0700197238658777</v>
      </c>
      <c r="AB18" s="1">
        <v>9.6646942800788962E-2</v>
      </c>
      <c r="AC18" s="1">
        <v>1.0404339250493098</v>
      </c>
      <c r="AD18" s="1">
        <v>4.0600393700787398</v>
      </c>
      <c r="AE18" s="1">
        <v>0.13779527559055119</v>
      </c>
      <c r="AF18" s="1">
        <v>2.9900196462128621</v>
      </c>
      <c r="AG18" s="2">
        <v>14.8</v>
      </c>
      <c r="AH18" s="2">
        <v>58.4</v>
      </c>
      <c r="AI18" s="2">
        <v>26.8</v>
      </c>
      <c r="AJ18" s="1">
        <v>0.88835794960903569</v>
      </c>
      <c r="AK18" s="1">
        <v>1.5160729800173762</v>
      </c>
      <c r="AL18" s="1">
        <v>539.93701656944279</v>
      </c>
      <c r="AM18" s="1">
        <v>220.69069846096562</v>
      </c>
      <c r="AN18" s="1">
        <v>0.27367506516072981</v>
      </c>
      <c r="AO18" s="1">
        <v>763.35577758470902</v>
      </c>
      <c r="AP18" s="2">
        <v>55</v>
      </c>
      <c r="AQ18" s="2">
        <v>9</v>
      </c>
      <c r="AR18" s="2">
        <v>36</v>
      </c>
    </row>
    <row r="19" spans="1:44" x14ac:dyDescent="0.2">
      <c r="A19" t="s">
        <v>54</v>
      </c>
      <c r="B19">
        <v>2005</v>
      </c>
      <c r="C19">
        <v>14</v>
      </c>
      <c r="D19" t="s">
        <v>49</v>
      </c>
      <c r="E19">
        <v>20</v>
      </c>
      <c r="F19">
        <v>3</v>
      </c>
      <c r="G19" t="s">
        <v>36</v>
      </c>
      <c r="H19" s="1">
        <v>6.9349999999999996</v>
      </c>
      <c r="I19" s="1">
        <v>0.89082807278128484</v>
      </c>
      <c r="J19" s="1">
        <v>307.51266749428902</v>
      </c>
      <c r="K19" s="1">
        <v>86.757421320769481</v>
      </c>
      <c r="L19" s="1">
        <v>5.9128903523245624</v>
      </c>
      <c r="M19" s="3" t="s">
        <v>169</v>
      </c>
      <c r="N19" s="1">
        <v>91.952228663083019</v>
      </c>
      <c r="O19" s="3" t="s">
        <v>169</v>
      </c>
      <c r="P19" s="1">
        <v>1.9048156670293357</v>
      </c>
      <c r="Q19" s="1">
        <v>1.158515574523042</v>
      </c>
      <c r="R19" s="1">
        <v>0.74630009250629381</v>
      </c>
      <c r="S19" s="1">
        <v>1492.3054094257327</v>
      </c>
      <c r="T19" s="1">
        <v>242.84542520507827</v>
      </c>
      <c r="U19" s="1">
        <v>49.511213441720201</v>
      </c>
      <c r="V19" s="1">
        <v>72.249986229127444</v>
      </c>
      <c r="W19" s="1">
        <v>91.861648873665203</v>
      </c>
      <c r="X19" s="1">
        <v>19.611662644537759</v>
      </c>
      <c r="Y19" s="1">
        <v>0.1703245591995815</v>
      </c>
      <c r="Z19" s="1">
        <v>0.29414609788267893</v>
      </c>
      <c r="AA19" s="1">
        <v>0.97332015810276673</v>
      </c>
      <c r="AB19" s="1">
        <v>7.2134387351778656E-2</v>
      </c>
      <c r="AC19" s="1">
        <v>0.95849802371541504</v>
      </c>
      <c r="AD19" s="1">
        <v>3.9124015748031495</v>
      </c>
      <c r="AE19" s="1">
        <v>0.12401574803149606</v>
      </c>
      <c r="AF19" s="1">
        <v>2.9390814167003829</v>
      </c>
      <c r="AG19" s="2">
        <v>24.5</v>
      </c>
      <c r="AH19" s="2">
        <v>46.6</v>
      </c>
      <c r="AI19" s="2">
        <v>28.9</v>
      </c>
      <c r="AJ19" s="1">
        <v>0.66624027289201582</v>
      </c>
      <c r="AK19" s="1">
        <v>1.1150197207120778</v>
      </c>
      <c r="AL19" s="1">
        <v>379.44599002150244</v>
      </c>
      <c r="AM19" s="1">
        <v>151.3385745238553</v>
      </c>
      <c r="AN19" s="1">
        <v>4.5053446394848727E-2</v>
      </c>
      <c r="AO19" s="1">
        <v>532.66496109156822</v>
      </c>
      <c r="AP19" s="2">
        <v>51</v>
      </c>
      <c r="AQ19" s="2">
        <v>7</v>
      </c>
      <c r="AR19" s="2">
        <v>42</v>
      </c>
    </row>
    <row r="20" spans="1:44" x14ac:dyDescent="0.2">
      <c r="A20" t="s">
        <v>55</v>
      </c>
      <c r="B20">
        <v>2008</v>
      </c>
      <c r="C20">
        <v>12</v>
      </c>
      <c r="D20" t="s">
        <v>49</v>
      </c>
      <c r="E20">
        <v>10</v>
      </c>
      <c r="F20">
        <v>4</v>
      </c>
      <c r="G20" t="s">
        <v>36</v>
      </c>
      <c r="H20" s="1">
        <v>6.9349999999999996</v>
      </c>
      <c r="I20" s="1">
        <v>1.206681766704417</v>
      </c>
      <c r="J20" s="1">
        <v>499.00658798528042</v>
      </c>
      <c r="K20" s="1">
        <v>159.71909303526149</v>
      </c>
      <c r="L20" s="1">
        <v>9.1713988620816238</v>
      </c>
      <c r="M20" s="1">
        <v>0.79581450744522142</v>
      </c>
      <c r="N20" s="1">
        <v>117.19795633901656</v>
      </c>
      <c r="O20" s="1">
        <v>678.61655110620495</v>
      </c>
      <c r="P20" s="1">
        <v>2.5437879597528794</v>
      </c>
      <c r="Q20" s="1">
        <v>2.2223446437797323</v>
      </c>
      <c r="R20" s="1">
        <v>0.3214433159731474</v>
      </c>
      <c r="S20" s="1">
        <v>3150.7539025435399</v>
      </c>
      <c r="T20" s="1">
        <v>577.95466129966724</v>
      </c>
      <c r="U20" s="1">
        <v>121.48891771915186</v>
      </c>
      <c r="V20" s="1">
        <v>72.389613517019512</v>
      </c>
      <c r="W20" s="1">
        <v>94.488315840524749</v>
      </c>
      <c r="X20" s="1">
        <v>22.098702323505236</v>
      </c>
      <c r="Y20" s="1">
        <v>0.34230015395966584</v>
      </c>
      <c r="Z20" s="1">
        <v>0.55049854966858491</v>
      </c>
      <c r="AA20" s="1">
        <v>0.97499999999999998</v>
      </c>
      <c r="AB20" s="1">
        <v>8.8499999999999995E-2</v>
      </c>
      <c r="AC20" s="1">
        <v>0.98499999999999999</v>
      </c>
      <c r="AD20" s="1">
        <v>3.0505952380952381</v>
      </c>
      <c r="AE20" s="1">
        <v>0.12549603174603174</v>
      </c>
      <c r="AF20" s="1">
        <v>2.075595238095238</v>
      </c>
      <c r="AG20" s="2">
        <v>5.7</v>
      </c>
      <c r="AH20" s="2">
        <v>52.4</v>
      </c>
      <c r="AI20" s="2">
        <v>41.9</v>
      </c>
      <c r="AJ20" s="1">
        <v>1.1375984033706616</v>
      </c>
      <c r="AK20" s="1">
        <v>2.594522674354141</v>
      </c>
      <c r="AL20" s="1">
        <v>586.08063895967393</v>
      </c>
      <c r="AM20" s="1">
        <v>252.07658467931043</v>
      </c>
      <c r="AN20" s="1">
        <v>0.58210444616919832</v>
      </c>
      <c r="AO20" s="1">
        <v>842.53021399268221</v>
      </c>
      <c r="AP20" s="2">
        <v>79</v>
      </c>
      <c r="AQ20" s="2">
        <v>10</v>
      </c>
      <c r="AR20" s="2">
        <v>11</v>
      </c>
    </row>
    <row r="21" spans="1:44" x14ac:dyDescent="0.2">
      <c r="A21" t="s">
        <v>56</v>
      </c>
      <c r="B21">
        <v>2008</v>
      </c>
      <c r="C21">
        <v>12</v>
      </c>
      <c r="D21" t="s">
        <v>49</v>
      </c>
      <c r="E21">
        <v>20</v>
      </c>
      <c r="F21">
        <v>4</v>
      </c>
      <c r="G21" t="s">
        <v>36</v>
      </c>
      <c r="H21" s="1">
        <v>6.7850000000000001</v>
      </c>
      <c r="I21" s="1">
        <v>0.74841053587647621</v>
      </c>
      <c r="J21" s="1">
        <v>274.06845358582257</v>
      </c>
      <c r="K21" s="1">
        <v>72.295272073493337</v>
      </c>
      <c r="L21" s="1">
        <v>4.7016215036065443</v>
      </c>
      <c r="M21" s="1">
        <v>0.59308667032192453</v>
      </c>
      <c r="N21" s="1">
        <v>82.736138551927965</v>
      </c>
      <c r="O21" s="1">
        <v>510.35053176999651</v>
      </c>
      <c r="P21" s="1">
        <v>1.9602632020087132</v>
      </c>
      <c r="Q21" s="1">
        <v>1.3301921889011024</v>
      </c>
      <c r="R21" s="1">
        <v>0.63007101310761082</v>
      </c>
      <c r="S21" s="1">
        <v>1614.8220839704968</v>
      </c>
      <c r="T21" s="1">
        <v>327.6422909632654</v>
      </c>
      <c r="U21" s="1">
        <v>46.02097771130861</v>
      </c>
      <c r="V21" s="1">
        <v>70.844832043510721</v>
      </c>
      <c r="W21" s="1">
        <v>90.597173213732276</v>
      </c>
      <c r="X21" s="1">
        <v>19.752341170221563</v>
      </c>
      <c r="Y21" s="1">
        <v>0.3977570134432391</v>
      </c>
      <c r="Z21" s="1">
        <v>0.53555176528533877</v>
      </c>
      <c r="AA21" s="1">
        <v>1.0050000000000001</v>
      </c>
      <c r="AB21" s="1">
        <v>8.249999999999999E-2</v>
      </c>
      <c r="AC21" s="1">
        <v>1.01</v>
      </c>
      <c r="AD21" s="1">
        <v>3.4653465346534653</v>
      </c>
      <c r="AE21" s="1">
        <v>0.13490099009900991</v>
      </c>
      <c r="AF21" s="1">
        <v>2.460346534653465</v>
      </c>
      <c r="AG21" s="2">
        <v>15.6</v>
      </c>
      <c r="AH21" s="2">
        <v>50.5</v>
      </c>
      <c r="AI21" s="2">
        <v>33.9</v>
      </c>
      <c r="AJ21" s="1">
        <v>0.81384171739826983</v>
      </c>
      <c r="AK21" s="1">
        <v>1.1769731923528786</v>
      </c>
      <c r="AL21" s="1">
        <v>357.81435399468643</v>
      </c>
      <c r="AM21" s="1">
        <v>147.61766565713461</v>
      </c>
      <c r="AN21" s="1">
        <v>4.5925451244259313E-2</v>
      </c>
      <c r="AO21" s="1">
        <v>507.50720922781159</v>
      </c>
      <c r="AP21" s="2">
        <v>81</v>
      </c>
      <c r="AQ21" s="2">
        <v>10</v>
      </c>
      <c r="AR21" s="2">
        <v>9</v>
      </c>
    </row>
    <row r="22" spans="1:44" x14ac:dyDescent="0.2">
      <c r="A22" t="s">
        <v>57</v>
      </c>
      <c r="B22">
        <v>2008</v>
      </c>
      <c r="C22">
        <v>12</v>
      </c>
      <c r="D22" t="s">
        <v>49</v>
      </c>
      <c r="E22">
        <v>10</v>
      </c>
      <c r="F22">
        <v>5</v>
      </c>
      <c r="G22" t="s">
        <v>36</v>
      </c>
      <c r="H22" s="1">
        <v>6.64</v>
      </c>
      <c r="I22" s="1">
        <v>0.86512524084778408</v>
      </c>
      <c r="J22" s="1">
        <v>402.12254342968879</v>
      </c>
      <c r="K22" s="1">
        <v>120.95959690334266</v>
      </c>
      <c r="L22" s="1">
        <v>8.9034889223570346</v>
      </c>
      <c r="M22" s="1">
        <v>0.97178950344248627</v>
      </c>
      <c r="N22" s="1">
        <v>127.13282921499271</v>
      </c>
      <c r="O22" s="1">
        <v>844.65667422749357</v>
      </c>
      <c r="P22" s="1">
        <v>5.1728308153363756</v>
      </c>
      <c r="Q22" s="1">
        <v>3.5836817598752679</v>
      </c>
      <c r="R22" s="1">
        <v>1.5891490554611079</v>
      </c>
      <c r="S22" s="1">
        <v>2278.0200422887269</v>
      </c>
      <c r="T22" s="1">
        <v>375.74609768406037</v>
      </c>
      <c r="U22" s="1">
        <v>52.634477320238702</v>
      </c>
      <c r="V22" s="1">
        <v>68.26961111504086</v>
      </c>
      <c r="W22" s="1">
        <v>94.179517667516947</v>
      </c>
      <c r="X22" s="1">
        <v>25.909906552476087</v>
      </c>
      <c r="Y22" s="1">
        <v>0.6293510556675872</v>
      </c>
      <c r="Z22" s="1">
        <v>0.78855824724815282</v>
      </c>
      <c r="AA22" s="1">
        <v>0.85984095427435381</v>
      </c>
      <c r="AB22" s="1">
        <v>0.12624254473161034</v>
      </c>
      <c r="AC22" s="1">
        <v>1.088469184890656</v>
      </c>
      <c r="AD22" s="1">
        <v>3.2051282051282053</v>
      </c>
      <c r="AE22" s="1">
        <v>0.20044378698224852</v>
      </c>
      <c r="AF22" s="1">
        <v>2.3452872508538514</v>
      </c>
      <c r="AG22" s="2">
        <v>24</v>
      </c>
      <c r="AH22" s="2">
        <v>42.6</v>
      </c>
      <c r="AI22" s="2">
        <v>33.4</v>
      </c>
      <c r="AJ22" s="1">
        <v>1.4899589721442452</v>
      </c>
      <c r="AK22" s="1">
        <v>1.7771539624271213</v>
      </c>
      <c r="AL22" s="1">
        <v>466.08944957111976</v>
      </c>
      <c r="AM22" s="1">
        <v>178.66762233559587</v>
      </c>
      <c r="AN22" s="1">
        <v>0.22997192830922045</v>
      </c>
      <c r="AO22" s="1">
        <v>648.32325631613037</v>
      </c>
      <c r="AP22" s="2">
        <v>77</v>
      </c>
      <c r="AQ22" s="2">
        <v>15</v>
      </c>
      <c r="AR22" s="2">
        <v>8</v>
      </c>
    </row>
    <row r="23" spans="1:44" x14ac:dyDescent="0.2">
      <c r="A23" t="s">
        <v>58</v>
      </c>
      <c r="B23">
        <v>2008</v>
      </c>
      <c r="C23">
        <v>12</v>
      </c>
      <c r="D23" t="s">
        <v>49</v>
      </c>
      <c r="E23">
        <v>20</v>
      </c>
      <c r="F23">
        <v>5</v>
      </c>
      <c r="G23" t="s">
        <v>36</v>
      </c>
      <c r="H23" s="1">
        <v>6.9249999999999998</v>
      </c>
      <c r="I23" s="1">
        <v>0.63645038167938939</v>
      </c>
      <c r="J23" s="1">
        <v>259.32137277551431</v>
      </c>
      <c r="K23" s="1">
        <v>64.23866590197909</v>
      </c>
      <c r="L23" s="1">
        <v>4.083956195989666</v>
      </c>
      <c r="M23" s="3" t="s">
        <v>169</v>
      </c>
      <c r="N23" s="1">
        <v>82.014557604609621</v>
      </c>
      <c r="O23" s="3" t="s">
        <v>169</v>
      </c>
      <c r="P23" s="1">
        <v>3.673867696448903</v>
      </c>
      <c r="Q23" s="1">
        <v>3.0329011976054754</v>
      </c>
      <c r="R23" s="1">
        <v>0.64096649884342771</v>
      </c>
      <c r="S23" s="1">
        <v>3006.5984296735364</v>
      </c>
      <c r="T23" s="1">
        <v>512.11002184257723</v>
      </c>
      <c r="U23" s="1">
        <v>99.127173576989037</v>
      </c>
      <c r="V23" s="1">
        <v>66.912508048009215</v>
      </c>
      <c r="W23" s="1">
        <v>90.773589785459706</v>
      </c>
      <c r="X23" s="1">
        <v>19.288868754922778</v>
      </c>
      <c r="Y23" s="1">
        <v>0.38654989054683703</v>
      </c>
      <c r="Z23" s="1">
        <v>0.50044972340756788</v>
      </c>
      <c r="AA23" s="1">
        <v>0.51383399209486169</v>
      </c>
      <c r="AB23" s="1">
        <v>6.6699604743083007E-2</v>
      </c>
      <c r="AC23" s="1">
        <v>0.65711462450592883</v>
      </c>
      <c r="AD23" s="1">
        <v>2.105</v>
      </c>
      <c r="AE23" s="1">
        <v>0.12875</v>
      </c>
      <c r="AF23" s="1">
        <v>1.5911660079051382</v>
      </c>
      <c r="AG23" s="2">
        <v>47.6</v>
      </c>
      <c r="AH23" s="2">
        <v>36.299999999999997</v>
      </c>
      <c r="AI23" s="2">
        <v>16.100000000000001</v>
      </c>
      <c r="AJ23" s="1">
        <v>0.23617932908349881</v>
      </c>
      <c r="AK23" s="1">
        <v>0.62388964364092381</v>
      </c>
      <c r="AL23" s="1">
        <v>224.53810996192539</v>
      </c>
      <c r="AM23" s="1">
        <v>87.382675909116557</v>
      </c>
      <c r="AN23" s="1">
        <v>4.2846692444351554E-2</v>
      </c>
      <c r="AO23" s="1">
        <v>312.87490855888814</v>
      </c>
      <c r="AP23" s="2">
        <v>78</v>
      </c>
      <c r="AQ23" s="2">
        <v>13</v>
      </c>
      <c r="AR23" s="2">
        <v>9</v>
      </c>
    </row>
    <row r="24" spans="1:44" x14ac:dyDescent="0.2">
      <c r="A24" t="s">
        <v>59</v>
      </c>
      <c r="B24">
        <v>2008</v>
      </c>
      <c r="C24">
        <v>12</v>
      </c>
      <c r="D24" t="s">
        <v>49</v>
      </c>
      <c r="E24">
        <v>10</v>
      </c>
      <c r="F24">
        <v>6</v>
      </c>
      <c r="G24" t="s">
        <v>36</v>
      </c>
      <c r="H24" s="1">
        <v>6.7649999999999997</v>
      </c>
      <c r="I24" s="1">
        <v>0.93446506119226225</v>
      </c>
      <c r="J24" s="1">
        <v>398.51556370430347</v>
      </c>
      <c r="K24" s="1">
        <v>117.99744748015544</v>
      </c>
      <c r="L24" s="1">
        <v>7.4280469780273597</v>
      </c>
      <c r="M24" s="1">
        <v>0.78152843038737796</v>
      </c>
      <c r="N24" s="1">
        <v>91.857234163474644</v>
      </c>
      <c r="O24" s="1">
        <v>689.67119622390328</v>
      </c>
      <c r="P24" s="1">
        <v>3.3126694715847185</v>
      </c>
      <c r="Q24" s="1">
        <v>2.5325009787821173</v>
      </c>
      <c r="R24" s="1">
        <v>0.78016849280260114</v>
      </c>
      <c r="S24" s="1">
        <v>2700.8572570393089</v>
      </c>
      <c r="T24" s="1">
        <v>519.87523215782085</v>
      </c>
      <c r="U24" s="1">
        <v>69.25746673583383</v>
      </c>
      <c r="V24" s="1">
        <v>71.167016014557291</v>
      </c>
      <c r="W24" s="1">
        <v>93.811094433963135</v>
      </c>
      <c r="X24" s="1">
        <v>22.644078419405844</v>
      </c>
      <c r="Y24" s="1">
        <v>0.43382694225135376</v>
      </c>
      <c r="Z24" s="1">
        <v>0.41991140628252777</v>
      </c>
      <c r="AA24" s="1">
        <v>0.77191235059760954</v>
      </c>
      <c r="AB24" s="1">
        <v>8.3665338645418322E-2</v>
      </c>
      <c r="AC24" s="1">
        <v>0.84661354581673309</v>
      </c>
      <c r="AD24" s="1">
        <v>3.5679133858267718</v>
      </c>
      <c r="AE24" s="1">
        <v>0.13582677165354332</v>
      </c>
      <c r="AF24" s="1">
        <v>2.7960010352291622</v>
      </c>
      <c r="AG24" s="2">
        <v>16.7</v>
      </c>
      <c r="AH24" s="2">
        <v>50.6</v>
      </c>
      <c r="AI24" s="2">
        <v>32.700000000000003</v>
      </c>
      <c r="AJ24" s="1">
        <v>0.64718384697130715</v>
      </c>
      <c r="AK24" s="1">
        <v>1.4187035069075453</v>
      </c>
      <c r="AL24" s="1">
        <v>355.20050118358313</v>
      </c>
      <c r="AM24" s="1">
        <v>146.45305885892498</v>
      </c>
      <c r="AN24" s="1">
        <v>0.10308182784272052</v>
      </c>
      <c r="AO24" s="1">
        <v>503.87353878852298</v>
      </c>
      <c r="AP24" s="2">
        <v>52</v>
      </c>
      <c r="AQ24" s="2">
        <v>6</v>
      </c>
      <c r="AR24" s="2">
        <v>42</v>
      </c>
    </row>
    <row r="25" spans="1:44" x14ac:dyDescent="0.2">
      <c r="A25" t="s">
        <v>60</v>
      </c>
      <c r="B25">
        <v>2008</v>
      </c>
      <c r="C25">
        <v>12</v>
      </c>
      <c r="D25" t="s">
        <v>49</v>
      </c>
      <c r="E25">
        <v>20</v>
      </c>
      <c r="F25">
        <v>6</v>
      </c>
      <c r="G25" t="s">
        <v>36</v>
      </c>
      <c r="H25" s="1">
        <v>6.91</v>
      </c>
      <c r="I25" s="1">
        <v>0.67499999999999982</v>
      </c>
      <c r="J25" s="1">
        <v>268.50078359380547</v>
      </c>
      <c r="K25" s="1">
        <v>50.68882450157485</v>
      </c>
      <c r="L25" s="1">
        <v>3.5505001505580198</v>
      </c>
      <c r="M25" s="1">
        <v>0.61967392632640206</v>
      </c>
      <c r="N25" s="1">
        <v>84.944861471060861</v>
      </c>
      <c r="O25" s="1">
        <v>534.72906485534111</v>
      </c>
      <c r="P25" s="1">
        <v>2.9267211284051826</v>
      </c>
      <c r="Q25" s="1">
        <v>1.9823776430712894</v>
      </c>
      <c r="R25" s="1">
        <v>0.94434348533389301</v>
      </c>
      <c r="S25" s="1">
        <v>1313.0027033550566</v>
      </c>
      <c r="T25" s="1">
        <v>221.81007278139839</v>
      </c>
      <c r="U25" s="1">
        <v>32.473611266405413</v>
      </c>
      <c r="V25" s="1">
        <v>69.288255908567635</v>
      </c>
      <c r="W25" s="1">
        <v>88.293094601616389</v>
      </c>
      <c r="X25" s="1">
        <v>19.00483869304874</v>
      </c>
      <c r="Y25" s="1">
        <v>0.2345708237895773</v>
      </c>
      <c r="Z25" s="1">
        <v>0.317308137903964</v>
      </c>
      <c r="AA25" s="1">
        <v>0.57312252964426869</v>
      </c>
      <c r="AB25" s="1">
        <v>4.9011857707509876E-2</v>
      </c>
      <c r="AC25" s="1">
        <v>0.64229249011857714</v>
      </c>
      <c r="AD25" s="1">
        <v>2.739043824701195</v>
      </c>
      <c r="AE25" s="1">
        <v>0.11105577689243028</v>
      </c>
      <c r="AF25" s="1">
        <v>2.1659212950569264</v>
      </c>
      <c r="AG25" s="2">
        <v>31.2</v>
      </c>
      <c r="AH25" s="2">
        <v>49.1</v>
      </c>
      <c r="AI25" s="2">
        <v>19.7</v>
      </c>
      <c r="AJ25" s="1">
        <v>0.31178549158179181</v>
      </c>
      <c r="AK25" s="1">
        <v>0.59239243400540431</v>
      </c>
      <c r="AL25" s="1">
        <v>185.2225647353149</v>
      </c>
      <c r="AM25" s="1">
        <v>78.371282697651239</v>
      </c>
      <c r="AN25" s="1">
        <v>4.5053446394848727E-2</v>
      </c>
      <c r="AO25" s="1">
        <v>264.63728954479319</v>
      </c>
      <c r="AP25" s="2">
        <v>53</v>
      </c>
      <c r="AQ25" s="2">
        <v>7</v>
      </c>
      <c r="AR25" s="2">
        <v>40</v>
      </c>
    </row>
    <row r="26" spans="1:44" x14ac:dyDescent="0.2">
      <c r="A26" t="s">
        <v>61</v>
      </c>
      <c r="B26">
        <v>2005</v>
      </c>
      <c r="C26">
        <v>14</v>
      </c>
      <c r="D26" t="s">
        <v>35</v>
      </c>
      <c r="E26">
        <v>10</v>
      </c>
      <c r="F26">
        <v>1</v>
      </c>
      <c r="G26" t="s">
        <v>62</v>
      </c>
      <c r="H26" s="1">
        <v>6.8150000000000004</v>
      </c>
      <c r="I26" s="1">
        <v>0.72180192572214574</v>
      </c>
      <c r="J26" s="1">
        <v>1117.151941508944</v>
      </c>
      <c r="K26" s="1">
        <v>107.4012581744546</v>
      </c>
      <c r="L26" s="1">
        <v>7.2814801198423602</v>
      </c>
      <c r="M26" s="1">
        <v>0.68028871906884081</v>
      </c>
      <c r="N26" s="1">
        <v>59.119953540443191</v>
      </c>
      <c r="O26" s="1">
        <v>621.16876552839767</v>
      </c>
      <c r="P26" s="1">
        <v>2.0831891466486483</v>
      </c>
      <c r="Q26" s="1">
        <v>1.449147011246068</v>
      </c>
      <c r="R26" s="1">
        <v>0.63404213540258014</v>
      </c>
      <c r="S26" s="1">
        <v>2165.7195942965755</v>
      </c>
      <c r="T26" s="1">
        <v>452.0044440330912</v>
      </c>
      <c r="U26" s="1">
        <v>43.967867903167956</v>
      </c>
      <c r="V26" s="1">
        <v>80.878202868052568</v>
      </c>
      <c r="W26" s="1">
        <v>94.6341563848828</v>
      </c>
      <c r="X26" s="1">
        <v>13.755953516830232</v>
      </c>
      <c r="Y26" s="1">
        <v>0.54391390224427116</v>
      </c>
      <c r="Z26" s="1">
        <v>0.28088431297529748</v>
      </c>
      <c r="AA26" s="3" t="s">
        <v>169</v>
      </c>
      <c r="AB26" s="3" t="s">
        <v>169</v>
      </c>
      <c r="AC26" s="3" t="s">
        <v>169</v>
      </c>
      <c r="AD26" s="3" t="s">
        <v>169</v>
      </c>
      <c r="AE26" s="3" t="s">
        <v>169</v>
      </c>
      <c r="AF26" s="3" t="s">
        <v>169</v>
      </c>
      <c r="AG26" s="3" t="s">
        <v>169</v>
      </c>
      <c r="AH26" s="3" t="s">
        <v>169</v>
      </c>
      <c r="AI26" s="3" t="s">
        <v>169</v>
      </c>
      <c r="AJ26" s="3" t="s">
        <v>169</v>
      </c>
      <c r="AK26" s="3" t="s">
        <v>169</v>
      </c>
      <c r="AL26" s="3" t="s">
        <v>169</v>
      </c>
      <c r="AM26" s="3" t="s">
        <v>169</v>
      </c>
      <c r="AN26" s="3" t="s">
        <v>169</v>
      </c>
      <c r="AO26" s="3" t="s">
        <v>169</v>
      </c>
      <c r="AP26" s="3" t="s">
        <v>169</v>
      </c>
      <c r="AQ26" s="3" t="s">
        <v>169</v>
      </c>
      <c r="AR26" s="3" t="s">
        <v>169</v>
      </c>
    </row>
    <row r="27" spans="1:44" x14ac:dyDescent="0.2">
      <c r="A27" t="s">
        <v>63</v>
      </c>
      <c r="B27">
        <v>2005</v>
      </c>
      <c r="C27">
        <v>14</v>
      </c>
      <c r="D27" t="s">
        <v>35</v>
      </c>
      <c r="E27">
        <v>20</v>
      </c>
      <c r="F27">
        <v>1</v>
      </c>
      <c r="G27" t="s">
        <v>62</v>
      </c>
      <c r="H27" s="1">
        <v>6.625</v>
      </c>
      <c r="I27" s="1">
        <v>0.41620915032679723</v>
      </c>
      <c r="J27" s="1">
        <v>305.20784401354933</v>
      </c>
      <c r="K27" s="1">
        <v>50.681279618179687</v>
      </c>
      <c r="L27" s="1">
        <v>4.0736410936581322</v>
      </c>
      <c r="M27" s="3" t="s">
        <v>169</v>
      </c>
      <c r="N27" s="1">
        <v>46.507912892212666</v>
      </c>
      <c r="O27" s="3" t="s">
        <v>169</v>
      </c>
      <c r="P27" s="1">
        <v>1.9112915224445874</v>
      </c>
      <c r="Q27" s="1">
        <v>0.9365092053584404</v>
      </c>
      <c r="R27" s="1">
        <v>0.97478231708614693</v>
      </c>
      <c r="S27" s="1">
        <v>669.23372525780678</v>
      </c>
      <c r="T27" s="1">
        <v>135.02065788707111</v>
      </c>
      <c r="U27" s="1">
        <v>17.340328005085496</v>
      </c>
      <c r="V27" s="1">
        <v>72.031250836502494</v>
      </c>
      <c r="W27" s="1">
        <v>91.702440488448488</v>
      </c>
      <c r="X27" s="1">
        <v>19.671189651945987</v>
      </c>
      <c r="Y27" s="1">
        <v>0.49222448804218438</v>
      </c>
      <c r="Z27" s="1">
        <v>0.23582801405100151</v>
      </c>
      <c r="AA27" s="3" t="s">
        <v>169</v>
      </c>
      <c r="AB27" s="3" t="s">
        <v>169</v>
      </c>
      <c r="AC27" s="3" t="s">
        <v>169</v>
      </c>
      <c r="AD27" s="3" t="s">
        <v>169</v>
      </c>
      <c r="AE27" s="3" t="s">
        <v>169</v>
      </c>
      <c r="AF27" s="3" t="s">
        <v>169</v>
      </c>
      <c r="AG27" s="3" t="s">
        <v>169</v>
      </c>
      <c r="AH27" s="3" t="s">
        <v>169</v>
      </c>
      <c r="AI27" s="3" t="s">
        <v>169</v>
      </c>
      <c r="AJ27" s="3" t="s">
        <v>169</v>
      </c>
      <c r="AK27" s="3" t="s">
        <v>169</v>
      </c>
      <c r="AL27" s="3" t="s">
        <v>169</v>
      </c>
      <c r="AM27" s="3" t="s">
        <v>169</v>
      </c>
      <c r="AN27" s="3" t="s">
        <v>169</v>
      </c>
      <c r="AO27" s="3" t="s">
        <v>169</v>
      </c>
      <c r="AP27" s="3" t="s">
        <v>169</v>
      </c>
      <c r="AQ27" s="3" t="s">
        <v>169</v>
      </c>
      <c r="AR27" s="3" t="s">
        <v>169</v>
      </c>
    </row>
    <row r="28" spans="1:44" x14ac:dyDescent="0.2">
      <c r="A28" t="s">
        <v>64</v>
      </c>
      <c r="B28">
        <v>2005</v>
      </c>
      <c r="C28">
        <v>14</v>
      </c>
      <c r="D28" t="s">
        <v>35</v>
      </c>
      <c r="E28">
        <v>10</v>
      </c>
      <c r="F28">
        <v>2</v>
      </c>
      <c r="G28" t="s">
        <v>62</v>
      </c>
      <c r="H28" s="1">
        <v>6.3479999999999999</v>
      </c>
      <c r="I28" s="1">
        <v>0.5727504786215698</v>
      </c>
      <c r="J28" s="1">
        <v>1276.2787658584107</v>
      </c>
      <c r="K28" s="1">
        <v>75.328572037470479</v>
      </c>
      <c r="L28" s="1">
        <v>4.8024910736068298</v>
      </c>
      <c r="M28" s="1">
        <v>0.43947631462421766</v>
      </c>
      <c r="N28" s="1">
        <v>41.644705232850185</v>
      </c>
      <c r="O28" s="1">
        <v>397.83160939136746</v>
      </c>
      <c r="P28" s="1">
        <v>2.5164279735199511</v>
      </c>
      <c r="Q28" s="1">
        <v>1.7266271458643843</v>
      </c>
      <c r="R28" s="1">
        <v>0.78980082765556692</v>
      </c>
      <c r="S28" s="1">
        <v>1433.7183236753001</v>
      </c>
      <c r="T28" s="1">
        <v>291.5944179198998</v>
      </c>
      <c r="U28" s="1">
        <v>33.691106514605075</v>
      </c>
      <c r="V28" s="1">
        <v>79.662211264817216</v>
      </c>
      <c r="W28" s="1">
        <v>93.337312290954216</v>
      </c>
      <c r="X28" s="1">
        <v>13.675101026137</v>
      </c>
      <c r="Y28" s="1">
        <v>0.33220095829167978</v>
      </c>
      <c r="Z28" s="1">
        <v>0.28230368690908625</v>
      </c>
      <c r="AA28" s="3" t="s">
        <v>169</v>
      </c>
      <c r="AB28" s="3" t="s">
        <v>169</v>
      </c>
      <c r="AC28" s="3" t="s">
        <v>169</v>
      </c>
      <c r="AD28" s="3" t="s">
        <v>169</v>
      </c>
      <c r="AE28" s="3" t="s">
        <v>169</v>
      </c>
      <c r="AF28" s="3" t="s">
        <v>169</v>
      </c>
      <c r="AG28" s="3" t="s">
        <v>169</v>
      </c>
      <c r="AH28" s="3" t="s">
        <v>169</v>
      </c>
      <c r="AI28" s="3" t="s">
        <v>169</v>
      </c>
      <c r="AJ28" s="3" t="s">
        <v>169</v>
      </c>
      <c r="AK28" s="3" t="s">
        <v>169</v>
      </c>
      <c r="AL28" s="3" t="s">
        <v>169</v>
      </c>
      <c r="AM28" s="3" t="s">
        <v>169</v>
      </c>
      <c r="AN28" s="3" t="s">
        <v>169</v>
      </c>
      <c r="AO28" s="3" t="s">
        <v>169</v>
      </c>
      <c r="AP28" s="3" t="s">
        <v>169</v>
      </c>
      <c r="AQ28" s="3" t="s">
        <v>169</v>
      </c>
      <c r="AR28" s="3" t="s">
        <v>169</v>
      </c>
    </row>
    <row r="29" spans="1:44" x14ac:dyDescent="0.2">
      <c r="A29" t="s">
        <v>65</v>
      </c>
      <c r="B29">
        <v>2005</v>
      </c>
      <c r="C29">
        <v>14</v>
      </c>
      <c r="D29" t="s">
        <v>35</v>
      </c>
      <c r="E29">
        <v>20</v>
      </c>
      <c r="F29">
        <v>2</v>
      </c>
      <c r="G29" t="s">
        <v>62</v>
      </c>
      <c r="H29" s="1">
        <v>7.0149999999999997</v>
      </c>
      <c r="I29" s="1">
        <v>0.44389438943894383</v>
      </c>
      <c r="J29" s="1">
        <v>416.42014015958728</v>
      </c>
      <c r="K29" s="1">
        <v>35.055302896185395</v>
      </c>
      <c r="L29" s="1">
        <v>2.6405555023392955</v>
      </c>
      <c r="M29" s="1">
        <v>0.35766053284481913</v>
      </c>
      <c r="N29" s="1">
        <v>34.391809649696157</v>
      </c>
      <c r="O29" s="1">
        <v>323.26872319512296</v>
      </c>
      <c r="P29" s="1">
        <v>1.5003222955846398</v>
      </c>
      <c r="Q29" s="1">
        <v>0.94896404843935289</v>
      </c>
      <c r="R29" s="1">
        <v>0.55135824714528681</v>
      </c>
      <c r="S29" s="1">
        <v>951.16285117440532</v>
      </c>
      <c r="T29" s="1">
        <v>181.64699350445719</v>
      </c>
      <c r="U29" s="1">
        <v>16.492198124870736</v>
      </c>
      <c r="V29" s="1">
        <v>77.489081210314538</v>
      </c>
      <c r="W29" s="1">
        <v>93.170168027871668</v>
      </c>
      <c r="X29" s="1">
        <v>15.681086817557137</v>
      </c>
      <c r="Y29" s="1">
        <v>0.37324543983610237</v>
      </c>
      <c r="Z29" s="1">
        <v>0.2758935140378847</v>
      </c>
      <c r="AA29" s="3" t="s">
        <v>169</v>
      </c>
      <c r="AB29" s="3" t="s">
        <v>169</v>
      </c>
      <c r="AC29" s="3" t="s">
        <v>169</v>
      </c>
      <c r="AD29" s="3" t="s">
        <v>169</v>
      </c>
      <c r="AE29" s="3" t="s">
        <v>169</v>
      </c>
      <c r="AF29" s="3" t="s">
        <v>169</v>
      </c>
      <c r="AG29" s="3" t="s">
        <v>169</v>
      </c>
      <c r="AH29" s="3" t="s">
        <v>169</v>
      </c>
      <c r="AI29" s="3" t="s">
        <v>169</v>
      </c>
      <c r="AJ29" s="3" t="s">
        <v>169</v>
      </c>
      <c r="AK29" s="3" t="s">
        <v>169</v>
      </c>
      <c r="AL29" s="3" t="s">
        <v>169</v>
      </c>
      <c r="AM29" s="3" t="s">
        <v>169</v>
      </c>
      <c r="AN29" s="3" t="s">
        <v>169</v>
      </c>
      <c r="AO29" s="3" t="s">
        <v>169</v>
      </c>
      <c r="AP29" s="3" t="s">
        <v>169</v>
      </c>
      <c r="AQ29" s="3" t="s">
        <v>169</v>
      </c>
      <c r="AR29" s="3" t="s">
        <v>169</v>
      </c>
    </row>
    <row r="30" spans="1:44" x14ac:dyDescent="0.2">
      <c r="A30" t="s">
        <v>66</v>
      </c>
      <c r="B30">
        <v>2005</v>
      </c>
      <c r="C30">
        <v>14</v>
      </c>
      <c r="D30" t="s">
        <v>35</v>
      </c>
      <c r="E30">
        <v>10</v>
      </c>
      <c r="F30">
        <v>3</v>
      </c>
      <c r="G30" t="s">
        <v>62</v>
      </c>
      <c r="H30" s="1">
        <v>7.2249999999999996</v>
      </c>
      <c r="I30" s="1">
        <v>0.80408858603066458</v>
      </c>
      <c r="J30" s="1">
        <v>1027.2827450775237</v>
      </c>
      <c r="K30" s="1">
        <v>123.72081417859688</v>
      </c>
      <c r="L30" s="1">
        <v>7.2910266395012924</v>
      </c>
      <c r="M30" s="1">
        <v>0.45419524419080981</v>
      </c>
      <c r="N30" s="1">
        <v>41.061929945968068</v>
      </c>
      <c r="O30" s="1">
        <v>413.13331424484181</v>
      </c>
      <c r="P30" s="1">
        <v>3.3562778813961613</v>
      </c>
      <c r="Q30" s="1">
        <v>2.1146141251100841</v>
      </c>
      <c r="R30" s="1">
        <v>1.2416637562860775</v>
      </c>
      <c r="S30" s="1">
        <v>1927.731853257005</v>
      </c>
      <c r="T30" s="1">
        <v>429.24889379737505</v>
      </c>
      <c r="U30" s="1">
        <v>48.066830068554637</v>
      </c>
      <c r="V30" s="1">
        <v>79.443941748086402</v>
      </c>
      <c r="W30" s="1">
        <v>93.192901703084374</v>
      </c>
      <c r="X30" s="1">
        <v>13.748959954997979</v>
      </c>
      <c r="Y30" s="1">
        <v>0.56714030179819019</v>
      </c>
      <c r="Z30" s="1">
        <v>0.30206793473030058</v>
      </c>
      <c r="AA30" s="3" t="s">
        <v>169</v>
      </c>
      <c r="AB30" s="3" t="s">
        <v>169</v>
      </c>
      <c r="AC30" s="3" t="s">
        <v>169</v>
      </c>
      <c r="AD30" s="3" t="s">
        <v>169</v>
      </c>
      <c r="AE30" s="3" t="s">
        <v>169</v>
      </c>
      <c r="AF30" s="3" t="s">
        <v>169</v>
      </c>
      <c r="AG30" s="3" t="s">
        <v>169</v>
      </c>
      <c r="AH30" s="3" t="s">
        <v>169</v>
      </c>
      <c r="AI30" s="3" t="s">
        <v>169</v>
      </c>
      <c r="AJ30" s="3" t="s">
        <v>169</v>
      </c>
      <c r="AK30" s="3" t="s">
        <v>169</v>
      </c>
      <c r="AL30" s="3" t="s">
        <v>169</v>
      </c>
      <c r="AM30" s="3" t="s">
        <v>169</v>
      </c>
      <c r="AN30" s="3" t="s">
        <v>169</v>
      </c>
      <c r="AO30" s="3" t="s">
        <v>169</v>
      </c>
      <c r="AP30" s="3" t="s">
        <v>169</v>
      </c>
      <c r="AQ30" s="3" t="s">
        <v>169</v>
      </c>
      <c r="AR30" s="3" t="s">
        <v>169</v>
      </c>
    </row>
    <row r="31" spans="1:44" x14ac:dyDescent="0.2">
      <c r="A31" t="s">
        <v>67</v>
      </c>
      <c r="B31">
        <v>2005</v>
      </c>
      <c r="C31">
        <v>14</v>
      </c>
      <c r="D31" t="s">
        <v>35</v>
      </c>
      <c r="E31">
        <v>20</v>
      </c>
      <c r="F31">
        <v>3</v>
      </c>
      <c r="G31" t="s">
        <v>62</v>
      </c>
      <c r="H31" s="1">
        <v>6.8449999999999998</v>
      </c>
      <c r="I31" s="1">
        <v>0.67154526889040156</v>
      </c>
      <c r="J31" s="1">
        <v>286.97418131160134</v>
      </c>
      <c r="K31" s="1">
        <v>50.983606901571818</v>
      </c>
      <c r="L31" s="1">
        <v>3.8240122518953794</v>
      </c>
      <c r="M31" s="1">
        <v>0.41799884290544576</v>
      </c>
      <c r="N31" s="1">
        <v>32.302058103009287</v>
      </c>
      <c r="O31" s="1">
        <v>385.69678480243653</v>
      </c>
      <c r="P31" s="1">
        <v>2.356343291938821</v>
      </c>
      <c r="Q31" s="1">
        <v>1.3955412891010124</v>
      </c>
      <c r="R31" s="1">
        <v>0.96080200283780859</v>
      </c>
      <c r="S31" s="1">
        <v>986.67403890501521</v>
      </c>
      <c r="T31" s="1">
        <v>215.29568735469681</v>
      </c>
      <c r="U31" s="1">
        <v>15.874508906543383</v>
      </c>
      <c r="V31" s="1">
        <v>77.049138378040965</v>
      </c>
      <c r="W31" s="1">
        <v>91.254659289849826</v>
      </c>
      <c r="X31" s="1">
        <v>14.205520911808847</v>
      </c>
      <c r="Y31" s="1">
        <v>0.18438163477454428</v>
      </c>
      <c r="Z31" s="1">
        <v>0.18703662487097422</v>
      </c>
      <c r="AA31" s="3" t="s">
        <v>169</v>
      </c>
      <c r="AB31" s="3" t="s">
        <v>169</v>
      </c>
      <c r="AC31" s="3" t="s">
        <v>169</v>
      </c>
      <c r="AD31" s="3" t="s">
        <v>169</v>
      </c>
      <c r="AE31" s="3" t="s">
        <v>169</v>
      </c>
      <c r="AF31" s="3" t="s">
        <v>169</v>
      </c>
      <c r="AG31" s="3" t="s">
        <v>169</v>
      </c>
      <c r="AH31" s="3" t="s">
        <v>169</v>
      </c>
      <c r="AI31" s="3" t="s">
        <v>169</v>
      </c>
      <c r="AJ31" s="3" t="s">
        <v>169</v>
      </c>
      <c r="AK31" s="3" t="s">
        <v>169</v>
      </c>
      <c r="AL31" s="3" t="s">
        <v>169</v>
      </c>
      <c r="AM31" s="3" t="s">
        <v>169</v>
      </c>
      <c r="AN31" s="3" t="s">
        <v>169</v>
      </c>
      <c r="AO31" s="3" t="s">
        <v>169</v>
      </c>
      <c r="AP31" s="3" t="s">
        <v>169</v>
      </c>
      <c r="AQ31" s="3" t="s">
        <v>169</v>
      </c>
      <c r="AR31" s="3" t="s">
        <v>169</v>
      </c>
    </row>
    <row r="32" spans="1:44" x14ac:dyDescent="0.2">
      <c r="A32" t="s">
        <v>68</v>
      </c>
      <c r="B32">
        <v>2008</v>
      </c>
      <c r="C32">
        <v>12</v>
      </c>
      <c r="D32" t="s">
        <v>35</v>
      </c>
      <c r="E32">
        <v>10</v>
      </c>
      <c r="F32">
        <v>4</v>
      </c>
      <c r="G32" t="s">
        <v>62</v>
      </c>
      <c r="H32" s="1">
        <v>6.6550000000000002</v>
      </c>
      <c r="I32" s="1">
        <v>0.72282972550769908</v>
      </c>
      <c r="J32" s="1">
        <v>955.14995288896523</v>
      </c>
      <c r="K32" s="1">
        <v>122.34591229870639</v>
      </c>
      <c r="L32" s="1">
        <v>7.9416090726609863</v>
      </c>
      <c r="M32" s="1">
        <v>0.65944973145348085</v>
      </c>
      <c r="N32" s="1">
        <v>59.797173959229696</v>
      </c>
      <c r="O32" s="1">
        <v>599.65255749425114</v>
      </c>
      <c r="P32" s="1">
        <v>1.7291345417206823</v>
      </c>
      <c r="Q32" s="1">
        <v>1.6274524134869088</v>
      </c>
      <c r="R32" s="1">
        <v>0.10168212823377344</v>
      </c>
      <c r="S32" s="1">
        <v>1883.1752432482151</v>
      </c>
      <c r="T32" s="1">
        <v>423.38109137441046</v>
      </c>
      <c r="U32" s="1">
        <v>64.617040250535837</v>
      </c>
      <c r="V32" s="1">
        <v>74.298368016434495</v>
      </c>
      <c r="W32" s="1">
        <v>93.919850591833949</v>
      </c>
      <c r="X32" s="1">
        <v>19.621482575399469</v>
      </c>
      <c r="Y32" s="1">
        <v>0.1997129577642541</v>
      </c>
      <c r="Z32" s="1">
        <v>0.38011068078310195</v>
      </c>
      <c r="AA32" s="3" t="s">
        <v>169</v>
      </c>
      <c r="AB32" s="3" t="s">
        <v>169</v>
      </c>
      <c r="AC32" s="3" t="s">
        <v>169</v>
      </c>
      <c r="AD32" s="3" t="s">
        <v>169</v>
      </c>
      <c r="AE32" s="3" t="s">
        <v>169</v>
      </c>
      <c r="AF32" s="3" t="s">
        <v>169</v>
      </c>
      <c r="AG32" s="3" t="s">
        <v>169</v>
      </c>
      <c r="AH32" s="3" t="s">
        <v>169</v>
      </c>
      <c r="AI32" s="3" t="s">
        <v>169</v>
      </c>
      <c r="AJ32" s="3" t="s">
        <v>169</v>
      </c>
      <c r="AK32" s="3" t="s">
        <v>169</v>
      </c>
      <c r="AL32" s="3" t="s">
        <v>169</v>
      </c>
      <c r="AM32" s="3" t="s">
        <v>169</v>
      </c>
      <c r="AN32" s="3" t="s">
        <v>169</v>
      </c>
      <c r="AO32" s="3" t="s">
        <v>169</v>
      </c>
      <c r="AP32" s="3" t="s">
        <v>169</v>
      </c>
      <c r="AQ32" s="3" t="s">
        <v>169</v>
      </c>
      <c r="AR32" s="3" t="s">
        <v>169</v>
      </c>
    </row>
    <row r="33" spans="1:44" x14ac:dyDescent="0.2">
      <c r="A33" t="s">
        <v>69</v>
      </c>
      <c r="B33">
        <v>2008</v>
      </c>
      <c r="C33">
        <v>12</v>
      </c>
      <c r="D33" t="s">
        <v>35</v>
      </c>
      <c r="E33">
        <v>20</v>
      </c>
      <c r="F33">
        <v>4</v>
      </c>
      <c r="G33" t="s">
        <v>62</v>
      </c>
      <c r="H33" s="1">
        <v>6.7050000000000001</v>
      </c>
      <c r="I33" s="1">
        <v>0.34141087775982792</v>
      </c>
      <c r="J33" s="1">
        <v>183.79795640478159</v>
      </c>
      <c r="K33" s="1">
        <v>44.11132793258087</v>
      </c>
      <c r="L33" s="1">
        <v>3.2496464576315818</v>
      </c>
      <c r="M33" s="1">
        <v>0.2737916792040474</v>
      </c>
      <c r="N33" s="1">
        <v>43.442487435665655</v>
      </c>
      <c r="O33" s="1">
        <v>230.34919176838176</v>
      </c>
      <c r="P33" s="1">
        <v>1.5063776931806196</v>
      </c>
      <c r="Q33" s="1">
        <v>1.299325980663385</v>
      </c>
      <c r="R33" s="1">
        <v>0.20705171251723453</v>
      </c>
      <c r="S33" s="1">
        <v>745.61028887171949</v>
      </c>
      <c r="T33" s="1">
        <v>157.55452779618906</v>
      </c>
      <c r="U33" s="1">
        <v>23.816286318841392</v>
      </c>
      <c r="V33" s="1">
        <v>64.672183950108263</v>
      </c>
      <c r="W33" s="1">
        <v>90.931040144769469</v>
      </c>
      <c r="X33" s="1">
        <v>26.258856194661199</v>
      </c>
      <c r="Y33" s="1">
        <v>0.14869656877421789</v>
      </c>
      <c r="Z33" s="1">
        <v>0.29872802288678052</v>
      </c>
      <c r="AA33" s="3" t="s">
        <v>169</v>
      </c>
      <c r="AB33" s="3" t="s">
        <v>169</v>
      </c>
      <c r="AC33" s="3" t="s">
        <v>169</v>
      </c>
      <c r="AD33" s="3" t="s">
        <v>169</v>
      </c>
      <c r="AE33" s="3" t="s">
        <v>169</v>
      </c>
      <c r="AF33" s="3" t="s">
        <v>169</v>
      </c>
      <c r="AG33" s="3" t="s">
        <v>169</v>
      </c>
      <c r="AH33" s="3" t="s">
        <v>169</v>
      </c>
      <c r="AI33" s="3" t="s">
        <v>169</v>
      </c>
      <c r="AJ33" s="3" t="s">
        <v>169</v>
      </c>
      <c r="AK33" s="3" t="s">
        <v>169</v>
      </c>
      <c r="AL33" s="3" t="s">
        <v>169</v>
      </c>
      <c r="AM33" s="3" t="s">
        <v>169</v>
      </c>
      <c r="AN33" s="3" t="s">
        <v>169</v>
      </c>
      <c r="AO33" s="3" t="s">
        <v>169</v>
      </c>
      <c r="AP33" s="3" t="s">
        <v>169</v>
      </c>
      <c r="AQ33" s="3" t="s">
        <v>169</v>
      </c>
      <c r="AR33" s="3" t="s">
        <v>169</v>
      </c>
    </row>
    <row r="34" spans="1:44" x14ac:dyDescent="0.2">
      <c r="A34" t="s">
        <v>70</v>
      </c>
      <c r="B34">
        <v>2008</v>
      </c>
      <c r="C34">
        <v>12</v>
      </c>
      <c r="D34" t="s">
        <v>35</v>
      </c>
      <c r="E34">
        <v>10</v>
      </c>
      <c r="F34">
        <v>5</v>
      </c>
      <c r="G34" t="s">
        <v>62</v>
      </c>
      <c r="H34" s="1">
        <v>6.7</v>
      </c>
      <c r="I34" s="1">
        <v>0.82637906647807613</v>
      </c>
      <c r="J34" s="1">
        <v>771.79139389837303</v>
      </c>
      <c r="K34" s="1">
        <v>134.15405704030866</v>
      </c>
      <c r="L34" s="1">
        <v>10.694606626477288</v>
      </c>
      <c r="M34" s="1">
        <v>1.0149375950499184</v>
      </c>
      <c r="N34" s="1">
        <v>86.168852984824738</v>
      </c>
      <c r="O34" s="1">
        <v>928.76874206509365</v>
      </c>
      <c r="P34" s="1">
        <v>2.5264125567688689</v>
      </c>
      <c r="Q34" s="1">
        <v>2.5265121072079766</v>
      </c>
      <c r="R34" s="1">
        <v>0.66675609128105573</v>
      </c>
      <c r="S34" s="1">
        <v>3359.5594626150346</v>
      </c>
      <c r="T34" s="1">
        <v>720.01526670829742</v>
      </c>
      <c r="U34" s="1">
        <v>89.868795946173677</v>
      </c>
      <c r="V34" s="1">
        <v>73.966629024838213</v>
      </c>
      <c r="W34" s="1">
        <v>94.315473828198094</v>
      </c>
      <c r="X34" s="1">
        <v>20.348844803359881</v>
      </c>
      <c r="Y34" s="1">
        <v>0.66257582771783763</v>
      </c>
      <c r="Z34" s="1">
        <v>0.50896165696343043</v>
      </c>
      <c r="AA34" s="3" t="s">
        <v>169</v>
      </c>
      <c r="AB34" s="3" t="s">
        <v>169</v>
      </c>
      <c r="AC34" s="3" t="s">
        <v>169</v>
      </c>
      <c r="AD34" s="3" t="s">
        <v>169</v>
      </c>
      <c r="AE34" s="3" t="s">
        <v>169</v>
      </c>
      <c r="AF34" s="3" t="s">
        <v>169</v>
      </c>
      <c r="AG34" s="3" t="s">
        <v>169</v>
      </c>
      <c r="AH34" s="3" t="s">
        <v>169</v>
      </c>
      <c r="AI34" s="3" t="s">
        <v>169</v>
      </c>
      <c r="AJ34" s="3" t="s">
        <v>169</v>
      </c>
      <c r="AK34" s="3" t="s">
        <v>169</v>
      </c>
      <c r="AL34" s="3" t="s">
        <v>169</v>
      </c>
      <c r="AM34" s="3" t="s">
        <v>169</v>
      </c>
      <c r="AN34" s="3" t="s">
        <v>169</v>
      </c>
      <c r="AO34" s="3" t="s">
        <v>169</v>
      </c>
      <c r="AP34" s="3" t="s">
        <v>169</v>
      </c>
      <c r="AQ34" s="3" t="s">
        <v>169</v>
      </c>
      <c r="AR34" s="3" t="s">
        <v>169</v>
      </c>
    </row>
    <row r="35" spans="1:44" x14ac:dyDescent="0.2">
      <c r="A35" t="s">
        <v>71</v>
      </c>
      <c r="B35">
        <v>2008</v>
      </c>
      <c r="C35">
        <v>12</v>
      </c>
      <c r="D35" t="s">
        <v>35</v>
      </c>
      <c r="E35">
        <v>20</v>
      </c>
      <c r="F35">
        <v>5</v>
      </c>
      <c r="G35" t="s">
        <v>62</v>
      </c>
      <c r="H35" s="1">
        <v>6.6950000000000003</v>
      </c>
      <c r="I35" s="1">
        <v>0.65897693079237685</v>
      </c>
      <c r="J35" s="1">
        <v>330.34887938072075</v>
      </c>
      <c r="K35" s="1">
        <v>96.190669796823443</v>
      </c>
      <c r="L35" s="1">
        <v>7.6068550411021043</v>
      </c>
      <c r="M35" s="3" t="s">
        <v>169</v>
      </c>
      <c r="N35" s="1">
        <v>70.738399346386771</v>
      </c>
      <c r="O35" s="3" t="s">
        <v>169</v>
      </c>
      <c r="P35" s="1">
        <v>5.1671543294627362</v>
      </c>
      <c r="Q35" s="1">
        <v>2.4104929446528627</v>
      </c>
      <c r="R35" s="1">
        <v>2.7566613848098731</v>
      </c>
      <c r="S35" s="1">
        <v>2454.043327245317</v>
      </c>
      <c r="T35" s="1">
        <v>484.21209072260376</v>
      </c>
      <c r="U35" s="1">
        <v>55.997476885280442</v>
      </c>
      <c r="V35" s="1">
        <v>71.131636800176267</v>
      </c>
      <c r="W35" s="1">
        <v>92.120422799514628</v>
      </c>
      <c r="X35" s="1">
        <v>20.988785999338361</v>
      </c>
      <c r="Y35" s="1">
        <v>0.60705455430101685</v>
      </c>
      <c r="Z35" s="1">
        <v>0.25801805622241114</v>
      </c>
      <c r="AA35" s="3" t="s">
        <v>169</v>
      </c>
      <c r="AB35" s="3" t="s">
        <v>169</v>
      </c>
      <c r="AC35" s="3" t="s">
        <v>169</v>
      </c>
      <c r="AD35" s="3" t="s">
        <v>169</v>
      </c>
      <c r="AE35" s="3" t="s">
        <v>169</v>
      </c>
      <c r="AF35" s="3" t="s">
        <v>169</v>
      </c>
      <c r="AG35" s="3" t="s">
        <v>169</v>
      </c>
      <c r="AH35" s="3" t="s">
        <v>169</v>
      </c>
      <c r="AI35" s="3" t="s">
        <v>169</v>
      </c>
      <c r="AJ35" s="3" t="s">
        <v>169</v>
      </c>
      <c r="AK35" s="3" t="s">
        <v>169</v>
      </c>
      <c r="AL35" s="3" t="s">
        <v>169</v>
      </c>
      <c r="AM35" s="3" t="s">
        <v>169</v>
      </c>
      <c r="AN35" s="3" t="s">
        <v>169</v>
      </c>
      <c r="AO35" s="3" t="s">
        <v>169</v>
      </c>
      <c r="AP35" s="3" t="s">
        <v>169</v>
      </c>
      <c r="AQ35" s="3" t="s">
        <v>169</v>
      </c>
      <c r="AR35" s="3" t="s">
        <v>169</v>
      </c>
    </row>
    <row r="36" spans="1:44" x14ac:dyDescent="0.2">
      <c r="A36" t="s">
        <v>72</v>
      </c>
      <c r="B36">
        <v>2008</v>
      </c>
      <c r="C36">
        <v>12</v>
      </c>
      <c r="D36" t="s">
        <v>35</v>
      </c>
      <c r="E36">
        <v>10</v>
      </c>
      <c r="F36">
        <v>6</v>
      </c>
      <c r="G36" t="s">
        <v>62</v>
      </c>
      <c r="H36" s="1">
        <v>6.91</v>
      </c>
      <c r="I36" s="1">
        <v>0.89701897018970189</v>
      </c>
      <c r="J36" s="1">
        <v>519.13344174316376</v>
      </c>
      <c r="K36" s="1">
        <v>103.30482689941199</v>
      </c>
      <c r="L36" s="1">
        <v>6.9597669096412123</v>
      </c>
      <c r="M36" s="1">
        <v>0.83892095202377515</v>
      </c>
      <c r="N36" s="1">
        <v>58.280252339324001</v>
      </c>
      <c r="O36" s="1">
        <v>780.64069968445119</v>
      </c>
      <c r="P36" s="1">
        <v>2.1959055289091296</v>
      </c>
      <c r="Q36" s="1">
        <v>1.6293139200818492</v>
      </c>
      <c r="R36" s="1">
        <v>0.56659160882728032</v>
      </c>
      <c r="S36" s="1">
        <v>1987.4295739135216</v>
      </c>
      <c r="T36" s="1">
        <v>432.07157190112775</v>
      </c>
      <c r="U36" s="1">
        <v>45.820321146625112</v>
      </c>
      <c r="V36" s="1">
        <v>79.45220654512427</v>
      </c>
      <c r="W36" s="1">
        <v>93.861764393914342</v>
      </c>
      <c r="X36" s="1">
        <v>14.40955784879008</v>
      </c>
      <c r="Y36" s="1">
        <v>0.29721104495923756</v>
      </c>
      <c r="Z36" s="1">
        <v>0.47012740089292498</v>
      </c>
      <c r="AA36" s="3" t="s">
        <v>169</v>
      </c>
      <c r="AB36" s="3" t="s">
        <v>169</v>
      </c>
      <c r="AC36" s="3" t="s">
        <v>169</v>
      </c>
      <c r="AD36" s="3" t="s">
        <v>169</v>
      </c>
      <c r="AE36" s="3" t="s">
        <v>169</v>
      </c>
      <c r="AF36" s="3" t="s">
        <v>169</v>
      </c>
      <c r="AG36" s="3" t="s">
        <v>169</v>
      </c>
      <c r="AH36" s="3" t="s">
        <v>169</v>
      </c>
      <c r="AI36" s="3" t="s">
        <v>169</v>
      </c>
      <c r="AJ36" s="3" t="s">
        <v>169</v>
      </c>
      <c r="AK36" s="3" t="s">
        <v>169</v>
      </c>
      <c r="AL36" s="3" t="s">
        <v>169</v>
      </c>
      <c r="AM36" s="3" t="s">
        <v>169</v>
      </c>
      <c r="AN36" s="3" t="s">
        <v>169</v>
      </c>
      <c r="AO36" s="3" t="s">
        <v>169</v>
      </c>
      <c r="AP36" s="3" t="s">
        <v>169</v>
      </c>
      <c r="AQ36" s="3" t="s">
        <v>169</v>
      </c>
      <c r="AR36" s="3" t="s">
        <v>169</v>
      </c>
    </row>
    <row r="37" spans="1:44" x14ac:dyDescent="0.2">
      <c r="A37" t="s">
        <v>73</v>
      </c>
      <c r="B37">
        <v>2008</v>
      </c>
      <c r="C37">
        <v>12</v>
      </c>
      <c r="D37" t="s">
        <v>35</v>
      </c>
      <c r="E37">
        <v>20</v>
      </c>
      <c r="F37">
        <v>6</v>
      </c>
      <c r="G37" t="s">
        <v>62</v>
      </c>
      <c r="H37" s="1">
        <v>7.0250000000000004</v>
      </c>
      <c r="I37" s="1">
        <v>0.62787878787878804</v>
      </c>
      <c r="J37" s="1">
        <v>261.50888116909232</v>
      </c>
      <c r="K37" s="1">
        <v>67.328298320785166</v>
      </c>
      <c r="L37" s="1">
        <v>5.0725421386889025</v>
      </c>
      <c r="M37" s="1">
        <v>0.582685927897027</v>
      </c>
      <c r="N37" s="1">
        <v>41.557736083900416</v>
      </c>
      <c r="O37" s="1">
        <v>541.12819181312659</v>
      </c>
      <c r="P37" s="1">
        <v>2.1756354524825188</v>
      </c>
      <c r="Q37" s="1">
        <v>1.1550284232140098</v>
      </c>
      <c r="R37" s="1">
        <v>1.020607029268509</v>
      </c>
      <c r="S37" s="1">
        <v>1137.4955135325465</v>
      </c>
      <c r="T37" s="1">
        <v>235.95596683858463</v>
      </c>
      <c r="U37" s="1">
        <v>17.786565023731193</v>
      </c>
      <c r="V37" s="1">
        <v>76.488142918184877</v>
      </c>
      <c r="W37" s="1">
        <v>91.651536527604094</v>
      </c>
      <c r="X37" s="1">
        <v>15.163393609419217</v>
      </c>
      <c r="Y37" s="1">
        <v>0.28111416850634741</v>
      </c>
      <c r="Z37" s="1">
        <v>0.29260410526541442</v>
      </c>
      <c r="AA37" s="3" t="s">
        <v>169</v>
      </c>
      <c r="AB37" s="3" t="s">
        <v>169</v>
      </c>
      <c r="AC37" s="3" t="s">
        <v>169</v>
      </c>
      <c r="AD37" s="3" t="s">
        <v>169</v>
      </c>
      <c r="AE37" s="3" t="s">
        <v>169</v>
      </c>
      <c r="AF37" s="3" t="s">
        <v>169</v>
      </c>
      <c r="AG37" s="3" t="s">
        <v>169</v>
      </c>
      <c r="AH37" s="3" t="s">
        <v>169</v>
      </c>
      <c r="AI37" s="3" t="s">
        <v>169</v>
      </c>
      <c r="AJ37" s="3" t="s">
        <v>169</v>
      </c>
      <c r="AK37" s="3" t="s">
        <v>169</v>
      </c>
      <c r="AL37" s="3" t="s">
        <v>169</v>
      </c>
      <c r="AM37" s="3" t="s">
        <v>169</v>
      </c>
      <c r="AN37" s="3" t="s">
        <v>169</v>
      </c>
      <c r="AO37" s="3" t="s">
        <v>169</v>
      </c>
      <c r="AP37" s="3" t="s">
        <v>169</v>
      </c>
      <c r="AQ37" s="3" t="s">
        <v>169</v>
      </c>
      <c r="AR37" s="3" t="s">
        <v>169</v>
      </c>
    </row>
    <row r="38" spans="1:44" x14ac:dyDescent="0.2">
      <c r="A38" t="s">
        <v>74</v>
      </c>
      <c r="B38">
        <v>2005</v>
      </c>
      <c r="C38">
        <v>14</v>
      </c>
      <c r="D38" t="s">
        <v>49</v>
      </c>
      <c r="E38">
        <v>10</v>
      </c>
      <c r="F38">
        <v>1</v>
      </c>
      <c r="G38" t="s">
        <v>62</v>
      </c>
      <c r="H38" s="1">
        <v>7.2050000000000001</v>
      </c>
      <c r="I38" s="1">
        <v>1.1847187237615446</v>
      </c>
      <c r="J38" s="1">
        <v>2073.0033108456355</v>
      </c>
      <c r="K38" s="1">
        <v>133.63274572882582</v>
      </c>
      <c r="L38" s="1">
        <v>10.674906790647222</v>
      </c>
      <c r="M38" s="1">
        <v>0.87217155687467418</v>
      </c>
      <c r="N38" s="1">
        <v>76.217494287998207</v>
      </c>
      <c r="O38" s="1">
        <v>795.95406258667595</v>
      </c>
      <c r="P38" s="1">
        <v>3.4693697993093848</v>
      </c>
      <c r="Q38" s="1">
        <v>2.7619290455831131</v>
      </c>
      <c r="R38" s="1">
        <v>0.70744075372627158</v>
      </c>
      <c r="S38" s="1">
        <v>3430.0466496256731</v>
      </c>
      <c r="T38" s="1">
        <v>729.94233990632767</v>
      </c>
      <c r="U38" s="1">
        <v>77.026768777342298</v>
      </c>
      <c r="V38" s="1">
        <v>74.783263161105964</v>
      </c>
      <c r="W38" s="1">
        <v>94.160780235372982</v>
      </c>
      <c r="X38" s="1">
        <v>19.377517074267033</v>
      </c>
      <c r="Y38" s="1">
        <v>0.31547124659692555</v>
      </c>
      <c r="Z38" s="1">
        <v>0.31645597884004206</v>
      </c>
      <c r="AA38" s="3" t="s">
        <v>169</v>
      </c>
      <c r="AB38" s="3" t="s">
        <v>169</v>
      </c>
      <c r="AC38" s="3" t="s">
        <v>169</v>
      </c>
      <c r="AD38" s="3" t="s">
        <v>169</v>
      </c>
      <c r="AE38" s="3" t="s">
        <v>169</v>
      </c>
      <c r="AF38" s="3" t="s">
        <v>169</v>
      </c>
      <c r="AG38" s="3" t="s">
        <v>169</v>
      </c>
      <c r="AH38" s="3" t="s">
        <v>169</v>
      </c>
      <c r="AI38" s="3" t="s">
        <v>169</v>
      </c>
      <c r="AJ38" s="3" t="s">
        <v>169</v>
      </c>
      <c r="AK38" s="3" t="s">
        <v>169</v>
      </c>
      <c r="AL38" s="3" t="s">
        <v>169</v>
      </c>
      <c r="AM38" s="3" t="s">
        <v>169</v>
      </c>
      <c r="AN38" s="3" t="s">
        <v>169</v>
      </c>
      <c r="AO38" s="3" t="s">
        <v>169</v>
      </c>
      <c r="AP38" s="3" t="s">
        <v>169</v>
      </c>
      <c r="AQ38" s="3" t="s">
        <v>169</v>
      </c>
      <c r="AR38" s="3" t="s">
        <v>169</v>
      </c>
    </row>
    <row r="39" spans="1:44" x14ac:dyDescent="0.2">
      <c r="A39" t="s">
        <v>75</v>
      </c>
      <c r="B39">
        <v>2005</v>
      </c>
      <c r="C39">
        <v>14</v>
      </c>
      <c r="D39" t="s">
        <v>49</v>
      </c>
      <c r="E39">
        <v>20</v>
      </c>
      <c r="F39">
        <v>1</v>
      </c>
      <c r="G39" t="s">
        <v>62</v>
      </c>
      <c r="H39" s="1">
        <v>7.0949999999999998</v>
      </c>
      <c r="I39" s="1">
        <v>0.64089521871820965</v>
      </c>
      <c r="J39" s="1">
        <v>424.62869248142601</v>
      </c>
      <c r="K39" s="1">
        <v>89.724649667821282</v>
      </c>
      <c r="L39" s="1">
        <v>5.4420038848238157</v>
      </c>
      <c r="M39" s="1">
        <v>0.65354443302697629</v>
      </c>
      <c r="N39" s="1">
        <v>64.471749563128682</v>
      </c>
      <c r="O39" s="1">
        <v>589.07268346384762</v>
      </c>
      <c r="P39" s="1">
        <v>2.7402280496173432</v>
      </c>
      <c r="Q39" s="1">
        <v>1.9825419172809633</v>
      </c>
      <c r="R39" s="1">
        <v>0.75768613233637994</v>
      </c>
      <c r="S39" s="1">
        <v>1145.1817660207389</v>
      </c>
      <c r="T39" s="1">
        <v>215.8756436748921</v>
      </c>
      <c r="U39" s="1">
        <v>37.923056965375466</v>
      </c>
      <c r="V39" s="1">
        <v>71.948032770448165</v>
      </c>
      <c r="W39" s="1">
        <v>92.498906661778221</v>
      </c>
      <c r="X39" s="1">
        <v>20.550873891330063</v>
      </c>
      <c r="Y39" s="1">
        <v>0.58401295111163798</v>
      </c>
      <c r="Z39" s="1">
        <v>0.59830317329607585</v>
      </c>
      <c r="AA39" s="3" t="s">
        <v>169</v>
      </c>
      <c r="AB39" s="3" t="s">
        <v>169</v>
      </c>
      <c r="AC39" s="3" t="s">
        <v>169</v>
      </c>
      <c r="AD39" s="3" t="s">
        <v>169</v>
      </c>
      <c r="AE39" s="3" t="s">
        <v>169</v>
      </c>
      <c r="AF39" s="3" t="s">
        <v>169</v>
      </c>
      <c r="AG39" s="3" t="s">
        <v>169</v>
      </c>
      <c r="AH39" s="3" t="s">
        <v>169</v>
      </c>
      <c r="AI39" s="3" t="s">
        <v>169</v>
      </c>
      <c r="AJ39" s="3" t="s">
        <v>169</v>
      </c>
      <c r="AK39" s="3" t="s">
        <v>169</v>
      </c>
      <c r="AL39" s="3" t="s">
        <v>169</v>
      </c>
      <c r="AM39" s="3" t="s">
        <v>169</v>
      </c>
      <c r="AN39" s="3" t="s">
        <v>169</v>
      </c>
      <c r="AO39" s="3" t="s">
        <v>169</v>
      </c>
      <c r="AP39" s="3" t="s">
        <v>169</v>
      </c>
      <c r="AQ39" s="3" t="s">
        <v>169</v>
      </c>
      <c r="AR39" s="3" t="s">
        <v>169</v>
      </c>
    </row>
    <row r="40" spans="1:44" x14ac:dyDescent="0.2">
      <c r="A40" t="s">
        <v>76</v>
      </c>
      <c r="B40">
        <v>2005</v>
      </c>
      <c r="C40">
        <v>14</v>
      </c>
      <c r="D40" t="s">
        <v>49</v>
      </c>
      <c r="E40">
        <v>10</v>
      </c>
      <c r="F40">
        <v>2</v>
      </c>
      <c r="G40" t="s">
        <v>62</v>
      </c>
      <c r="H40" s="1">
        <v>6.8849999999999998</v>
      </c>
      <c r="I40" s="1">
        <v>0.53891841200375112</v>
      </c>
      <c r="J40" s="1">
        <v>460.81394822407441</v>
      </c>
      <c r="K40" s="1">
        <v>93.228574463679351</v>
      </c>
      <c r="L40" s="1">
        <v>5.7693362003992288</v>
      </c>
      <c r="M40" s="1">
        <v>0.44317778928367801</v>
      </c>
      <c r="N40" s="1">
        <v>46.689798436594906</v>
      </c>
      <c r="O40" s="1">
        <v>396.48799084708304</v>
      </c>
      <c r="P40" s="1">
        <v>1.7877332980097533</v>
      </c>
      <c r="Q40" s="1">
        <v>1.4768595517320851</v>
      </c>
      <c r="R40" s="1">
        <v>0.31087374627766828</v>
      </c>
      <c r="S40" s="1">
        <v>1228.3723206021255</v>
      </c>
      <c r="T40" s="1">
        <v>267.39216345262867</v>
      </c>
      <c r="U40" s="1">
        <v>28.384213509561704</v>
      </c>
      <c r="V40" s="1">
        <v>76.239380277332586</v>
      </c>
      <c r="W40" s="1">
        <v>93.242299343609062</v>
      </c>
      <c r="X40" s="1">
        <v>17.002919066276483</v>
      </c>
      <c r="Y40" s="1">
        <v>0.37872184788011648</v>
      </c>
      <c r="Z40" s="1">
        <v>0.19077947269831816</v>
      </c>
      <c r="AA40" s="3" t="s">
        <v>169</v>
      </c>
      <c r="AB40" s="3" t="s">
        <v>169</v>
      </c>
      <c r="AC40" s="3" t="s">
        <v>169</v>
      </c>
      <c r="AD40" s="3" t="s">
        <v>169</v>
      </c>
      <c r="AE40" s="3" t="s">
        <v>169</v>
      </c>
      <c r="AF40" s="3" t="s">
        <v>169</v>
      </c>
      <c r="AG40" s="3" t="s">
        <v>169</v>
      </c>
      <c r="AH40" s="3" t="s">
        <v>169</v>
      </c>
      <c r="AI40" s="3" t="s">
        <v>169</v>
      </c>
      <c r="AJ40" s="3" t="s">
        <v>169</v>
      </c>
      <c r="AK40" s="3" t="s">
        <v>169</v>
      </c>
      <c r="AL40" s="3" t="s">
        <v>169</v>
      </c>
      <c r="AM40" s="3" t="s">
        <v>169</v>
      </c>
      <c r="AN40" s="3" t="s">
        <v>169</v>
      </c>
      <c r="AO40" s="3" t="s">
        <v>169</v>
      </c>
      <c r="AP40" s="3" t="s">
        <v>169</v>
      </c>
      <c r="AQ40" s="3" t="s">
        <v>169</v>
      </c>
      <c r="AR40" s="3" t="s">
        <v>169</v>
      </c>
    </row>
    <row r="41" spans="1:44" x14ac:dyDescent="0.2">
      <c r="A41" t="s">
        <v>77</v>
      </c>
      <c r="B41">
        <v>2005</v>
      </c>
      <c r="C41">
        <v>14</v>
      </c>
      <c r="D41" t="s">
        <v>49</v>
      </c>
      <c r="E41">
        <v>20</v>
      </c>
      <c r="F41">
        <v>2</v>
      </c>
      <c r="G41" t="s">
        <v>62</v>
      </c>
      <c r="H41" s="1">
        <v>7.22</v>
      </c>
      <c r="I41" s="1">
        <v>0.42936906756002235</v>
      </c>
      <c r="J41" s="1">
        <v>273.97210394645811</v>
      </c>
      <c r="K41" s="1">
        <v>56.806031383459874</v>
      </c>
      <c r="L41" s="1">
        <v>3.7224693036888592</v>
      </c>
      <c r="M41" s="1">
        <v>0.37269222773096777</v>
      </c>
      <c r="N41" s="1">
        <v>46.232383582887032</v>
      </c>
      <c r="O41" s="1">
        <v>326.45984414808078</v>
      </c>
      <c r="P41" s="1">
        <v>1.7923209806685814</v>
      </c>
      <c r="Q41" s="1">
        <v>1.2236668822675707</v>
      </c>
      <c r="R41" s="1">
        <v>0.56865409840101067</v>
      </c>
      <c r="S41" s="1">
        <v>771.73080366649174</v>
      </c>
      <c r="T41" s="1">
        <v>159.03494379965326</v>
      </c>
      <c r="U41" s="1">
        <v>13.8816282027467</v>
      </c>
      <c r="V41" s="1">
        <v>75.590858859321145</v>
      </c>
      <c r="W41" s="1">
        <v>91.643004594866568</v>
      </c>
      <c r="X41" s="1">
        <v>16.052145735545409</v>
      </c>
      <c r="Y41" s="1">
        <v>0.42453895408225817</v>
      </c>
      <c r="Z41" s="1">
        <v>0.37247123518801284</v>
      </c>
      <c r="AA41" s="3" t="s">
        <v>169</v>
      </c>
      <c r="AB41" s="3" t="s">
        <v>169</v>
      </c>
      <c r="AC41" s="3" t="s">
        <v>169</v>
      </c>
      <c r="AD41" s="3" t="s">
        <v>169</v>
      </c>
      <c r="AE41" s="3" t="s">
        <v>169</v>
      </c>
      <c r="AF41" s="3" t="s">
        <v>169</v>
      </c>
      <c r="AG41" s="3" t="s">
        <v>169</v>
      </c>
      <c r="AH41" s="3" t="s">
        <v>169</v>
      </c>
      <c r="AI41" s="3" t="s">
        <v>169</v>
      </c>
      <c r="AJ41" s="3" t="s">
        <v>169</v>
      </c>
      <c r="AK41" s="3" t="s">
        <v>169</v>
      </c>
      <c r="AL41" s="3" t="s">
        <v>169</v>
      </c>
      <c r="AM41" s="3" t="s">
        <v>169</v>
      </c>
      <c r="AN41" s="3" t="s">
        <v>169</v>
      </c>
      <c r="AO41" s="3" t="s">
        <v>169</v>
      </c>
      <c r="AP41" s="3" t="s">
        <v>169</v>
      </c>
      <c r="AQ41" s="3" t="s">
        <v>169</v>
      </c>
      <c r="AR41" s="3" t="s">
        <v>169</v>
      </c>
    </row>
    <row r="42" spans="1:44" x14ac:dyDescent="0.2">
      <c r="A42" t="s">
        <v>78</v>
      </c>
      <c r="B42">
        <v>2005</v>
      </c>
      <c r="C42">
        <v>14</v>
      </c>
      <c r="D42" t="s">
        <v>49</v>
      </c>
      <c r="E42">
        <v>10</v>
      </c>
      <c r="F42">
        <v>3</v>
      </c>
      <c r="G42" t="s">
        <v>62</v>
      </c>
      <c r="H42" s="1">
        <v>7.4749999999999996</v>
      </c>
      <c r="I42" s="1">
        <v>1.1823349365981637</v>
      </c>
      <c r="J42" s="1">
        <v>541.14738778144022</v>
      </c>
      <c r="K42" s="1">
        <v>121.40965654658663</v>
      </c>
      <c r="L42" s="1">
        <v>9.1183620031054318</v>
      </c>
      <c r="M42" s="1">
        <v>0.88332239250671407</v>
      </c>
      <c r="N42" s="1">
        <v>74.969427755495815</v>
      </c>
      <c r="O42" s="1">
        <v>808.35296475121834</v>
      </c>
      <c r="P42" s="1">
        <v>4.7244006362340292</v>
      </c>
      <c r="Q42" s="1">
        <v>2.3879752480578835</v>
      </c>
      <c r="R42" s="1">
        <v>2.3364253881761452</v>
      </c>
      <c r="S42" s="1">
        <v>2022.0624000833122</v>
      </c>
      <c r="T42" s="1">
        <v>429.12673244512371</v>
      </c>
      <c r="U42" s="1">
        <v>70.571062052386694</v>
      </c>
      <c r="V42" s="1">
        <v>75.11731665497976</v>
      </c>
      <c r="W42" s="1">
        <v>94.135531360008358</v>
      </c>
      <c r="X42" s="1">
        <v>19.018214705028598</v>
      </c>
      <c r="Y42" s="1">
        <v>0.68082811209281779</v>
      </c>
      <c r="Z42" s="1">
        <v>0.38331515293196533</v>
      </c>
      <c r="AA42" s="3" t="s">
        <v>169</v>
      </c>
      <c r="AB42" s="3" t="s">
        <v>169</v>
      </c>
      <c r="AC42" s="3" t="s">
        <v>169</v>
      </c>
      <c r="AD42" s="3" t="s">
        <v>169</v>
      </c>
      <c r="AE42" s="3" t="s">
        <v>169</v>
      </c>
      <c r="AF42" s="3" t="s">
        <v>169</v>
      </c>
      <c r="AG42" s="3" t="s">
        <v>169</v>
      </c>
      <c r="AH42" s="3" t="s">
        <v>169</v>
      </c>
      <c r="AI42" s="3" t="s">
        <v>169</v>
      </c>
      <c r="AJ42" s="3" t="s">
        <v>169</v>
      </c>
      <c r="AK42" s="3" t="s">
        <v>169</v>
      </c>
      <c r="AL42" s="3" t="s">
        <v>169</v>
      </c>
      <c r="AM42" s="3" t="s">
        <v>169</v>
      </c>
      <c r="AN42" s="3" t="s">
        <v>169</v>
      </c>
      <c r="AO42" s="3" t="s">
        <v>169</v>
      </c>
      <c r="AP42" s="3" t="s">
        <v>169</v>
      </c>
      <c r="AQ42" s="3" t="s">
        <v>169</v>
      </c>
      <c r="AR42" s="3" t="s">
        <v>169</v>
      </c>
    </row>
    <row r="43" spans="1:44" x14ac:dyDescent="0.2">
      <c r="A43" t="s">
        <v>79</v>
      </c>
      <c r="B43">
        <v>2005</v>
      </c>
      <c r="C43">
        <v>14</v>
      </c>
      <c r="D43" t="s">
        <v>49</v>
      </c>
      <c r="E43">
        <v>20</v>
      </c>
      <c r="F43">
        <v>3</v>
      </c>
      <c r="G43" t="s">
        <v>62</v>
      </c>
      <c r="H43" s="1">
        <v>7.375</v>
      </c>
      <c r="I43" s="1">
        <v>0.7794022092267705</v>
      </c>
      <c r="J43" s="1">
        <v>341.38005518467548</v>
      </c>
      <c r="K43" s="1">
        <v>91.195632621271983</v>
      </c>
      <c r="L43" s="1">
        <v>6.0382578379955598</v>
      </c>
      <c r="M43" s="1">
        <v>0.70372323200452203</v>
      </c>
      <c r="N43" s="1">
        <v>57.107811440908272</v>
      </c>
      <c r="O43" s="1">
        <v>646.61542056361384</v>
      </c>
      <c r="P43" s="1">
        <v>2.5292393553048989</v>
      </c>
      <c r="Q43" s="1">
        <v>1.6675337353724087</v>
      </c>
      <c r="R43" s="1">
        <v>0.8617056199324904</v>
      </c>
      <c r="S43" s="1">
        <v>1688.5695799751736</v>
      </c>
      <c r="T43" s="1">
        <v>351.05599990838698</v>
      </c>
      <c r="U43" s="1">
        <v>30.722330000810327</v>
      </c>
      <c r="V43" s="1">
        <v>72.930063091236292</v>
      </c>
      <c r="W43" s="1">
        <v>91.489001589954029</v>
      </c>
      <c r="X43" s="1">
        <v>18.558938498717737</v>
      </c>
      <c r="Y43" s="1">
        <v>0.52493243619440466</v>
      </c>
      <c r="Z43" s="1">
        <v>0.32111477157546914</v>
      </c>
      <c r="AA43" s="3" t="s">
        <v>169</v>
      </c>
      <c r="AB43" s="3" t="s">
        <v>169</v>
      </c>
      <c r="AC43" s="3" t="s">
        <v>169</v>
      </c>
      <c r="AD43" s="3" t="s">
        <v>169</v>
      </c>
      <c r="AE43" s="3" t="s">
        <v>169</v>
      </c>
      <c r="AF43" s="3" t="s">
        <v>169</v>
      </c>
      <c r="AG43" s="3" t="s">
        <v>169</v>
      </c>
      <c r="AH43" s="3" t="s">
        <v>169</v>
      </c>
      <c r="AI43" s="3" t="s">
        <v>169</v>
      </c>
      <c r="AJ43" s="3" t="s">
        <v>169</v>
      </c>
      <c r="AK43" s="3" t="s">
        <v>169</v>
      </c>
      <c r="AL43" s="3" t="s">
        <v>169</v>
      </c>
      <c r="AM43" s="3" t="s">
        <v>169</v>
      </c>
      <c r="AN43" s="3" t="s">
        <v>169</v>
      </c>
      <c r="AO43" s="3" t="s">
        <v>169</v>
      </c>
      <c r="AP43" s="3" t="s">
        <v>169</v>
      </c>
      <c r="AQ43" s="3" t="s">
        <v>169</v>
      </c>
      <c r="AR43" s="3" t="s">
        <v>169</v>
      </c>
    </row>
    <row r="44" spans="1:44" x14ac:dyDescent="0.2">
      <c r="A44" t="s">
        <v>80</v>
      </c>
      <c r="B44">
        <v>2008</v>
      </c>
      <c r="C44">
        <v>12</v>
      </c>
      <c r="D44" t="s">
        <v>49</v>
      </c>
      <c r="E44">
        <v>10</v>
      </c>
      <c r="F44">
        <v>4</v>
      </c>
      <c r="G44" t="s">
        <v>62</v>
      </c>
      <c r="H44" s="1">
        <v>6.8049999999999997</v>
      </c>
      <c r="I44" s="1">
        <v>1.1779513888888888</v>
      </c>
      <c r="J44" s="1">
        <v>2243.362302288218</v>
      </c>
      <c r="K44" s="1">
        <v>113.9183726709187</v>
      </c>
      <c r="L44" s="1">
        <v>9.5412727526345282</v>
      </c>
      <c r="M44" s="1">
        <v>0.7939648223387451</v>
      </c>
      <c r="N44" s="1">
        <v>104.28744534834111</v>
      </c>
      <c r="O44" s="1">
        <v>689.67737699040401</v>
      </c>
      <c r="P44" s="1">
        <v>4.5590150263383586</v>
      </c>
      <c r="Q44" s="1">
        <v>3.9710293383543087</v>
      </c>
      <c r="R44" s="1">
        <v>0.58798568798405004</v>
      </c>
      <c r="S44" s="1">
        <v>2839.1130012977696</v>
      </c>
      <c r="T44" s="1">
        <v>637.36216970031649</v>
      </c>
      <c r="U44" s="1">
        <v>81.033443952700679</v>
      </c>
      <c r="V44" s="1">
        <v>75.021384151911704</v>
      </c>
      <c r="W44" s="1">
        <v>94.072620302407842</v>
      </c>
      <c r="X44" s="1">
        <v>19.051236150496138</v>
      </c>
      <c r="Y44" s="1">
        <v>0.81730066151347525</v>
      </c>
      <c r="Z44" s="1">
        <v>0.46803352454722646</v>
      </c>
      <c r="AA44" s="3" t="s">
        <v>169</v>
      </c>
      <c r="AB44" s="3" t="s">
        <v>169</v>
      </c>
      <c r="AC44" s="3" t="s">
        <v>169</v>
      </c>
      <c r="AD44" s="3" t="s">
        <v>169</v>
      </c>
      <c r="AE44" s="3" t="s">
        <v>169</v>
      </c>
      <c r="AF44" s="3" t="s">
        <v>169</v>
      </c>
      <c r="AG44" s="3" t="s">
        <v>169</v>
      </c>
      <c r="AH44" s="3" t="s">
        <v>169</v>
      </c>
      <c r="AI44" s="3" t="s">
        <v>169</v>
      </c>
      <c r="AJ44" s="3" t="s">
        <v>169</v>
      </c>
      <c r="AK44" s="3" t="s">
        <v>169</v>
      </c>
      <c r="AL44" s="3" t="s">
        <v>169</v>
      </c>
      <c r="AM44" s="3" t="s">
        <v>169</v>
      </c>
      <c r="AN44" s="3" t="s">
        <v>169</v>
      </c>
      <c r="AO44" s="3" t="s">
        <v>169</v>
      </c>
      <c r="AP44" s="3" t="s">
        <v>169</v>
      </c>
      <c r="AQ44" s="3" t="s">
        <v>169</v>
      </c>
      <c r="AR44" s="3" t="s">
        <v>169</v>
      </c>
    </row>
    <row r="45" spans="1:44" x14ac:dyDescent="0.2">
      <c r="A45" t="s">
        <v>81</v>
      </c>
      <c r="B45">
        <v>2008</v>
      </c>
      <c r="C45">
        <v>12</v>
      </c>
      <c r="D45" t="s">
        <v>49</v>
      </c>
      <c r="E45">
        <v>20</v>
      </c>
      <c r="F45">
        <v>4</v>
      </c>
      <c r="G45" t="s">
        <v>62</v>
      </c>
      <c r="H45" s="1">
        <v>6.97</v>
      </c>
      <c r="I45" s="1">
        <v>0.89985538684020261</v>
      </c>
      <c r="J45" s="1">
        <v>504.34381504069427</v>
      </c>
      <c r="K45" s="1">
        <v>72.489904962742969</v>
      </c>
      <c r="L45" s="1">
        <v>4.6936227825772656</v>
      </c>
      <c r="M45" s="1">
        <v>0.75557480413030376</v>
      </c>
      <c r="N45" s="1">
        <v>69.923523637474545</v>
      </c>
      <c r="O45" s="1">
        <v>685.65128049282919</v>
      </c>
      <c r="P45" s="1">
        <v>4.3102059444647418</v>
      </c>
      <c r="Q45" s="1">
        <v>2.6733742493180981</v>
      </c>
      <c r="R45" s="1">
        <v>1.6368316951466437</v>
      </c>
      <c r="S45" s="1">
        <v>1819.7592524567406</v>
      </c>
      <c r="T45" s="1">
        <v>382.76892496867299</v>
      </c>
      <c r="U45" s="1">
        <v>49.787963868846866</v>
      </c>
      <c r="V45" s="1">
        <v>73.882647595552072</v>
      </c>
      <c r="W45" s="1">
        <v>93.831925382150018</v>
      </c>
      <c r="X45" s="1">
        <v>19.949277786597939</v>
      </c>
      <c r="Y45" s="1">
        <v>0.62364988371618069</v>
      </c>
      <c r="Z45" s="1">
        <v>0.4546524804032453</v>
      </c>
      <c r="AA45" s="3" t="s">
        <v>169</v>
      </c>
      <c r="AB45" s="3" t="s">
        <v>169</v>
      </c>
      <c r="AC45" s="3" t="s">
        <v>169</v>
      </c>
      <c r="AD45" s="3" t="s">
        <v>169</v>
      </c>
      <c r="AE45" s="3" t="s">
        <v>169</v>
      </c>
      <c r="AF45" s="3" t="s">
        <v>169</v>
      </c>
      <c r="AG45" s="3" t="s">
        <v>169</v>
      </c>
      <c r="AH45" s="3" t="s">
        <v>169</v>
      </c>
      <c r="AI45" s="3" t="s">
        <v>169</v>
      </c>
      <c r="AJ45" s="3" t="s">
        <v>169</v>
      </c>
      <c r="AK45" s="3" t="s">
        <v>169</v>
      </c>
      <c r="AL45" s="3" t="s">
        <v>169</v>
      </c>
      <c r="AM45" s="3" t="s">
        <v>169</v>
      </c>
      <c r="AN45" s="3" t="s">
        <v>169</v>
      </c>
      <c r="AO45" s="3" t="s">
        <v>169</v>
      </c>
      <c r="AP45" s="3" t="s">
        <v>169</v>
      </c>
      <c r="AQ45" s="3" t="s">
        <v>169</v>
      </c>
      <c r="AR45" s="3" t="s">
        <v>169</v>
      </c>
    </row>
    <row r="46" spans="1:44" x14ac:dyDescent="0.2">
      <c r="A46" t="s">
        <v>82</v>
      </c>
      <c r="B46">
        <v>2008</v>
      </c>
      <c r="C46">
        <v>12</v>
      </c>
      <c r="D46" t="s">
        <v>49</v>
      </c>
      <c r="E46">
        <v>10</v>
      </c>
      <c r="F46">
        <v>5</v>
      </c>
      <c r="G46" t="s">
        <v>62</v>
      </c>
      <c r="H46" s="1">
        <v>6.99</v>
      </c>
      <c r="I46" s="1">
        <v>0.98126743722598675</v>
      </c>
      <c r="J46" s="1">
        <v>648.50759875256222</v>
      </c>
      <c r="K46" s="1">
        <v>109.10120712217562</v>
      </c>
      <c r="L46" s="1">
        <v>8.4951371439457137</v>
      </c>
      <c r="M46" s="1">
        <v>1.0244951333360215</v>
      </c>
      <c r="N46" s="1">
        <v>87.660770045382037</v>
      </c>
      <c r="O46" s="1">
        <v>936.83436329063943</v>
      </c>
      <c r="P46" s="1">
        <v>5.3999546933114342</v>
      </c>
      <c r="Q46" s="1">
        <v>3.4073294515485517</v>
      </c>
      <c r="R46" s="1">
        <v>1.9926252417628825</v>
      </c>
      <c r="S46" s="1">
        <v>2972.3129673559811</v>
      </c>
      <c r="T46" s="1">
        <v>601.84271730488206</v>
      </c>
      <c r="U46" s="1">
        <v>85.091598610392623</v>
      </c>
      <c r="V46" s="1">
        <v>71.478218676240786</v>
      </c>
      <c r="W46" s="1">
        <v>93.708491727336295</v>
      </c>
      <c r="X46" s="1">
        <v>22.230273051095509</v>
      </c>
      <c r="Y46" s="1">
        <v>0.61313421107832056</v>
      </c>
      <c r="Z46" s="1">
        <v>0.31671568235941822</v>
      </c>
      <c r="AA46" s="3" t="s">
        <v>169</v>
      </c>
      <c r="AB46" s="3" t="s">
        <v>169</v>
      </c>
      <c r="AC46" s="3" t="s">
        <v>169</v>
      </c>
      <c r="AD46" s="3" t="s">
        <v>169</v>
      </c>
      <c r="AE46" s="3" t="s">
        <v>169</v>
      </c>
      <c r="AF46" s="3" t="s">
        <v>169</v>
      </c>
      <c r="AG46" s="3" t="s">
        <v>169</v>
      </c>
      <c r="AH46" s="3" t="s">
        <v>169</v>
      </c>
      <c r="AI46" s="3" t="s">
        <v>169</v>
      </c>
      <c r="AJ46" s="3" t="s">
        <v>169</v>
      </c>
      <c r="AK46" s="3" t="s">
        <v>169</v>
      </c>
      <c r="AL46" s="3" t="s">
        <v>169</v>
      </c>
      <c r="AM46" s="3" t="s">
        <v>169</v>
      </c>
      <c r="AN46" s="3" t="s">
        <v>169</v>
      </c>
      <c r="AO46" s="3" t="s">
        <v>169</v>
      </c>
      <c r="AP46" s="3" t="s">
        <v>169</v>
      </c>
      <c r="AQ46" s="3" t="s">
        <v>169</v>
      </c>
      <c r="AR46" s="3" t="s">
        <v>169</v>
      </c>
    </row>
    <row r="47" spans="1:44" x14ac:dyDescent="0.2">
      <c r="A47" t="s">
        <v>83</v>
      </c>
      <c r="B47">
        <v>2008</v>
      </c>
      <c r="C47">
        <v>12</v>
      </c>
      <c r="D47" t="s">
        <v>49</v>
      </c>
      <c r="E47">
        <v>20</v>
      </c>
      <c r="F47">
        <v>5</v>
      </c>
      <c r="G47" t="s">
        <v>62</v>
      </c>
      <c r="H47" s="1">
        <v>6.91</v>
      </c>
      <c r="I47" s="1">
        <v>0.66874610106051158</v>
      </c>
      <c r="J47" s="1">
        <v>305.81594162292043</v>
      </c>
      <c r="K47" s="1">
        <v>85.746955879508192</v>
      </c>
      <c r="L47" s="1">
        <v>6.4125856295745471</v>
      </c>
      <c r="M47" s="1">
        <v>0.80584425990631525</v>
      </c>
      <c r="N47" s="1">
        <v>71.162238817976004</v>
      </c>
      <c r="O47" s="1">
        <v>734.6820210883393</v>
      </c>
      <c r="P47" s="1">
        <v>2.5976181888708139</v>
      </c>
      <c r="Q47" s="1">
        <v>1.6271067940729507</v>
      </c>
      <c r="R47" s="1">
        <v>0.9705113947978633</v>
      </c>
      <c r="S47" s="1">
        <v>1603.8625710899973</v>
      </c>
      <c r="T47" s="1">
        <v>310.54537950742389</v>
      </c>
      <c r="U47" s="1">
        <v>46.161056254696277</v>
      </c>
      <c r="V47" s="1">
        <v>70.902062919940391</v>
      </c>
      <c r="W47" s="1">
        <v>90.754658062377857</v>
      </c>
      <c r="X47" s="1">
        <v>19.852595142437472</v>
      </c>
      <c r="Y47" s="1">
        <v>0.7406985611708502</v>
      </c>
      <c r="Z47" s="1">
        <v>0.50755134738484475</v>
      </c>
      <c r="AA47" s="3" t="s">
        <v>169</v>
      </c>
      <c r="AB47" s="3" t="s">
        <v>169</v>
      </c>
      <c r="AC47" s="3" t="s">
        <v>169</v>
      </c>
      <c r="AD47" s="3" t="s">
        <v>169</v>
      </c>
      <c r="AE47" s="3" t="s">
        <v>169</v>
      </c>
      <c r="AF47" s="3" t="s">
        <v>169</v>
      </c>
      <c r="AG47" s="3" t="s">
        <v>169</v>
      </c>
      <c r="AH47" s="3" t="s">
        <v>169</v>
      </c>
      <c r="AI47" s="3" t="s">
        <v>169</v>
      </c>
      <c r="AJ47" s="3" t="s">
        <v>169</v>
      </c>
      <c r="AK47" s="3" t="s">
        <v>169</v>
      </c>
      <c r="AL47" s="3" t="s">
        <v>169</v>
      </c>
      <c r="AM47" s="3" t="s">
        <v>169</v>
      </c>
      <c r="AN47" s="3" t="s">
        <v>169</v>
      </c>
      <c r="AO47" s="3" t="s">
        <v>169</v>
      </c>
      <c r="AP47" s="3" t="s">
        <v>169</v>
      </c>
      <c r="AQ47" s="3" t="s">
        <v>169</v>
      </c>
      <c r="AR47" s="3" t="s">
        <v>169</v>
      </c>
    </row>
    <row r="48" spans="1:44" x14ac:dyDescent="0.2">
      <c r="A48" t="s">
        <v>84</v>
      </c>
      <c r="B48">
        <v>2008</v>
      </c>
      <c r="C48">
        <v>12</v>
      </c>
      <c r="D48" t="s">
        <v>49</v>
      </c>
      <c r="E48">
        <v>10</v>
      </c>
      <c r="F48">
        <v>6</v>
      </c>
      <c r="G48" t="s">
        <v>62</v>
      </c>
      <c r="H48" s="1">
        <v>6.9749999999999996</v>
      </c>
      <c r="I48" s="1">
        <v>0.81083086053412479</v>
      </c>
      <c r="J48" s="1">
        <v>354.19595188840822</v>
      </c>
      <c r="K48" s="1">
        <v>102.29284702104694</v>
      </c>
      <c r="L48" s="1">
        <v>7.1822470446880615</v>
      </c>
      <c r="M48" s="1">
        <v>0.73255585640482457</v>
      </c>
      <c r="N48" s="1">
        <v>68.92088250266363</v>
      </c>
      <c r="O48" s="1">
        <v>663.63497390216094</v>
      </c>
      <c r="P48" s="1">
        <v>2.0576830157081467</v>
      </c>
      <c r="Q48" s="1">
        <v>1.5291436463016805</v>
      </c>
      <c r="R48" s="1">
        <v>0.52853936940646606</v>
      </c>
      <c r="S48" s="1">
        <v>1718.3544610709912</v>
      </c>
      <c r="T48" s="1">
        <v>385.19896204530261</v>
      </c>
      <c r="U48" s="1">
        <v>39.908394926629569</v>
      </c>
      <c r="V48" s="1">
        <v>71.520845871439377</v>
      </c>
      <c r="W48" s="1">
        <v>93.566591873709569</v>
      </c>
      <c r="X48" s="1">
        <v>22.045746002270185</v>
      </c>
      <c r="Y48" s="1">
        <v>0.32289655516943311</v>
      </c>
      <c r="Z48" s="1">
        <v>0.38003843355349842</v>
      </c>
      <c r="AA48" s="3" t="s">
        <v>169</v>
      </c>
      <c r="AB48" s="3" t="s">
        <v>169</v>
      </c>
      <c r="AC48" s="3" t="s">
        <v>169</v>
      </c>
      <c r="AD48" s="3" t="s">
        <v>169</v>
      </c>
      <c r="AE48" s="3" t="s">
        <v>169</v>
      </c>
      <c r="AF48" s="3" t="s">
        <v>169</v>
      </c>
      <c r="AG48" s="3" t="s">
        <v>169</v>
      </c>
      <c r="AH48" s="3" t="s">
        <v>169</v>
      </c>
      <c r="AI48" s="3" t="s">
        <v>169</v>
      </c>
      <c r="AJ48" s="3" t="s">
        <v>169</v>
      </c>
      <c r="AK48" s="3" t="s">
        <v>169</v>
      </c>
      <c r="AL48" s="3" t="s">
        <v>169</v>
      </c>
      <c r="AM48" s="3" t="s">
        <v>169</v>
      </c>
      <c r="AN48" s="3" t="s">
        <v>169</v>
      </c>
      <c r="AO48" s="3" t="s">
        <v>169</v>
      </c>
      <c r="AP48" s="3" t="s">
        <v>169</v>
      </c>
      <c r="AQ48" s="3" t="s">
        <v>169</v>
      </c>
      <c r="AR48" s="3" t="s">
        <v>169</v>
      </c>
    </row>
    <row r="49" spans="1:44" x14ac:dyDescent="0.2">
      <c r="A49" t="s">
        <v>85</v>
      </c>
      <c r="B49">
        <v>2008</v>
      </c>
      <c r="C49">
        <v>12</v>
      </c>
      <c r="D49" t="s">
        <v>49</v>
      </c>
      <c r="E49">
        <v>20</v>
      </c>
      <c r="F49">
        <v>6</v>
      </c>
      <c r="G49" t="s">
        <v>62</v>
      </c>
      <c r="H49" s="1">
        <v>7.165</v>
      </c>
      <c r="I49" s="1">
        <v>0.50077905889685226</v>
      </c>
      <c r="J49" s="1">
        <v>331.90739411824438</v>
      </c>
      <c r="K49" s="1">
        <v>67.01574045502818</v>
      </c>
      <c r="L49" s="1">
        <v>4.663583227620383</v>
      </c>
      <c r="M49" s="1">
        <v>0.44535133785343278</v>
      </c>
      <c r="N49" s="1">
        <v>43.834593980769725</v>
      </c>
      <c r="O49" s="1">
        <v>401.51674387266303</v>
      </c>
      <c r="P49" s="1">
        <v>1.9342304339887606</v>
      </c>
      <c r="Q49" s="1">
        <v>1.1046194640542983</v>
      </c>
      <c r="R49" s="1">
        <v>0.82961096993446226</v>
      </c>
      <c r="S49" s="1">
        <v>744.35249839994992</v>
      </c>
      <c r="T49" s="1">
        <v>154.55065101545429</v>
      </c>
      <c r="U49" s="1">
        <v>14.387502916890082</v>
      </c>
      <c r="V49" s="1">
        <v>71.083872797764315</v>
      </c>
      <c r="W49" s="1">
        <v>92.91236761443534</v>
      </c>
      <c r="X49" s="1">
        <v>21.828494816671025</v>
      </c>
      <c r="Y49" s="1">
        <v>0.26770056263367797</v>
      </c>
      <c r="Z49" s="1">
        <v>0.27349313101302952</v>
      </c>
      <c r="AA49" s="3" t="s">
        <v>169</v>
      </c>
      <c r="AB49" s="3" t="s">
        <v>169</v>
      </c>
      <c r="AC49" s="3" t="s">
        <v>169</v>
      </c>
      <c r="AD49" s="3" t="s">
        <v>169</v>
      </c>
      <c r="AE49" s="3" t="s">
        <v>169</v>
      </c>
      <c r="AF49" s="3" t="s">
        <v>169</v>
      </c>
      <c r="AG49" s="3" t="s">
        <v>169</v>
      </c>
      <c r="AH49" s="3" t="s">
        <v>169</v>
      </c>
      <c r="AI49" s="3" t="s">
        <v>169</v>
      </c>
      <c r="AJ49" s="3" t="s">
        <v>169</v>
      </c>
      <c r="AK49" s="3" t="s">
        <v>169</v>
      </c>
      <c r="AL49" s="3" t="s">
        <v>169</v>
      </c>
      <c r="AM49" s="3" t="s">
        <v>169</v>
      </c>
      <c r="AN49" s="3" t="s">
        <v>169</v>
      </c>
      <c r="AO49" s="3" t="s">
        <v>169</v>
      </c>
      <c r="AP49" s="3" t="s">
        <v>169</v>
      </c>
      <c r="AQ49" s="3" t="s">
        <v>169</v>
      </c>
      <c r="AR49" s="3" t="s">
        <v>169</v>
      </c>
    </row>
    <row r="50" spans="1:44" x14ac:dyDescent="0.2">
      <c r="A50" t="s">
        <v>86</v>
      </c>
      <c r="B50">
        <v>2005</v>
      </c>
      <c r="C50">
        <v>14</v>
      </c>
      <c r="D50" t="s">
        <v>35</v>
      </c>
      <c r="E50">
        <v>10</v>
      </c>
      <c r="F50">
        <v>1</v>
      </c>
      <c r="G50" t="s">
        <v>87</v>
      </c>
      <c r="H50" s="1">
        <v>6.3</v>
      </c>
      <c r="I50" s="1">
        <v>0.81660516605166056</v>
      </c>
      <c r="J50" s="1">
        <v>873.1844741365602</v>
      </c>
      <c r="K50" s="1">
        <v>105.02467508882064</v>
      </c>
      <c r="L50" s="1">
        <v>7.0892153655139385</v>
      </c>
      <c r="M50" s="1">
        <v>0.6906959213162438</v>
      </c>
      <c r="N50" s="1">
        <v>66.805520264108011</v>
      </c>
      <c r="O50" s="1">
        <v>623.89040105213576</v>
      </c>
      <c r="P50" s="1">
        <v>2.7489881698858527</v>
      </c>
      <c r="Q50" s="1">
        <v>2.0069457385657472</v>
      </c>
      <c r="R50" s="1">
        <v>0.74204243132010572</v>
      </c>
      <c r="S50" s="1">
        <v>3030.5429092818767</v>
      </c>
      <c r="T50" s="1">
        <v>421.7763924128314</v>
      </c>
      <c r="U50" s="1">
        <v>43.051603877160971</v>
      </c>
      <c r="V50" s="1">
        <v>83.495843754384481</v>
      </c>
      <c r="W50" s="1">
        <v>94.896824616013618</v>
      </c>
      <c r="X50" s="1">
        <v>11.400980861629144</v>
      </c>
      <c r="Y50" s="1">
        <v>0.33865688715594722</v>
      </c>
      <c r="Z50" s="1">
        <v>0.4480517873048866</v>
      </c>
      <c r="AA50" s="3" t="s">
        <v>169</v>
      </c>
      <c r="AB50" s="3" t="s">
        <v>169</v>
      </c>
      <c r="AC50" s="3" t="s">
        <v>169</v>
      </c>
      <c r="AD50" s="3" t="s">
        <v>169</v>
      </c>
      <c r="AE50" s="3" t="s">
        <v>169</v>
      </c>
      <c r="AF50" s="3" t="s">
        <v>169</v>
      </c>
      <c r="AG50" s="3" t="s">
        <v>169</v>
      </c>
      <c r="AH50" s="3" t="s">
        <v>169</v>
      </c>
      <c r="AI50" s="3" t="s">
        <v>169</v>
      </c>
      <c r="AJ50" s="3" t="s">
        <v>169</v>
      </c>
      <c r="AK50" s="3" t="s">
        <v>169</v>
      </c>
      <c r="AL50" s="3" t="s">
        <v>169</v>
      </c>
      <c r="AM50" s="3" t="s">
        <v>169</v>
      </c>
      <c r="AN50" s="3" t="s">
        <v>169</v>
      </c>
      <c r="AO50" s="3" t="s">
        <v>169</v>
      </c>
      <c r="AP50" s="3" t="s">
        <v>169</v>
      </c>
      <c r="AQ50" s="3" t="s">
        <v>169</v>
      </c>
      <c r="AR50" s="3" t="s">
        <v>169</v>
      </c>
    </row>
    <row r="51" spans="1:44" x14ac:dyDescent="0.2">
      <c r="A51" t="s">
        <v>88</v>
      </c>
      <c r="B51">
        <v>2005</v>
      </c>
      <c r="C51">
        <v>14</v>
      </c>
      <c r="D51" t="s">
        <v>35</v>
      </c>
      <c r="E51">
        <v>20</v>
      </c>
      <c r="F51">
        <v>1</v>
      </c>
      <c r="G51" t="s">
        <v>87</v>
      </c>
      <c r="H51" s="1">
        <v>6.35</v>
      </c>
      <c r="I51" s="1">
        <v>0.52213188798554611</v>
      </c>
      <c r="J51" s="1">
        <v>321.28154435613015</v>
      </c>
      <c r="K51" s="1">
        <v>50.207550939693675</v>
      </c>
      <c r="L51" s="1">
        <v>3.7146371564297329</v>
      </c>
      <c r="M51" s="3" t="s">
        <v>169</v>
      </c>
      <c r="N51" s="1">
        <v>55.564548421123035</v>
      </c>
      <c r="O51" s="3" t="s">
        <v>169</v>
      </c>
      <c r="P51" s="1">
        <v>2.5588269147144218</v>
      </c>
      <c r="Q51" s="1">
        <v>1.7985779835112004</v>
      </c>
      <c r="R51" s="1">
        <v>0.76024893120322157</v>
      </c>
      <c r="S51" s="1">
        <v>1390.9368138008829</v>
      </c>
      <c r="T51" s="1">
        <v>185.33178977987018</v>
      </c>
      <c r="U51" s="1">
        <v>15.39327800865146</v>
      </c>
      <c r="V51" s="1">
        <v>77.89141910198245</v>
      </c>
      <c r="W51" s="1">
        <v>92.218349789499058</v>
      </c>
      <c r="X51" s="1">
        <v>14.326930687516594</v>
      </c>
      <c r="Y51" s="1">
        <v>0.44012518524293631</v>
      </c>
      <c r="Z51" s="1">
        <v>0.4117184520037685</v>
      </c>
      <c r="AA51" s="3" t="s">
        <v>169</v>
      </c>
      <c r="AB51" s="3" t="s">
        <v>169</v>
      </c>
      <c r="AC51" s="3" t="s">
        <v>169</v>
      </c>
      <c r="AD51" s="3" t="s">
        <v>169</v>
      </c>
      <c r="AE51" s="3" t="s">
        <v>169</v>
      </c>
      <c r="AF51" s="3" t="s">
        <v>169</v>
      </c>
      <c r="AG51" s="3" t="s">
        <v>169</v>
      </c>
      <c r="AH51" s="3" t="s">
        <v>169</v>
      </c>
      <c r="AI51" s="3" t="s">
        <v>169</v>
      </c>
      <c r="AJ51" s="3" t="s">
        <v>169</v>
      </c>
      <c r="AK51" s="3" t="s">
        <v>169</v>
      </c>
      <c r="AL51" s="3" t="s">
        <v>169</v>
      </c>
      <c r="AM51" s="3" t="s">
        <v>169</v>
      </c>
      <c r="AN51" s="3" t="s">
        <v>169</v>
      </c>
      <c r="AO51" s="3" t="s">
        <v>169</v>
      </c>
      <c r="AP51" s="3" t="s">
        <v>169</v>
      </c>
      <c r="AQ51" s="3" t="s">
        <v>169</v>
      </c>
      <c r="AR51" s="3" t="s">
        <v>169</v>
      </c>
    </row>
    <row r="52" spans="1:44" x14ac:dyDescent="0.2">
      <c r="A52" t="s">
        <v>89</v>
      </c>
      <c r="B52">
        <v>2005</v>
      </c>
      <c r="C52">
        <v>14</v>
      </c>
      <c r="D52" t="s">
        <v>35</v>
      </c>
      <c r="E52">
        <v>10</v>
      </c>
      <c r="F52">
        <v>2</v>
      </c>
      <c r="G52" t="s">
        <v>87</v>
      </c>
      <c r="H52" s="1">
        <v>6.4009999999999998</v>
      </c>
      <c r="I52" s="1">
        <v>0.61868202175303877</v>
      </c>
      <c r="J52" s="1">
        <v>585.98039533607687</v>
      </c>
      <c r="K52" s="1">
        <v>77.747126661521662</v>
      </c>
      <c r="L52" s="1">
        <v>4.9452782800538184</v>
      </c>
      <c r="M52" s="1">
        <v>0.44760934218964293</v>
      </c>
      <c r="N52" s="1">
        <v>47.291502677196753</v>
      </c>
      <c r="O52" s="1">
        <v>400.3178395124462</v>
      </c>
      <c r="P52" s="1">
        <v>2.8974148102601518</v>
      </c>
      <c r="Q52" s="1">
        <v>2.1731865943128392</v>
      </c>
      <c r="R52" s="1">
        <v>0.72422821594731279</v>
      </c>
      <c r="S52" s="1">
        <v>1826.9950023242457</v>
      </c>
      <c r="T52" s="1">
        <v>270.81773620368233</v>
      </c>
      <c r="U52" s="1">
        <v>32.863556495384387</v>
      </c>
      <c r="V52" s="1">
        <v>82.214110190866819</v>
      </c>
      <c r="W52" s="1">
        <v>92.845106956946253</v>
      </c>
      <c r="X52" s="1">
        <v>10.630996766079427</v>
      </c>
      <c r="Y52" s="1">
        <v>0.37365532569761606</v>
      </c>
      <c r="Z52" s="1">
        <v>0.38030546998751169</v>
      </c>
      <c r="AA52" s="3" t="s">
        <v>169</v>
      </c>
      <c r="AB52" s="3" t="s">
        <v>169</v>
      </c>
      <c r="AC52" s="3" t="s">
        <v>169</v>
      </c>
      <c r="AD52" s="3" t="s">
        <v>169</v>
      </c>
      <c r="AE52" s="3" t="s">
        <v>169</v>
      </c>
      <c r="AF52" s="3" t="s">
        <v>169</v>
      </c>
      <c r="AG52" s="3" t="s">
        <v>169</v>
      </c>
      <c r="AH52" s="3" t="s">
        <v>169</v>
      </c>
      <c r="AI52" s="3" t="s">
        <v>169</v>
      </c>
      <c r="AJ52" s="3" t="s">
        <v>169</v>
      </c>
      <c r="AK52" s="3" t="s">
        <v>169</v>
      </c>
      <c r="AL52" s="3" t="s">
        <v>169</v>
      </c>
      <c r="AM52" s="3" t="s">
        <v>169</v>
      </c>
      <c r="AN52" s="3" t="s">
        <v>169</v>
      </c>
      <c r="AO52" s="3" t="s">
        <v>169</v>
      </c>
      <c r="AP52" s="3" t="s">
        <v>169</v>
      </c>
      <c r="AQ52" s="3" t="s">
        <v>169</v>
      </c>
      <c r="AR52" s="3" t="s">
        <v>169</v>
      </c>
    </row>
    <row r="53" spans="1:44" x14ac:dyDescent="0.2">
      <c r="A53" t="s">
        <v>90</v>
      </c>
      <c r="B53">
        <v>2005</v>
      </c>
      <c r="C53">
        <v>14</v>
      </c>
      <c r="D53" t="s">
        <v>35</v>
      </c>
      <c r="E53">
        <v>20</v>
      </c>
      <c r="F53">
        <v>2</v>
      </c>
      <c r="G53" t="s">
        <v>87</v>
      </c>
      <c r="H53" s="1">
        <v>6.585</v>
      </c>
      <c r="I53" s="1">
        <v>0.45479377219338951</v>
      </c>
      <c r="J53" s="1">
        <v>274.00859340541973</v>
      </c>
      <c r="K53" s="1">
        <v>41.957424273322374</v>
      </c>
      <c r="L53" s="1">
        <v>3.0122848847404655</v>
      </c>
      <c r="M53" s="1">
        <v>0.35892751669246015</v>
      </c>
      <c r="N53" s="1">
        <v>37.956649268298257</v>
      </c>
      <c r="O53" s="1">
        <v>320.97086742416184</v>
      </c>
      <c r="P53" s="1">
        <v>2.2416638148993031</v>
      </c>
      <c r="Q53" s="1">
        <v>1.5459601736519966</v>
      </c>
      <c r="R53" s="1">
        <v>0.69570364124730677</v>
      </c>
      <c r="S53" s="1">
        <v>1193.5304701537048</v>
      </c>
      <c r="T53" s="1">
        <v>160.75355773458662</v>
      </c>
      <c r="U53" s="1">
        <v>14.016473069662837</v>
      </c>
      <c r="V53" s="1">
        <v>81.61848239247837</v>
      </c>
      <c r="W53" s="1">
        <v>91.207017391871176</v>
      </c>
      <c r="X53" s="1">
        <v>9.5885349993927989</v>
      </c>
      <c r="Y53" s="1">
        <v>0.38496398996892162</v>
      </c>
      <c r="Z53" s="1">
        <v>0.31439383432223778</v>
      </c>
      <c r="AA53" s="3" t="s">
        <v>169</v>
      </c>
      <c r="AB53" s="3" t="s">
        <v>169</v>
      </c>
      <c r="AC53" s="3" t="s">
        <v>169</v>
      </c>
      <c r="AD53" s="3" t="s">
        <v>169</v>
      </c>
      <c r="AE53" s="3" t="s">
        <v>169</v>
      </c>
      <c r="AF53" s="3" t="s">
        <v>169</v>
      </c>
      <c r="AG53" s="3" t="s">
        <v>169</v>
      </c>
      <c r="AH53" s="3" t="s">
        <v>169</v>
      </c>
      <c r="AI53" s="3" t="s">
        <v>169</v>
      </c>
      <c r="AJ53" s="3" t="s">
        <v>169</v>
      </c>
      <c r="AK53" s="3" t="s">
        <v>169</v>
      </c>
      <c r="AL53" s="3" t="s">
        <v>169</v>
      </c>
      <c r="AM53" s="3" t="s">
        <v>169</v>
      </c>
      <c r="AN53" s="3" t="s">
        <v>169</v>
      </c>
      <c r="AO53" s="3" t="s">
        <v>169</v>
      </c>
      <c r="AP53" s="3" t="s">
        <v>169</v>
      </c>
      <c r="AQ53" s="3" t="s">
        <v>169</v>
      </c>
      <c r="AR53" s="3" t="s">
        <v>169</v>
      </c>
    </row>
    <row r="54" spans="1:44" x14ac:dyDescent="0.2">
      <c r="A54" t="s">
        <v>91</v>
      </c>
      <c r="B54">
        <v>2005</v>
      </c>
      <c r="C54">
        <v>14</v>
      </c>
      <c r="D54" t="s">
        <v>35</v>
      </c>
      <c r="E54">
        <v>10</v>
      </c>
      <c r="F54">
        <v>3</v>
      </c>
      <c r="G54" t="s">
        <v>87</v>
      </c>
      <c r="H54" s="1">
        <v>7.2249999999999996</v>
      </c>
      <c r="I54" s="1">
        <v>0.8360353721444358</v>
      </c>
      <c r="J54" s="1">
        <v>620.68758801454305</v>
      </c>
      <c r="K54" s="1">
        <v>96.525628294819569</v>
      </c>
      <c r="L54" s="1">
        <v>5.880434787734556</v>
      </c>
      <c r="M54" s="1">
        <v>0.50563463806572684</v>
      </c>
      <c r="N54" s="1">
        <v>42.833697032596547</v>
      </c>
      <c r="O54" s="1">
        <v>462.8009410331303</v>
      </c>
      <c r="P54" s="1">
        <v>3.975510128701528</v>
      </c>
      <c r="Q54" s="1">
        <v>2.269974375515647</v>
      </c>
      <c r="R54" s="1">
        <v>1.705535753185881</v>
      </c>
      <c r="S54" s="1">
        <v>1926.0745653495821</v>
      </c>
      <c r="T54" s="1">
        <v>329.17338820722478</v>
      </c>
      <c r="U54" s="1">
        <v>37.62318927039852</v>
      </c>
      <c r="V54" s="1">
        <v>81.668240608535854</v>
      </c>
      <c r="W54" s="1">
        <v>93.720554030737844</v>
      </c>
      <c r="X54" s="1">
        <v>12.052313422202005</v>
      </c>
      <c r="Y54" s="1">
        <v>0.38104666957303729</v>
      </c>
      <c r="Z54" s="1">
        <v>0.31460923467080376</v>
      </c>
      <c r="AA54" s="3" t="s">
        <v>169</v>
      </c>
      <c r="AB54" s="3" t="s">
        <v>169</v>
      </c>
      <c r="AC54" s="3" t="s">
        <v>169</v>
      </c>
      <c r="AD54" s="3" t="s">
        <v>169</v>
      </c>
      <c r="AE54" s="3" t="s">
        <v>169</v>
      </c>
      <c r="AF54" s="3" t="s">
        <v>169</v>
      </c>
      <c r="AG54" s="3" t="s">
        <v>169</v>
      </c>
      <c r="AH54" s="3" t="s">
        <v>169</v>
      </c>
      <c r="AI54" s="3" t="s">
        <v>169</v>
      </c>
      <c r="AJ54" s="3" t="s">
        <v>169</v>
      </c>
      <c r="AK54" s="3" t="s">
        <v>169</v>
      </c>
      <c r="AL54" s="3" t="s">
        <v>169</v>
      </c>
      <c r="AM54" s="3" t="s">
        <v>169</v>
      </c>
      <c r="AN54" s="3" t="s">
        <v>169</v>
      </c>
      <c r="AO54" s="3" t="s">
        <v>169</v>
      </c>
      <c r="AP54" s="3" t="s">
        <v>169</v>
      </c>
      <c r="AQ54" s="3" t="s">
        <v>169</v>
      </c>
      <c r="AR54" s="3" t="s">
        <v>169</v>
      </c>
    </row>
    <row r="55" spans="1:44" x14ac:dyDescent="0.2">
      <c r="A55" t="s">
        <v>92</v>
      </c>
      <c r="B55">
        <v>2005</v>
      </c>
      <c r="C55">
        <v>14</v>
      </c>
      <c r="D55" t="s">
        <v>35</v>
      </c>
      <c r="E55">
        <v>20</v>
      </c>
      <c r="F55">
        <v>3</v>
      </c>
      <c r="G55" t="s">
        <v>87</v>
      </c>
      <c r="H55" s="1">
        <v>6.99</v>
      </c>
      <c r="I55" s="1">
        <v>0.59025157232704406</v>
      </c>
      <c r="J55" s="1">
        <v>297.10917904775272</v>
      </c>
      <c r="K55" s="1">
        <v>47.759574431891522</v>
      </c>
      <c r="L55" s="1">
        <v>3.2964687968228503</v>
      </c>
      <c r="M55" s="1">
        <v>0.3692111801770171</v>
      </c>
      <c r="N55" s="1">
        <v>33.842362678175689</v>
      </c>
      <c r="O55" s="1">
        <v>335.36881749884134</v>
      </c>
      <c r="P55" s="1">
        <v>2.3598943109201236</v>
      </c>
      <c r="Q55" s="1">
        <v>1.5297354821170888</v>
      </c>
      <c r="R55" s="1">
        <v>0.83015882880303482</v>
      </c>
      <c r="S55" s="1">
        <v>1042.4030423302331</v>
      </c>
      <c r="T55" s="1">
        <v>127.75816081334051</v>
      </c>
      <c r="U55" s="1">
        <v>12.546525838596416</v>
      </c>
      <c r="V55" s="1">
        <v>77.698313104771501</v>
      </c>
      <c r="W55" s="1">
        <v>90.425906534258075</v>
      </c>
      <c r="X55" s="1">
        <v>12.727593429486568</v>
      </c>
      <c r="Y55" s="1">
        <v>0.337112165123297</v>
      </c>
      <c r="Z55" s="1">
        <v>0.30369543886994527</v>
      </c>
      <c r="AA55" s="3" t="s">
        <v>169</v>
      </c>
      <c r="AB55" s="3" t="s">
        <v>169</v>
      </c>
      <c r="AC55" s="3" t="s">
        <v>169</v>
      </c>
      <c r="AD55" s="3" t="s">
        <v>169</v>
      </c>
      <c r="AE55" s="3" t="s">
        <v>169</v>
      </c>
      <c r="AF55" s="3" t="s">
        <v>169</v>
      </c>
      <c r="AG55" s="3" t="s">
        <v>169</v>
      </c>
      <c r="AH55" s="3" t="s">
        <v>169</v>
      </c>
      <c r="AI55" s="3" t="s">
        <v>169</v>
      </c>
      <c r="AJ55" s="3" t="s">
        <v>169</v>
      </c>
      <c r="AK55" s="3" t="s">
        <v>169</v>
      </c>
      <c r="AL55" s="3" t="s">
        <v>169</v>
      </c>
      <c r="AM55" s="3" t="s">
        <v>169</v>
      </c>
      <c r="AN55" s="3" t="s">
        <v>169</v>
      </c>
      <c r="AO55" s="3" t="s">
        <v>169</v>
      </c>
      <c r="AP55" s="3" t="s">
        <v>169</v>
      </c>
      <c r="AQ55" s="3" t="s">
        <v>169</v>
      </c>
      <c r="AR55" s="3" t="s">
        <v>169</v>
      </c>
    </row>
    <row r="56" spans="1:44" x14ac:dyDescent="0.2">
      <c r="A56" t="s">
        <v>93</v>
      </c>
      <c r="B56">
        <v>2008</v>
      </c>
      <c r="C56">
        <v>12</v>
      </c>
      <c r="D56" t="s">
        <v>35</v>
      </c>
      <c r="E56">
        <v>10</v>
      </c>
      <c r="F56">
        <v>4</v>
      </c>
      <c r="G56" t="s">
        <v>87</v>
      </c>
      <c r="H56" s="1">
        <v>6.8849999999999998</v>
      </c>
      <c r="I56" s="1">
        <v>0.77765687341313039</v>
      </c>
      <c r="J56" s="1">
        <v>912.30062756724647</v>
      </c>
      <c r="K56" s="1">
        <v>163.41071413983258</v>
      </c>
      <c r="L56" s="1">
        <v>9.9302102221993973</v>
      </c>
      <c r="M56" s="1">
        <v>0.6286181897998121</v>
      </c>
      <c r="N56" s="1">
        <v>61.712658942979772</v>
      </c>
      <c r="O56" s="1">
        <v>566.90553085683234</v>
      </c>
      <c r="P56" s="1">
        <v>3.1087422311564588</v>
      </c>
      <c r="Q56" s="1">
        <v>2.4120373837008691</v>
      </c>
      <c r="R56" s="1">
        <v>0.69670484745558958</v>
      </c>
      <c r="S56" s="1">
        <v>2675.8086156094651</v>
      </c>
      <c r="T56" s="1">
        <v>470.06739198380376</v>
      </c>
      <c r="U56" s="1">
        <v>48.664275259917261</v>
      </c>
      <c r="V56" s="1">
        <v>79.64331210807336</v>
      </c>
      <c r="W56" s="1">
        <v>95.23854000490627</v>
      </c>
      <c r="X56" s="1">
        <v>15.595227896832917</v>
      </c>
      <c r="Y56" s="1">
        <v>0.49227007258804162</v>
      </c>
      <c r="Z56" s="1">
        <v>0.56868925223175926</v>
      </c>
      <c r="AA56" s="3" t="s">
        <v>169</v>
      </c>
      <c r="AB56" s="3" t="s">
        <v>169</v>
      </c>
      <c r="AC56" s="3" t="s">
        <v>169</v>
      </c>
      <c r="AD56" s="3" t="s">
        <v>169</v>
      </c>
      <c r="AE56" s="3" t="s">
        <v>169</v>
      </c>
      <c r="AF56" s="3" t="s">
        <v>169</v>
      </c>
      <c r="AG56" s="3" t="s">
        <v>169</v>
      </c>
      <c r="AH56" s="3" t="s">
        <v>169</v>
      </c>
      <c r="AI56" s="3" t="s">
        <v>169</v>
      </c>
      <c r="AJ56" s="3" t="s">
        <v>169</v>
      </c>
      <c r="AK56" s="3" t="s">
        <v>169</v>
      </c>
      <c r="AL56" s="3" t="s">
        <v>169</v>
      </c>
      <c r="AM56" s="3" t="s">
        <v>169</v>
      </c>
      <c r="AN56" s="3" t="s">
        <v>169</v>
      </c>
      <c r="AO56" s="3" t="s">
        <v>169</v>
      </c>
      <c r="AP56" s="3" t="s">
        <v>169</v>
      </c>
      <c r="AQ56" s="3" t="s">
        <v>169</v>
      </c>
      <c r="AR56" s="3" t="s">
        <v>169</v>
      </c>
    </row>
    <row r="57" spans="1:44" x14ac:dyDescent="0.2">
      <c r="A57" t="s">
        <v>94</v>
      </c>
      <c r="B57">
        <v>2008</v>
      </c>
      <c r="C57">
        <v>12</v>
      </c>
      <c r="D57" t="s">
        <v>35</v>
      </c>
      <c r="E57">
        <v>20</v>
      </c>
      <c r="F57">
        <v>4</v>
      </c>
      <c r="G57" t="s">
        <v>87</v>
      </c>
      <c r="H57" s="1">
        <v>6.7249999999999996</v>
      </c>
      <c r="I57" s="1">
        <v>0.39794032215473985</v>
      </c>
      <c r="J57" s="1">
        <v>430.73097870133387</v>
      </c>
      <c r="K57" s="1">
        <v>43.286579524652744</v>
      </c>
      <c r="L57" s="1">
        <v>3.0000908770672243</v>
      </c>
      <c r="M57" s="3" t="s">
        <v>169</v>
      </c>
      <c r="N57" s="1">
        <v>53.196413287031866</v>
      </c>
      <c r="O57" s="3" t="s">
        <v>169</v>
      </c>
      <c r="P57" s="1">
        <v>2.1924021946837615</v>
      </c>
      <c r="Q57" s="1">
        <v>1.4511961601745109</v>
      </c>
      <c r="R57" s="1">
        <v>0.74120603450925071</v>
      </c>
      <c r="S57" s="1">
        <v>1136.2573087726371</v>
      </c>
      <c r="T57" s="1">
        <v>158.04132752586605</v>
      </c>
      <c r="U57" s="1">
        <v>17.348389153624897</v>
      </c>
      <c r="V57" s="1">
        <v>71.212303165113227</v>
      </c>
      <c r="W57" s="1">
        <v>91.363745504975611</v>
      </c>
      <c r="X57" s="1">
        <v>20.151442339862378</v>
      </c>
      <c r="Y57" s="1">
        <v>0.73583168403961452</v>
      </c>
      <c r="Z57" s="1">
        <v>0.51520605861544555</v>
      </c>
      <c r="AA57" s="3" t="s">
        <v>169</v>
      </c>
      <c r="AB57" s="3" t="s">
        <v>169</v>
      </c>
      <c r="AC57" s="3" t="s">
        <v>169</v>
      </c>
      <c r="AD57" s="3" t="s">
        <v>169</v>
      </c>
      <c r="AE57" s="3" t="s">
        <v>169</v>
      </c>
      <c r="AF57" s="3" t="s">
        <v>169</v>
      </c>
      <c r="AG57" s="3" t="s">
        <v>169</v>
      </c>
      <c r="AH57" s="3" t="s">
        <v>169</v>
      </c>
      <c r="AI57" s="3" t="s">
        <v>169</v>
      </c>
      <c r="AJ57" s="3" t="s">
        <v>169</v>
      </c>
      <c r="AK57" s="3" t="s">
        <v>169</v>
      </c>
      <c r="AL57" s="3" t="s">
        <v>169</v>
      </c>
      <c r="AM57" s="3" t="s">
        <v>169</v>
      </c>
      <c r="AN57" s="3" t="s">
        <v>169</v>
      </c>
      <c r="AO57" s="3" t="s">
        <v>169</v>
      </c>
      <c r="AP57" s="3" t="s">
        <v>169</v>
      </c>
      <c r="AQ57" s="3" t="s">
        <v>169</v>
      </c>
      <c r="AR57" s="3" t="s">
        <v>169</v>
      </c>
    </row>
    <row r="58" spans="1:44" x14ac:dyDescent="0.2">
      <c r="A58" t="s">
        <v>95</v>
      </c>
      <c r="B58">
        <v>2008</v>
      </c>
      <c r="C58">
        <v>12</v>
      </c>
      <c r="D58" t="s">
        <v>35</v>
      </c>
      <c r="E58">
        <v>10</v>
      </c>
      <c r="F58">
        <v>5</v>
      </c>
      <c r="G58" t="s">
        <v>87</v>
      </c>
      <c r="H58" s="1">
        <v>6.6050000000000004</v>
      </c>
      <c r="I58" s="1">
        <v>0.81054897739504861</v>
      </c>
      <c r="J58" s="1">
        <v>589.35068319500408</v>
      </c>
      <c r="K58" s="1">
        <v>150.74050318497649</v>
      </c>
      <c r="L58" s="1">
        <v>10.617361461149084</v>
      </c>
      <c r="M58" s="1">
        <v>1.0371810634768386</v>
      </c>
      <c r="N58" s="1">
        <v>99.093666857960855</v>
      </c>
      <c r="O58" s="1">
        <v>938.08739661887751</v>
      </c>
      <c r="P58" s="1">
        <v>3.474675395454077</v>
      </c>
      <c r="Q58" s="1">
        <v>3.0102230082738131</v>
      </c>
      <c r="R58" s="1">
        <v>0.46445238718026399</v>
      </c>
      <c r="S58" s="1">
        <v>4006.6424307560196</v>
      </c>
      <c r="T58" s="1">
        <v>698.24557395135935</v>
      </c>
      <c r="U58" s="1">
        <v>90.337790952744555</v>
      </c>
      <c r="V58" s="1">
        <v>72.729400816127054</v>
      </c>
      <c r="W58" s="1">
        <v>93.840748580778794</v>
      </c>
      <c r="X58" s="1">
        <v>21.111347764651732</v>
      </c>
      <c r="Y58" s="1">
        <v>0.61641763357022639</v>
      </c>
      <c r="Z58" s="1">
        <v>0.44734103799340624</v>
      </c>
      <c r="AA58" s="3" t="s">
        <v>169</v>
      </c>
      <c r="AB58" s="3" t="s">
        <v>169</v>
      </c>
      <c r="AC58" s="3" t="s">
        <v>169</v>
      </c>
      <c r="AD58" s="3" t="s">
        <v>169</v>
      </c>
      <c r="AE58" s="3" t="s">
        <v>169</v>
      </c>
      <c r="AF58" s="3" t="s">
        <v>169</v>
      </c>
      <c r="AG58" s="3" t="s">
        <v>169</v>
      </c>
      <c r="AH58" s="3" t="s">
        <v>169</v>
      </c>
      <c r="AI58" s="3" t="s">
        <v>169</v>
      </c>
      <c r="AJ58" s="3" t="s">
        <v>169</v>
      </c>
      <c r="AK58" s="3" t="s">
        <v>169</v>
      </c>
      <c r="AL58" s="3" t="s">
        <v>169</v>
      </c>
      <c r="AM58" s="3" t="s">
        <v>169</v>
      </c>
      <c r="AN58" s="3" t="s">
        <v>169</v>
      </c>
      <c r="AO58" s="3" t="s">
        <v>169</v>
      </c>
      <c r="AP58" s="3" t="s">
        <v>169</v>
      </c>
      <c r="AQ58" s="3" t="s">
        <v>169</v>
      </c>
      <c r="AR58" s="3" t="s">
        <v>169</v>
      </c>
    </row>
    <row r="59" spans="1:44" x14ac:dyDescent="0.2">
      <c r="A59" t="s">
        <v>96</v>
      </c>
      <c r="B59">
        <v>2008</v>
      </c>
      <c r="C59">
        <v>12</v>
      </c>
      <c r="D59" t="s">
        <v>35</v>
      </c>
      <c r="E59">
        <v>20</v>
      </c>
      <c r="F59">
        <v>5</v>
      </c>
      <c r="G59" t="s">
        <v>87</v>
      </c>
      <c r="H59" s="1">
        <v>6.67</v>
      </c>
      <c r="I59" s="1">
        <v>0.71880312818769077</v>
      </c>
      <c r="J59" s="1">
        <v>538.21238589034419</v>
      </c>
      <c r="K59" s="1">
        <v>98.066223688346682</v>
      </c>
      <c r="L59" s="1">
        <v>7.5461447323335662</v>
      </c>
      <c r="M59" s="3" t="s">
        <v>169</v>
      </c>
      <c r="N59" s="1">
        <v>75.301903488056539</v>
      </c>
      <c r="O59" s="3" t="s">
        <v>169</v>
      </c>
      <c r="P59" s="1">
        <v>2.3611632055325718</v>
      </c>
      <c r="Q59" s="1">
        <v>2.1004592710688423</v>
      </c>
      <c r="R59" s="1">
        <v>0.26070393446372925</v>
      </c>
      <c r="S59" s="1">
        <v>1205.0634866486041</v>
      </c>
      <c r="T59" s="1">
        <v>161.90084263222766</v>
      </c>
      <c r="U59" s="1">
        <v>14.42408153619203</v>
      </c>
      <c r="V59" s="1">
        <v>72.529253169286008</v>
      </c>
      <c r="W59" s="1">
        <v>92.558882335048054</v>
      </c>
      <c r="X59" s="1">
        <v>20.029629165762053</v>
      </c>
      <c r="Y59" s="1">
        <v>0.56424847833041569</v>
      </c>
      <c r="Z59" s="1">
        <v>0.49447245110413812</v>
      </c>
      <c r="AA59" s="3" t="s">
        <v>169</v>
      </c>
      <c r="AB59" s="3" t="s">
        <v>169</v>
      </c>
      <c r="AC59" s="3" t="s">
        <v>169</v>
      </c>
      <c r="AD59" s="3" t="s">
        <v>169</v>
      </c>
      <c r="AE59" s="3" t="s">
        <v>169</v>
      </c>
      <c r="AF59" s="3" t="s">
        <v>169</v>
      </c>
      <c r="AG59" s="3" t="s">
        <v>169</v>
      </c>
      <c r="AH59" s="3" t="s">
        <v>169</v>
      </c>
      <c r="AI59" s="3" t="s">
        <v>169</v>
      </c>
      <c r="AJ59" s="3" t="s">
        <v>169</v>
      </c>
      <c r="AK59" s="3" t="s">
        <v>169</v>
      </c>
      <c r="AL59" s="3" t="s">
        <v>169</v>
      </c>
      <c r="AM59" s="3" t="s">
        <v>169</v>
      </c>
      <c r="AN59" s="3" t="s">
        <v>169</v>
      </c>
      <c r="AO59" s="3" t="s">
        <v>169</v>
      </c>
      <c r="AP59" s="3" t="s">
        <v>169</v>
      </c>
      <c r="AQ59" s="3" t="s">
        <v>169</v>
      </c>
      <c r="AR59" s="3" t="s">
        <v>169</v>
      </c>
    </row>
    <row r="60" spans="1:44" x14ac:dyDescent="0.2">
      <c r="A60" t="s">
        <v>97</v>
      </c>
      <c r="B60">
        <v>2008</v>
      </c>
      <c r="C60">
        <v>12</v>
      </c>
      <c r="D60" t="s">
        <v>35</v>
      </c>
      <c r="E60">
        <v>10</v>
      </c>
      <c r="F60">
        <v>6</v>
      </c>
      <c r="G60" t="s">
        <v>87</v>
      </c>
      <c r="H60" s="1">
        <v>6.4550000000000001</v>
      </c>
      <c r="I60" s="1">
        <v>0.77494615936827027</v>
      </c>
      <c r="J60" s="1">
        <v>606.19957074229796</v>
      </c>
      <c r="K60" s="1">
        <v>93.635150559797722</v>
      </c>
      <c r="L60" s="1">
        <v>6.5740769446527842</v>
      </c>
      <c r="M60" s="1">
        <v>0.70940501983389281</v>
      </c>
      <c r="N60" s="1">
        <v>60.430713377573063</v>
      </c>
      <c r="O60" s="1">
        <v>648.9743064563196</v>
      </c>
      <c r="P60" s="1">
        <v>4.9280148280447262</v>
      </c>
      <c r="Q60" s="1">
        <v>2.5139176904812226</v>
      </c>
      <c r="R60" s="1">
        <v>2.4140971375635032</v>
      </c>
      <c r="S60" s="1">
        <v>2134.1356307200326</v>
      </c>
      <c r="T60" s="1">
        <v>367.42869896241331</v>
      </c>
      <c r="U60" s="1">
        <v>38.687808557277798</v>
      </c>
      <c r="V60" s="1">
        <v>81.114236205135882</v>
      </c>
      <c r="W60" s="1">
        <v>93.072742626130051</v>
      </c>
      <c r="X60" s="1">
        <v>11.958506420994162</v>
      </c>
      <c r="Y60" s="1">
        <v>0.59379737158164259</v>
      </c>
      <c r="Z60" s="1">
        <v>0.49671233485504301</v>
      </c>
      <c r="AA60" s="3" t="s">
        <v>169</v>
      </c>
      <c r="AB60" s="3" t="s">
        <v>169</v>
      </c>
      <c r="AC60" s="3" t="s">
        <v>169</v>
      </c>
      <c r="AD60" s="3" t="s">
        <v>169</v>
      </c>
      <c r="AE60" s="3" t="s">
        <v>169</v>
      </c>
      <c r="AF60" s="3" t="s">
        <v>169</v>
      </c>
      <c r="AG60" s="3" t="s">
        <v>169</v>
      </c>
      <c r="AH60" s="3" t="s">
        <v>169</v>
      </c>
      <c r="AI60" s="3" t="s">
        <v>169</v>
      </c>
      <c r="AJ60" s="3" t="s">
        <v>169</v>
      </c>
      <c r="AK60" s="3" t="s">
        <v>169</v>
      </c>
      <c r="AL60" s="3" t="s">
        <v>169</v>
      </c>
      <c r="AM60" s="3" t="s">
        <v>169</v>
      </c>
      <c r="AN60" s="3" t="s">
        <v>169</v>
      </c>
      <c r="AO60" s="3" t="s">
        <v>169</v>
      </c>
      <c r="AP60" s="3" t="s">
        <v>169</v>
      </c>
      <c r="AQ60" s="3" t="s">
        <v>169</v>
      </c>
      <c r="AR60" s="3" t="s">
        <v>169</v>
      </c>
    </row>
    <row r="61" spans="1:44" x14ac:dyDescent="0.2">
      <c r="A61" t="s">
        <v>98</v>
      </c>
      <c r="B61">
        <v>2008</v>
      </c>
      <c r="C61">
        <v>12</v>
      </c>
      <c r="D61" t="s">
        <v>35</v>
      </c>
      <c r="E61">
        <v>20</v>
      </c>
      <c r="F61">
        <v>6</v>
      </c>
      <c r="G61" t="s">
        <v>87</v>
      </c>
      <c r="H61" s="1">
        <v>6.7949999999999999</v>
      </c>
      <c r="I61" s="1">
        <v>0.53219137625516821</v>
      </c>
      <c r="J61" s="1">
        <v>472.53174045094204</v>
      </c>
      <c r="K61" s="1">
        <v>42.494561296374734</v>
      </c>
      <c r="L61" s="1">
        <v>3.4100300888200605</v>
      </c>
      <c r="M61" s="1">
        <v>0.41646615835464951</v>
      </c>
      <c r="N61" s="1">
        <v>47.034398976796396</v>
      </c>
      <c r="O61" s="1">
        <v>369.4317593778531</v>
      </c>
      <c r="P61" s="1">
        <v>3.0186652631593418</v>
      </c>
      <c r="Q61" s="1">
        <v>1.5084496489787447</v>
      </c>
      <c r="R61" s="1">
        <v>1.5102156141805969</v>
      </c>
      <c r="S61" s="1">
        <v>1262.1897981855625</v>
      </c>
      <c r="T61" s="1">
        <v>177.61937730747496</v>
      </c>
      <c r="U61" s="1">
        <v>12.815741610424551</v>
      </c>
      <c r="V61" s="1">
        <v>77.698522063344939</v>
      </c>
      <c r="W61" s="1">
        <v>89.305339795187209</v>
      </c>
      <c r="X61" s="1">
        <v>11.60681773184227</v>
      </c>
      <c r="Y61" s="1">
        <v>0.40636672926643436</v>
      </c>
      <c r="Z61" s="1">
        <v>0.38269632936637504</v>
      </c>
      <c r="AA61" s="3" t="s">
        <v>169</v>
      </c>
      <c r="AB61" s="3" t="s">
        <v>169</v>
      </c>
      <c r="AC61" s="3" t="s">
        <v>169</v>
      </c>
      <c r="AD61" s="3" t="s">
        <v>169</v>
      </c>
      <c r="AE61" s="3" t="s">
        <v>169</v>
      </c>
      <c r="AF61" s="3" t="s">
        <v>169</v>
      </c>
      <c r="AG61" s="3" t="s">
        <v>169</v>
      </c>
      <c r="AH61" s="3" t="s">
        <v>169</v>
      </c>
      <c r="AI61" s="3" t="s">
        <v>169</v>
      </c>
      <c r="AJ61" s="3" t="s">
        <v>169</v>
      </c>
      <c r="AK61" s="3" t="s">
        <v>169</v>
      </c>
      <c r="AL61" s="3" t="s">
        <v>169</v>
      </c>
      <c r="AM61" s="3" t="s">
        <v>169</v>
      </c>
      <c r="AN61" s="3" t="s">
        <v>169</v>
      </c>
      <c r="AO61" s="3" t="s">
        <v>169</v>
      </c>
      <c r="AP61" s="3" t="s">
        <v>169</v>
      </c>
      <c r="AQ61" s="3" t="s">
        <v>169</v>
      </c>
      <c r="AR61" s="3" t="s">
        <v>169</v>
      </c>
    </row>
    <row r="62" spans="1:44" x14ac:dyDescent="0.2">
      <c r="A62" t="s">
        <v>99</v>
      </c>
      <c r="B62">
        <v>2005</v>
      </c>
      <c r="C62">
        <v>14</v>
      </c>
      <c r="D62" t="s">
        <v>49</v>
      </c>
      <c r="E62">
        <v>10</v>
      </c>
      <c r="F62">
        <v>1</v>
      </c>
      <c r="G62" t="s">
        <v>87</v>
      </c>
      <c r="H62" s="1">
        <v>7.28</v>
      </c>
      <c r="I62" s="1">
        <v>0.98901960784313747</v>
      </c>
      <c r="J62" s="1">
        <v>665.65524649595875</v>
      </c>
      <c r="K62" s="1">
        <v>119.62652431719147</v>
      </c>
      <c r="L62" s="1">
        <v>8.2437633729542057</v>
      </c>
      <c r="M62" s="1">
        <v>0.93116166897407349</v>
      </c>
      <c r="N62" s="1">
        <v>72.146653756039797</v>
      </c>
      <c r="O62" s="1">
        <v>859.01501521803357</v>
      </c>
      <c r="P62" s="1">
        <v>3.9154434532072644</v>
      </c>
      <c r="Q62" s="1">
        <v>2.8541080318804628</v>
      </c>
      <c r="R62" s="1">
        <v>1.0613354213268014</v>
      </c>
      <c r="S62" s="1">
        <v>2525.278438349736</v>
      </c>
      <c r="T62" s="1">
        <v>424.33199029461468</v>
      </c>
      <c r="U62" s="1">
        <v>54.713664734947372</v>
      </c>
      <c r="V62" s="1">
        <v>78.591149784972657</v>
      </c>
      <c r="W62" s="1">
        <v>94.342265541592383</v>
      </c>
      <c r="X62" s="1">
        <v>15.751115756619726</v>
      </c>
      <c r="Y62" s="1">
        <v>0.55824073594903145</v>
      </c>
      <c r="Z62" s="1">
        <v>0.40325258931288216</v>
      </c>
      <c r="AA62" s="3" t="s">
        <v>169</v>
      </c>
      <c r="AB62" s="3" t="s">
        <v>169</v>
      </c>
      <c r="AC62" s="3" t="s">
        <v>169</v>
      </c>
      <c r="AD62" s="3" t="s">
        <v>169</v>
      </c>
      <c r="AE62" s="3" t="s">
        <v>169</v>
      </c>
      <c r="AF62" s="3" t="s">
        <v>169</v>
      </c>
      <c r="AG62" s="3" t="s">
        <v>169</v>
      </c>
      <c r="AH62" s="3" t="s">
        <v>169</v>
      </c>
      <c r="AI62" s="3" t="s">
        <v>169</v>
      </c>
      <c r="AJ62" s="3" t="s">
        <v>169</v>
      </c>
      <c r="AK62" s="3" t="s">
        <v>169</v>
      </c>
      <c r="AL62" s="3" t="s">
        <v>169</v>
      </c>
      <c r="AM62" s="3" t="s">
        <v>169</v>
      </c>
      <c r="AN62" s="3" t="s">
        <v>169</v>
      </c>
      <c r="AO62" s="3" t="s">
        <v>169</v>
      </c>
      <c r="AP62" s="3" t="s">
        <v>169</v>
      </c>
      <c r="AQ62" s="3" t="s">
        <v>169</v>
      </c>
      <c r="AR62" s="3" t="s">
        <v>169</v>
      </c>
    </row>
    <row r="63" spans="1:44" x14ac:dyDescent="0.2">
      <c r="A63" t="s">
        <v>100</v>
      </c>
      <c r="B63">
        <v>2005</v>
      </c>
      <c r="C63">
        <v>14</v>
      </c>
      <c r="D63" t="s">
        <v>49</v>
      </c>
      <c r="E63">
        <v>20</v>
      </c>
      <c r="F63">
        <v>1</v>
      </c>
      <c r="G63" t="s">
        <v>87</v>
      </c>
      <c r="H63" s="1">
        <v>6.9550000000000001</v>
      </c>
      <c r="I63" s="1">
        <v>0.57576706324358184</v>
      </c>
      <c r="J63" s="1">
        <v>189.18431384276516</v>
      </c>
      <c r="K63" s="1">
        <v>73.926620008349829</v>
      </c>
      <c r="L63" s="1">
        <v>5.1041313685270664</v>
      </c>
      <c r="M63" s="3" t="s">
        <v>169</v>
      </c>
      <c r="N63" s="1">
        <v>63.490234709136033</v>
      </c>
      <c r="O63" s="3" t="s">
        <v>169</v>
      </c>
      <c r="P63" s="1">
        <v>2.6072460657258349</v>
      </c>
      <c r="Q63" s="1">
        <v>2.2624491058122413</v>
      </c>
      <c r="R63" s="1">
        <v>0.34479695991359388</v>
      </c>
      <c r="S63" s="1">
        <v>2128.7930930584616</v>
      </c>
      <c r="T63" s="1">
        <v>303.83564970351426</v>
      </c>
      <c r="U63" s="1">
        <v>28.682582997649838</v>
      </c>
      <c r="V63" s="1">
        <v>72.661033965332877</v>
      </c>
      <c r="W63" s="1">
        <v>89.671235173540339</v>
      </c>
      <c r="X63" s="1">
        <v>17.010201208207476</v>
      </c>
      <c r="Y63" s="1">
        <v>0.52657932987995471</v>
      </c>
      <c r="Z63" s="1">
        <v>0.4868109878053038</v>
      </c>
      <c r="AA63" s="3" t="s">
        <v>169</v>
      </c>
      <c r="AB63" s="3" t="s">
        <v>169</v>
      </c>
      <c r="AC63" s="3" t="s">
        <v>169</v>
      </c>
      <c r="AD63" s="3" t="s">
        <v>169</v>
      </c>
      <c r="AE63" s="3" t="s">
        <v>169</v>
      </c>
      <c r="AF63" s="3" t="s">
        <v>169</v>
      </c>
      <c r="AG63" s="3" t="s">
        <v>169</v>
      </c>
      <c r="AH63" s="3" t="s">
        <v>169</v>
      </c>
      <c r="AI63" s="3" t="s">
        <v>169</v>
      </c>
      <c r="AJ63" s="3" t="s">
        <v>169</v>
      </c>
      <c r="AK63" s="3" t="s">
        <v>169</v>
      </c>
      <c r="AL63" s="3" t="s">
        <v>169</v>
      </c>
      <c r="AM63" s="3" t="s">
        <v>169</v>
      </c>
      <c r="AN63" s="3" t="s">
        <v>169</v>
      </c>
      <c r="AO63" s="3" t="s">
        <v>169</v>
      </c>
      <c r="AP63" s="3" t="s">
        <v>169</v>
      </c>
      <c r="AQ63" s="3" t="s">
        <v>169</v>
      </c>
      <c r="AR63" s="3" t="s">
        <v>169</v>
      </c>
    </row>
    <row r="64" spans="1:44" x14ac:dyDescent="0.2">
      <c r="A64" t="s">
        <v>101</v>
      </c>
      <c r="B64">
        <v>2005</v>
      </c>
      <c r="C64">
        <v>14</v>
      </c>
      <c r="D64" t="s">
        <v>49</v>
      </c>
      <c r="E64">
        <v>10</v>
      </c>
      <c r="F64">
        <v>2</v>
      </c>
      <c r="G64" t="s">
        <v>87</v>
      </c>
      <c r="H64" s="1">
        <v>7.0449999999999999</v>
      </c>
      <c r="I64" s="1">
        <v>0.62649402390438269</v>
      </c>
      <c r="J64" s="1">
        <v>291.84483434860897</v>
      </c>
      <c r="K64" s="1">
        <v>86.473683758435953</v>
      </c>
      <c r="L64" s="1">
        <v>5.0391535526305127</v>
      </c>
      <c r="M64" s="1">
        <v>0.48484172401351727</v>
      </c>
      <c r="N64" s="1">
        <v>45.563144427707741</v>
      </c>
      <c r="O64" s="1">
        <v>439.2785795858095</v>
      </c>
      <c r="P64" s="1">
        <v>2.870515242376249</v>
      </c>
      <c r="Q64" s="1">
        <v>1.9303974140530584</v>
      </c>
      <c r="R64" s="1">
        <v>0.94011782832319069</v>
      </c>
      <c r="S64" s="1">
        <v>1994.3306770243573</v>
      </c>
      <c r="T64" s="1">
        <v>330.25384557621243</v>
      </c>
      <c r="U64" s="1">
        <v>35.786146412519052</v>
      </c>
      <c r="V64" s="1">
        <v>80.124450097295849</v>
      </c>
      <c r="W64" s="1">
        <v>93.25150282515024</v>
      </c>
      <c r="X64" s="1">
        <v>13.127052727854391</v>
      </c>
      <c r="Y64" s="1">
        <v>0.37669257915402909</v>
      </c>
      <c r="Z64" s="1">
        <v>0.30230385735838622</v>
      </c>
      <c r="AA64" s="3" t="s">
        <v>169</v>
      </c>
      <c r="AB64" s="3" t="s">
        <v>169</v>
      </c>
      <c r="AC64" s="3" t="s">
        <v>169</v>
      </c>
      <c r="AD64" s="3" t="s">
        <v>169</v>
      </c>
      <c r="AE64" s="3" t="s">
        <v>169</v>
      </c>
      <c r="AF64" s="3" t="s">
        <v>169</v>
      </c>
      <c r="AG64" s="3" t="s">
        <v>169</v>
      </c>
      <c r="AH64" s="3" t="s">
        <v>169</v>
      </c>
      <c r="AI64" s="3" t="s">
        <v>169</v>
      </c>
      <c r="AJ64" s="3" t="s">
        <v>169</v>
      </c>
      <c r="AK64" s="3" t="s">
        <v>169</v>
      </c>
      <c r="AL64" s="3" t="s">
        <v>169</v>
      </c>
      <c r="AM64" s="3" t="s">
        <v>169</v>
      </c>
      <c r="AN64" s="3" t="s">
        <v>169</v>
      </c>
      <c r="AO64" s="3" t="s">
        <v>169</v>
      </c>
      <c r="AP64" s="3" t="s">
        <v>169</v>
      </c>
      <c r="AQ64" s="3" t="s">
        <v>169</v>
      </c>
      <c r="AR64" s="3" t="s">
        <v>169</v>
      </c>
    </row>
    <row r="65" spans="1:44" x14ac:dyDescent="0.2">
      <c r="A65" t="s">
        <v>102</v>
      </c>
      <c r="B65">
        <v>2005</v>
      </c>
      <c r="C65">
        <v>14</v>
      </c>
      <c r="D65" t="s">
        <v>49</v>
      </c>
      <c r="E65">
        <v>20</v>
      </c>
      <c r="F65">
        <v>2</v>
      </c>
      <c r="G65" t="s">
        <v>87</v>
      </c>
      <c r="H65" s="1">
        <v>7.3949999999999996</v>
      </c>
      <c r="I65" s="1">
        <v>0.4635593220338981</v>
      </c>
      <c r="J65" s="1">
        <v>183.26366831702151</v>
      </c>
      <c r="K65" s="1">
        <v>49.89795672005765</v>
      </c>
      <c r="L65" s="1">
        <v>3.3700486050214846</v>
      </c>
      <c r="M65" s="1">
        <v>0.40758735322623918</v>
      </c>
      <c r="N65" s="1">
        <v>44.03541053484556</v>
      </c>
      <c r="O65" s="1">
        <v>363.55194269139366</v>
      </c>
      <c r="P65" s="1">
        <v>2.198903804983988</v>
      </c>
      <c r="Q65" s="1">
        <v>1.5778989602543831</v>
      </c>
      <c r="R65" s="1">
        <v>0.62100484472960493</v>
      </c>
      <c r="S65" s="1">
        <v>1449.5929185340417</v>
      </c>
      <c r="T65" s="1">
        <v>207.46804880844326</v>
      </c>
      <c r="U65" s="1">
        <v>17.001226473152446</v>
      </c>
      <c r="V65" s="1">
        <v>77.631602035546351</v>
      </c>
      <c r="W65" s="1">
        <v>90.93206274142301</v>
      </c>
      <c r="X65" s="1">
        <v>13.30046070587666</v>
      </c>
      <c r="Y65" s="1">
        <v>0.38696024435641052</v>
      </c>
      <c r="Z65" s="1">
        <v>0.32461321371265195</v>
      </c>
      <c r="AA65" s="3" t="s">
        <v>169</v>
      </c>
      <c r="AB65" s="3" t="s">
        <v>169</v>
      </c>
      <c r="AC65" s="3" t="s">
        <v>169</v>
      </c>
      <c r="AD65" s="3" t="s">
        <v>169</v>
      </c>
      <c r="AE65" s="3" t="s">
        <v>169</v>
      </c>
      <c r="AF65" s="3" t="s">
        <v>169</v>
      </c>
      <c r="AG65" s="3" t="s">
        <v>169</v>
      </c>
      <c r="AH65" s="3" t="s">
        <v>169</v>
      </c>
      <c r="AI65" s="3" t="s">
        <v>169</v>
      </c>
      <c r="AJ65" s="3" t="s">
        <v>169</v>
      </c>
      <c r="AK65" s="3" t="s">
        <v>169</v>
      </c>
      <c r="AL65" s="3" t="s">
        <v>169</v>
      </c>
      <c r="AM65" s="3" t="s">
        <v>169</v>
      </c>
      <c r="AN65" s="3" t="s">
        <v>169</v>
      </c>
      <c r="AO65" s="3" t="s">
        <v>169</v>
      </c>
      <c r="AP65" s="3" t="s">
        <v>169</v>
      </c>
      <c r="AQ65" s="3" t="s">
        <v>169</v>
      </c>
      <c r="AR65" s="3" t="s">
        <v>169</v>
      </c>
    </row>
    <row r="66" spans="1:44" x14ac:dyDescent="0.2">
      <c r="A66" t="s">
        <v>103</v>
      </c>
      <c r="B66">
        <v>2005</v>
      </c>
      <c r="C66">
        <v>14</v>
      </c>
      <c r="D66" t="s">
        <v>49</v>
      </c>
      <c r="E66">
        <v>10</v>
      </c>
      <c r="F66">
        <v>3</v>
      </c>
      <c r="G66" t="s">
        <v>87</v>
      </c>
      <c r="H66" s="1">
        <v>7.34</v>
      </c>
      <c r="I66" s="1">
        <v>1.1537176274018377</v>
      </c>
      <c r="J66" s="1">
        <v>432.53326760270824</v>
      </c>
      <c r="K66" s="1">
        <v>143.75798629131202</v>
      </c>
      <c r="L66" s="1">
        <v>9.0850543716487042</v>
      </c>
      <c r="M66" s="1">
        <v>0.84669224491036632</v>
      </c>
      <c r="N66" s="1">
        <v>66.466204104996407</v>
      </c>
      <c r="O66" s="1">
        <v>780.22604080536996</v>
      </c>
      <c r="P66" s="1">
        <v>2.9099784012981433</v>
      </c>
      <c r="Q66" s="1">
        <v>2.1357123521176762</v>
      </c>
      <c r="R66" s="1">
        <v>0.77426604918046738</v>
      </c>
      <c r="S66" s="1">
        <v>2170.4427177377047</v>
      </c>
      <c r="T66" s="1">
        <v>342.01031311493102</v>
      </c>
      <c r="U66" s="1">
        <v>67.604356694383682</v>
      </c>
      <c r="V66" s="1">
        <v>77.943893470317249</v>
      </c>
      <c r="W66" s="1">
        <v>93.482958602083727</v>
      </c>
      <c r="X66" s="1">
        <v>15.539065131766463</v>
      </c>
      <c r="Y66" s="1">
        <v>0.4223152108243482</v>
      </c>
      <c r="Z66" s="1">
        <v>0.38875320698117577</v>
      </c>
      <c r="AA66" s="3" t="s">
        <v>169</v>
      </c>
      <c r="AB66" s="3" t="s">
        <v>169</v>
      </c>
      <c r="AC66" s="3" t="s">
        <v>169</v>
      </c>
      <c r="AD66" s="3" t="s">
        <v>169</v>
      </c>
      <c r="AE66" s="3" t="s">
        <v>169</v>
      </c>
      <c r="AF66" s="3" t="s">
        <v>169</v>
      </c>
      <c r="AG66" s="3" t="s">
        <v>169</v>
      </c>
      <c r="AH66" s="3" t="s">
        <v>169</v>
      </c>
      <c r="AI66" s="3" t="s">
        <v>169</v>
      </c>
      <c r="AJ66" s="3" t="s">
        <v>169</v>
      </c>
      <c r="AK66" s="3" t="s">
        <v>169</v>
      </c>
      <c r="AL66" s="3" t="s">
        <v>169</v>
      </c>
      <c r="AM66" s="3" t="s">
        <v>169</v>
      </c>
      <c r="AN66" s="3" t="s">
        <v>169</v>
      </c>
      <c r="AO66" s="3" t="s">
        <v>169</v>
      </c>
      <c r="AP66" s="3" t="s">
        <v>169</v>
      </c>
      <c r="AQ66" s="3" t="s">
        <v>169</v>
      </c>
      <c r="AR66" s="3" t="s">
        <v>169</v>
      </c>
    </row>
    <row r="67" spans="1:44" x14ac:dyDescent="0.2">
      <c r="A67" t="s">
        <v>104</v>
      </c>
      <c r="B67">
        <v>2005</v>
      </c>
      <c r="C67">
        <v>14</v>
      </c>
      <c r="D67" t="s">
        <v>49</v>
      </c>
      <c r="E67">
        <v>20</v>
      </c>
      <c r="F67">
        <v>3</v>
      </c>
      <c r="G67" t="s">
        <v>87</v>
      </c>
      <c r="H67" s="1">
        <v>7.22</v>
      </c>
      <c r="I67" s="1">
        <v>0.82888651725364648</v>
      </c>
      <c r="J67" s="1">
        <v>348.17875938696949</v>
      </c>
      <c r="K67" s="1">
        <v>82.16298657219599</v>
      </c>
      <c r="L67" s="1">
        <v>5.9177272392050888</v>
      </c>
      <c r="M67" s="1">
        <v>0.73004803510974325</v>
      </c>
      <c r="N67" s="1">
        <v>54.553310625287715</v>
      </c>
      <c r="O67" s="1">
        <v>675.49472448445556</v>
      </c>
      <c r="P67" s="1">
        <v>2.9559412817874233</v>
      </c>
      <c r="Q67" s="1">
        <v>1.6068121978991929</v>
      </c>
      <c r="R67" s="1">
        <v>1.3491290838882304</v>
      </c>
      <c r="S67" s="1">
        <v>1976.8315242108247</v>
      </c>
      <c r="T67" s="1">
        <v>280.74514808080295</v>
      </c>
      <c r="U67" s="1">
        <v>28.141737501029741</v>
      </c>
      <c r="V67" s="1">
        <v>74.812008846862071</v>
      </c>
      <c r="W67" s="1">
        <v>91.137913097211623</v>
      </c>
      <c r="X67" s="1">
        <v>16.325904250349559</v>
      </c>
      <c r="Y67" s="1">
        <v>0.41072149543272923</v>
      </c>
      <c r="Z67" s="1">
        <v>0.42386760033706028</v>
      </c>
      <c r="AA67" s="3" t="s">
        <v>169</v>
      </c>
      <c r="AB67" s="3" t="s">
        <v>169</v>
      </c>
      <c r="AC67" s="3" t="s">
        <v>169</v>
      </c>
      <c r="AD67" s="3" t="s">
        <v>169</v>
      </c>
      <c r="AE67" s="3" t="s">
        <v>169</v>
      </c>
      <c r="AF67" s="3" t="s">
        <v>169</v>
      </c>
      <c r="AG67" s="3" t="s">
        <v>169</v>
      </c>
      <c r="AH67" s="3" t="s">
        <v>169</v>
      </c>
      <c r="AI67" s="3" t="s">
        <v>169</v>
      </c>
      <c r="AJ67" s="3" t="s">
        <v>169</v>
      </c>
      <c r="AK67" s="3" t="s">
        <v>169</v>
      </c>
      <c r="AL67" s="3" t="s">
        <v>169</v>
      </c>
      <c r="AM67" s="3" t="s">
        <v>169</v>
      </c>
      <c r="AN67" s="3" t="s">
        <v>169</v>
      </c>
      <c r="AO67" s="3" t="s">
        <v>169</v>
      </c>
      <c r="AP67" s="3" t="s">
        <v>169</v>
      </c>
      <c r="AQ67" s="3" t="s">
        <v>169</v>
      </c>
      <c r="AR67" s="3" t="s">
        <v>169</v>
      </c>
    </row>
    <row r="68" spans="1:44" x14ac:dyDescent="0.2">
      <c r="A68" t="s">
        <v>105</v>
      </c>
      <c r="B68">
        <v>2008</v>
      </c>
      <c r="C68">
        <v>12</v>
      </c>
      <c r="D68" t="s">
        <v>49</v>
      </c>
      <c r="E68">
        <v>10</v>
      </c>
      <c r="F68">
        <v>4</v>
      </c>
      <c r="G68" t="s">
        <v>87</v>
      </c>
      <c r="H68" s="1">
        <v>7.32</v>
      </c>
      <c r="I68" s="1">
        <v>1.0244610281923716</v>
      </c>
      <c r="J68" s="1">
        <v>526.69439751038055</v>
      </c>
      <c r="K68" s="1">
        <v>106.3791371695575</v>
      </c>
      <c r="L68" s="1">
        <v>7.0029208098970743</v>
      </c>
      <c r="M68" s="1">
        <v>0.78803468629414686</v>
      </c>
      <c r="N68" s="1">
        <v>64.389052700917773</v>
      </c>
      <c r="O68" s="1">
        <v>723.64563359322904</v>
      </c>
      <c r="P68" s="1">
        <v>3.9890907381344083</v>
      </c>
      <c r="Q68" s="1">
        <v>2.6007943029001628</v>
      </c>
      <c r="R68" s="1">
        <v>1.3882964352342455</v>
      </c>
      <c r="S68" s="1">
        <v>2781.7636661864849</v>
      </c>
      <c r="T68" s="1">
        <v>482.5221258928986</v>
      </c>
      <c r="U68" s="1">
        <v>60.590536554359396</v>
      </c>
      <c r="V68" s="1">
        <v>78.853775355409653</v>
      </c>
      <c r="W68" s="1">
        <v>94.285554860204229</v>
      </c>
      <c r="X68" s="1">
        <v>15.431779504794584</v>
      </c>
      <c r="Y68" s="1">
        <v>0.55367470665593876</v>
      </c>
      <c r="Z68" s="1">
        <v>0.47865515774838457</v>
      </c>
      <c r="AA68" s="3" t="s">
        <v>169</v>
      </c>
      <c r="AB68" s="3" t="s">
        <v>169</v>
      </c>
      <c r="AC68" s="3" t="s">
        <v>169</v>
      </c>
      <c r="AD68" s="3" t="s">
        <v>169</v>
      </c>
      <c r="AE68" s="3" t="s">
        <v>169</v>
      </c>
      <c r="AF68" s="3" t="s">
        <v>169</v>
      </c>
      <c r="AG68" s="3" t="s">
        <v>169</v>
      </c>
      <c r="AH68" s="3" t="s">
        <v>169</v>
      </c>
      <c r="AI68" s="3" t="s">
        <v>169</v>
      </c>
      <c r="AJ68" s="3" t="s">
        <v>169</v>
      </c>
      <c r="AK68" s="3" t="s">
        <v>169</v>
      </c>
      <c r="AL68" s="3" t="s">
        <v>169</v>
      </c>
      <c r="AM68" s="3" t="s">
        <v>169</v>
      </c>
      <c r="AN68" s="3" t="s">
        <v>169</v>
      </c>
      <c r="AO68" s="3" t="s">
        <v>169</v>
      </c>
      <c r="AP68" s="3" t="s">
        <v>169</v>
      </c>
      <c r="AQ68" s="3" t="s">
        <v>169</v>
      </c>
      <c r="AR68" s="3" t="s">
        <v>169</v>
      </c>
    </row>
    <row r="69" spans="1:44" x14ac:dyDescent="0.2">
      <c r="A69" t="s">
        <v>106</v>
      </c>
      <c r="B69">
        <v>2008</v>
      </c>
      <c r="C69">
        <v>12</v>
      </c>
      <c r="D69" t="s">
        <v>49</v>
      </c>
      <c r="E69">
        <v>20</v>
      </c>
      <c r="F69">
        <v>4</v>
      </c>
      <c r="G69" t="s">
        <v>87</v>
      </c>
      <c r="H69" s="1">
        <v>7.2350000000000003</v>
      </c>
      <c r="I69" s="1">
        <v>0.78914405010438415</v>
      </c>
      <c r="J69" s="1">
        <v>280.66934329326813</v>
      </c>
      <c r="K69" s="1">
        <v>77.128348035324649</v>
      </c>
      <c r="L69" s="1">
        <v>5.6161294280784197</v>
      </c>
      <c r="M69" s="1">
        <v>0.65733262358276034</v>
      </c>
      <c r="N69" s="1">
        <v>64.400678432942399</v>
      </c>
      <c r="O69" s="1">
        <v>592.93194514981792</v>
      </c>
      <c r="P69" s="1">
        <v>3.6084622244104785</v>
      </c>
      <c r="Q69" s="1">
        <v>2.354577142350585</v>
      </c>
      <c r="R69" s="1">
        <v>1.2538850820598937</v>
      </c>
      <c r="S69" s="1">
        <v>2054.7160572170515</v>
      </c>
      <c r="T69" s="1">
        <v>305.06001726466883</v>
      </c>
      <c r="U69" s="1">
        <v>33.975215046488302</v>
      </c>
      <c r="V69" s="1">
        <v>76.705995957689794</v>
      </c>
      <c r="W69" s="1">
        <v>91.615569437819971</v>
      </c>
      <c r="X69" s="1">
        <v>14.909573480130192</v>
      </c>
      <c r="Y69" s="1">
        <v>0.68716853307490711</v>
      </c>
      <c r="Z69" s="1">
        <v>0.62602572096289544</v>
      </c>
      <c r="AA69" s="3" t="s">
        <v>169</v>
      </c>
      <c r="AB69" s="3" t="s">
        <v>169</v>
      </c>
      <c r="AC69" s="3" t="s">
        <v>169</v>
      </c>
      <c r="AD69" s="3" t="s">
        <v>169</v>
      </c>
      <c r="AE69" s="3" t="s">
        <v>169</v>
      </c>
      <c r="AF69" s="3" t="s">
        <v>169</v>
      </c>
      <c r="AG69" s="3" t="s">
        <v>169</v>
      </c>
      <c r="AH69" s="3" t="s">
        <v>169</v>
      </c>
      <c r="AI69" s="3" t="s">
        <v>169</v>
      </c>
      <c r="AJ69" s="3" t="s">
        <v>169</v>
      </c>
      <c r="AK69" s="3" t="s">
        <v>169</v>
      </c>
      <c r="AL69" s="3" t="s">
        <v>169</v>
      </c>
      <c r="AM69" s="3" t="s">
        <v>169</v>
      </c>
      <c r="AN69" s="3" t="s">
        <v>169</v>
      </c>
      <c r="AO69" s="3" t="s">
        <v>169</v>
      </c>
      <c r="AP69" s="3" t="s">
        <v>169</v>
      </c>
      <c r="AQ69" s="3" t="s">
        <v>169</v>
      </c>
      <c r="AR69" s="3" t="s">
        <v>169</v>
      </c>
    </row>
    <row r="70" spans="1:44" x14ac:dyDescent="0.2">
      <c r="A70" t="s">
        <v>107</v>
      </c>
      <c r="B70">
        <v>2008</v>
      </c>
      <c r="C70">
        <v>12</v>
      </c>
      <c r="D70" t="s">
        <v>49</v>
      </c>
      <c r="E70">
        <v>10</v>
      </c>
      <c r="F70">
        <v>5</v>
      </c>
      <c r="G70" t="s">
        <v>87</v>
      </c>
      <c r="H70" s="1">
        <v>7.14</v>
      </c>
      <c r="I70" s="1">
        <v>0.87464689265536744</v>
      </c>
      <c r="J70" s="1">
        <v>646.72468496531712</v>
      </c>
      <c r="K70" s="1">
        <v>127.43709295430619</v>
      </c>
      <c r="L70" s="1">
        <v>9.5273433383178325</v>
      </c>
      <c r="M70" s="1">
        <v>0.97195261306762692</v>
      </c>
      <c r="N70" s="1">
        <v>78.263374983150371</v>
      </c>
      <c r="O70" s="1">
        <v>893.68923808447653</v>
      </c>
      <c r="P70" s="1">
        <v>2.7173236433709</v>
      </c>
      <c r="Q70" s="1">
        <v>2.4847687626593054</v>
      </c>
      <c r="R70" s="1">
        <v>0.23255488071159475</v>
      </c>
      <c r="S70" s="1">
        <v>3507.6074427690155</v>
      </c>
      <c r="T70" s="1">
        <v>577.82360890198811</v>
      </c>
      <c r="U70" s="1">
        <v>76.485634652057158</v>
      </c>
      <c r="V70" s="1">
        <v>71.958022295879147</v>
      </c>
      <c r="W70" s="1">
        <v>93.682728771748856</v>
      </c>
      <c r="X70" s="1">
        <v>21.724706475869723</v>
      </c>
      <c r="Y70" s="1">
        <v>0.85186427606788129</v>
      </c>
      <c r="Z70" s="1">
        <v>0.68549136311001491</v>
      </c>
      <c r="AA70" s="3" t="s">
        <v>169</v>
      </c>
      <c r="AB70" s="3" t="s">
        <v>169</v>
      </c>
      <c r="AC70" s="3" t="s">
        <v>169</v>
      </c>
      <c r="AD70" s="3" t="s">
        <v>169</v>
      </c>
      <c r="AE70" s="3" t="s">
        <v>169</v>
      </c>
      <c r="AF70" s="3" t="s">
        <v>169</v>
      </c>
      <c r="AG70" s="3" t="s">
        <v>169</v>
      </c>
      <c r="AH70" s="3" t="s">
        <v>169</v>
      </c>
      <c r="AI70" s="3" t="s">
        <v>169</v>
      </c>
      <c r="AJ70" s="3" t="s">
        <v>169</v>
      </c>
      <c r="AK70" s="3" t="s">
        <v>169</v>
      </c>
      <c r="AL70" s="3" t="s">
        <v>169</v>
      </c>
      <c r="AM70" s="3" t="s">
        <v>169</v>
      </c>
      <c r="AN70" s="3" t="s">
        <v>169</v>
      </c>
      <c r="AO70" s="3" t="s">
        <v>169</v>
      </c>
      <c r="AP70" s="3" t="s">
        <v>169</v>
      </c>
      <c r="AQ70" s="3" t="s">
        <v>169</v>
      </c>
      <c r="AR70" s="3" t="s">
        <v>169</v>
      </c>
    </row>
    <row r="71" spans="1:44" x14ac:dyDescent="0.2">
      <c r="A71" t="s">
        <v>108</v>
      </c>
      <c r="B71">
        <v>2008</v>
      </c>
      <c r="C71">
        <v>12</v>
      </c>
      <c r="D71" t="s">
        <v>49</v>
      </c>
      <c r="E71">
        <v>20</v>
      </c>
      <c r="F71">
        <v>5</v>
      </c>
      <c r="G71" t="s">
        <v>87</v>
      </c>
      <c r="H71" s="1">
        <v>7.57</v>
      </c>
      <c r="I71" s="1">
        <v>0.61788120024494786</v>
      </c>
      <c r="J71" s="1">
        <v>261.13151948063683</v>
      </c>
      <c r="K71" s="1">
        <v>75.161292247354893</v>
      </c>
      <c r="L71" s="1">
        <v>5.9182718540279433</v>
      </c>
      <c r="M71" s="3" t="s">
        <v>169</v>
      </c>
      <c r="N71" s="1">
        <v>62.395370896868656</v>
      </c>
      <c r="O71" s="3" t="s">
        <v>169</v>
      </c>
      <c r="P71" s="1">
        <v>2.3010356006188264</v>
      </c>
      <c r="Q71" s="1">
        <v>1.59714176896616</v>
      </c>
      <c r="R71" s="1">
        <v>0.7038938316526665</v>
      </c>
      <c r="S71" s="1">
        <v>4934.900686078061</v>
      </c>
      <c r="T71" s="1">
        <v>840.83988843028555</v>
      </c>
      <c r="U71" s="1">
        <v>36.905620805235273</v>
      </c>
      <c r="V71" s="1">
        <v>72.897512019718761</v>
      </c>
      <c r="W71" s="1">
        <v>91.642975368625784</v>
      </c>
      <c r="X71" s="1">
        <v>18.745463348907023</v>
      </c>
      <c r="Y71" s="1">
        <v>0.53102253660925203</v>
      </c>
      <c r="Z71" s="1">
        <v>0.55524019049290996</v>
      </c>
      <c r="AA71" s="3" t="s">
        <v>169</v>
      </c>
      <c r="AB71" s="3" t="s">
        <v>169</v>
      </c>
      <c r="AC71" s="3" t="s">
        <v>169</v>
      </c>
      <c r="AD71" s="3" t="s">
        <v>169</v>
      </c>
      <c r="AE71" s="3" t="s">
        <v>169</v>
      </c>
      <c r="AF71" s="3" t="s">
        <v>169</v>
      </c>
      <c r="AG71" s="3" t="s">
        <v>169</v>
      </c>
      <c r="AH71" s="3" t="s">
        <v>169</v>
      </c>
      <c r="AI71" s="3" t="s">
        <v>169</v>
      </c>
      <c r="AJ71" s="3" t="s">
        <v>169</v>
      </c>
      <c r="AK71" s="3" t="s">
        <v>169</v>
      </c>
      <c r="AL71" s="3" t="s">
        <v>169</v>
      </c>
      <c r="AM71" s="3" t="s">
        <v>169</v>
      </c>
      <c r="AN71" s="3" t="s">
        <v>169</v>
      </c>
      <c r="AO71" s="3" t="s">
        <v>169</v>
      </c>
      <c r="AP71" s="3" t="s">
        <v>169</v>
      </c>
      <c r="AQ71" s="3" t="s">
        <v>169</v>
      </c>
      <c r="AR71" s="3" t="s">
        <v>169</v>
      </c>
    </row>
    <row r="72" spans="1:44" x14ac:dyDescent="0.2">
      <c r="A72" t="s">
        <v>109</v>
      </c>
      <c r="B72">
        <v>2008</v>
      </c>
      <c r="C72">
        <v>12</v>
      </c>
      <c r="D72" t="s">
        <v>49</v>
      </c>
      <c r="E72">
        <v>10</v>
      </c>
      <c r="F72">
        <v>6</v>
      </c>
      <c r="G72" t="s">
        <v>87</v>
      </c>
      <c r="H72" s="1">
        <v>7.15</v>
      </c>
      <c r="I72" s="1">
        <v>0.87814381863266022</v>
      </c>
      <c r="J72" s="1">
        <v>316.2962264173355</v>
      </c>
      <c r="K72" s="1">
        <v>104.78386400360797</v>
      </c>
      <c r="L72" s="1">
        <v>7.3743928227544018</v>
      </c>
      <c r="M72" s="1">
        <v>0.7274105771411129</v>
      </c>
      <c r="N72" s="1">
        <v>57.210088026750604</v>
      </c>
      <c r="O72" s="1">
        <v>670.20048911436231</v>
      </c>
      <c r="P72" s="1">
        <v>2.8429973823114376</v>
      </c>
      <c r="Q72" s="1">
        <v>1.9034134104359295</v>
      </c>
      <c r="R72" s="1">
        <v>0.93958397187550824</v>
      </c>
      <c r="S72" s="1">
        <v>2106.1512567636087</v>
      </c>
      <c r="T72" s="1">
        <v>344.50696673492376</v>
      </c>
      <c r="U72" s="1">
        <v>48.438929349452167</v>
      </c>
      <c r="V72" s="1">
        <v>74.496204094007339</v>
      </c>
      <c r="W72" s="1">
        <v>93.565043387095557</v>
      </c>
      <c r="X72" s="1">
        <v>19.068839293088217</v>
      </c>
      <c r="Y72" s="1">
        <v>0.47184116333127385</v>
      </c>
      <c r="Z72" s="1">
        <v>0.46288038222481204</v>
      </c>
      <c r="AA72" s="3" t="s">
        <v>169</v>
      </c>
      <c r="AB72" s="3" t="s">
        <v>169</v>
      </c>
      <c r="AC72" s="3" t="s">
        <v>169</v>
      </c>
      <c r="AD72" s="3" t="s">
        <v>169</v>
      </c>
      <c r="AE72" s="3" t="s">
        <v>169</v>
      </c>
      <c r="AF72" s="3" t="s">
        <v>169</v>
      </c>
      <c r="AG72" s="3" t="s">
        <v>169</v>
      </c>
      <c r="AH72" s="3" t="s">
        <v>169</v>
      </c>
      <c r="AI72" s="3" t="s">
        <v>169</v>
      </c>
      <c r="AJ72" s="3" t="s">
        <v>169</v>
      </c>
      <c r="AK72" s="3" t="s">
        <v>169</v>
      </c>
      <c r="AL72" s="3" t="s">
        <v>169</v>
      </c>
      <c r="AM72" s="3" t="s">
        <v>169</v>
      </c>
      <c r="AN72" s="3" t="s">
        <v>169</v>
      </c>
      <c r="AO72" s="3" t="s">
        <v>169</v>
      </c>
      <c r="AP72" s="3" t="s">
        <v>169</v>
      </c>
      <c r="AQ72" s="3" t="s">
        <v>169</v>
      </c>
      <c r="AR72" s="3" t="s">
        <v>169</v>
      </c>
    </row>
    <row r="73" spans="1:44" x14ac:dyDescent="0.2">
      <c r="A73" t="s">
        <v>110</v>
      </c>
      <c r="B73">
        <v>2008</v>
      </c>
      <c r="C73">
        <v>12</v>
      </c>
      <c r="D73" t="s">
        <v>49</v>
      </c>
      <c r="E73">
        <v>20</v>
      </c>
      <c r="F73">
        <v>6</v>
      </c>
      <c r="G73" t="s">
        <v>87</v>
      </c>
      <c r="H73" s="1">
        <v>7.5549999999999997</v>
      </c>
      <c r="I73" s="1">
        <v>0.5426282051282052</v>
      </c>
      <c r="J73" s="1">
        <v>136.09810224771226</v>
      </c>
      <c r="K73" s="1">
        <v>42.254441211746389</v>
      </c>
      <c r="L73" s="1">
        <v>3.6424481160475985</v>
      </c>
      <c r="M73" s="3" t="s">
        <v>169</v>
      </c>
      <c r="N73" s="1">
        <v>51.066695971731846</v>
      </c>
      <c r="O73" s="3" t="s">
        <v>169</v>
      </c>
      <c r="P73" s="1">
        <v>2.4500206534770594</v>
      </c>
      <c r="Q73" s="1">
        <v>1.2289910101367301</v>
      </c>
      <c r="R73" s="1">
        <v>1.2210296433403296</v>
      </c>
      <c r="S73" s="1">
        <v>1551.9926014334587</v>
      </c>
      <c r="T73" s="1">
        <v>185.00825309592682</v>
      </c>
      <c r="U73" s="1">
        <v>16.246033513817778</v>
      </c>
      <c r="V73" s="1">
        <v>71.396408642017491</v>
      </c>
      <c r="W73" s="1">
        <v>89.269020313419276</v>
      </c>
      <c r="X73" s="1">
        <v>17.872611671401778</v>
      </c>
      <c r="Y73" s="1">
        <v>0.38250169080549956</v>
      </c>
      <c r="Z73" s="1">
        <v>0.36113492425008631</v>
      </c>
      <c r="AA73" s="3" t="s">
        <v>169</v>
      </c>
      <c r="AB73" s="3" t="s">
        <v>169</v>
      </c>
      <c r="AC73" s="3" t="s">
        <v>169</v>
      </c>
      <c r="AD73" s="3" t="s">
        <v>169</v>
      </c>
      <c r="AE73" s="3" t="s">
        <v>169</v>
      </c>
      <c r="AF73" s="3" t="s">
        <v>169</v>
      </c>
      <c r="AG73" s="3" t="s">
        <v>169</v>
      </c>
      <c r="AH73" s="3" t="s">
        <v>169</v>
      </c>
      <c r="AI73" s="3" t="s">
        <v>169</v>
      </c>
      <c r="AJ73" s="3" t="s">
        <v>169</v>
      </c>
      <c r="AK73" s="3" t="s">
        <v>169</v>
      </c>
      <c r="AL73" s="3" t="s">
        <v>169</v>
      </c>
      <c r="AM73" s="3" t="s">
        <v>169</v>
      </c>
      <c r="AN73" s="3" t="s">
        <v>169</v>
      </c>
      <c r="AO73" s="3" t="s">
        <v>169</v>
      </c>
      <c r="AP73" s="3" t="s">
        <v>169</v>
      </c>
      <c r="AQ73" s="3" t="s">
        <v>169</v>
      </c>
      <c r="AR73" s="3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AB4B-9B15-0E43-91AE-3A9D6E930350}">
  <dimension ref="A1:J25"/>
  <sheetViews>
    <sheetView workbookViewId="0">
      <selection activeCell="M12" sqref="M12"/>
    </sheetView>
  </sheetViews>
  <sheetFormatPr baseColWidth="10" defaultRowHeight="16" x14ac:dyDescent="0.2"/>
  <sheetData>
    <row r="1" spans="1:10" x14ac:dyDescent="0.2"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</row>
    <row r="2" spans="1:10" x14ac:dyDescent="0.2">
      <c r="A2" t="s">
        <v>130</v>
      </c>
      <c r="B2">
        <v>0.69154053262982007</v>
      </c>
      <c r="C2">
        <v>44.546571219999997</v>
      </c>
      <c r="D2">
        <v>80.796704419999998</v>
      </c>
      <c r="E2">
        <v>13.78265672</v>
      </c>
      <c r="F2">
        <v>0.41515391699999998</v>
      </c>
      <c r="G2">
        <v>5.049019608</v>
      </c>
      <c r="H2">
        <v>13</v>
      </c>
      <c r="I2">
        <v>30.4</v>
      </c>
      <c r="J2">
        <v>474.89228809999997</v>
      </c>
    </row>
    <row r="3" spans="1:10" x14ac:dyDescent="0.2">
      <c r="A3" t="s">
        <v>131</v>
      </c>
      <c r="B3">
        <v>0.47824205061237507</v>
      </c>
      <c r="C3">
        <v>18.314050160000001</v>
      </c>
      <c r="D3">
        <v>75.270862980000004</v>
      </c>
      <c r="E3">
        <v>16.71351679</v>
      </c>
      <c r="F3">
        <v>0.35270241800000002</v>
      </c>
      <c r="G3">
        <v>5.241141732</v>
      </c>
      <c r="H3">
        <v>12.4</v>
      </c>
      <c r="I3">
        <v>40.200000000000003</v>
      </c>
      <c r="J3">
        <v>325.99148530000002</v>
      </c>
    </row>
    <row r="4" spans="1:10" x14ac:dyDescent="0.2">
      <c r="A4" t="s">
        <v>132</v>
      </c>
      <c r="B4">
        <v>0.43386257401666323</v>
      </c>
      <c r="C4">
        <v>30.358828559999999</v>
      </c>
      <c r="D4">
        <v>80.683265700000007</v>
      </c>
      <c r="E4">
        <v>12.468209480000001</v>
      </c>
      <c r="F4">
        <v>0.26495239500000001</v>
      </c>
      <c r="G4">
        <v>4.2652859960000002</v>
      </c>
      <c r="H4">
        <v>7</v>
      </c>
      <c r="I4">
        <v>32.6</v>
      </c>
      <c r="J4">
        <v>310.65122179999997</v>
      </c>
    </row>
    <row r="5" spans="1:10" x14ac:dyDescent="0.2">
      <c r="A5" t="s">
        <v>133</v>
      </c>
      <c r="B5">
        <v>0.34388624458753486</v>
      </c>
      <c r="C5">
        <v>14.777793819999999</v>
      </c>
      <c r="D5">
        <v>80.146682119999994</v>
      </c>
      <c r="E5">
        <v>11.67795563</v>
      </c>
      <c r="F5">
        <v>0.29405861100000003</v>
      </c>
      <c r="G5">
        <v>4.5250000000000004</v>
      </c>
      <c r="H5">
        <v>7.1</v>
      </c>
      <c r="I5">
        <v>35.4</v>
      </c>
      <c r="J5">
        <v>238.8603536</v>
      </c>
    </row>
    <row r="6" spans="1:10" x14ac:dyDescent="0.2">
      <c r="A6" t="s">
        <v>134</v>
      </c>
      <c r="B6">
        <v>0.4771383333940466</v>
      </c>
      <c r="C6">
        <v>47.607352589999998</v>
      </c>
      <c r="D6">
        <v>80.181770259999993</v>
      </c>
      <c r="E6">
        <v>13.092574239999999</v>
      </c>
      <c r="F6">
        <v>0.39466618199999998</v>
      </c>
      <c r="G6">
        <v>4.066866267</v>
      </c>
      <c r="H6">
        <v>7.7</v>
      </c>
      <c r="I6">
        <v>28.3</v>
      </c>
      <c r="J6">
        <v>346.82571860000002</v>
      </c>
    </row>
    <row r="7" spans="1:10" x14ac:dyDescent="0.2">
      <c r="A7" t="s">
        <v>135</v>
      </c>
      <c r="B7">
        <v>0.41237672121483765</v>
      </c>
      <c r="C7">
        <v>14.36977328</v>
      </c>
      <c r="D7">
        <v>78.156442049999995</v>
      </c>
      <c r="E7">
        <v>12.42811536</v>
      </c>
      <c r="F7">
        <v>0.20037328900000001</v>
      </c>
      <c r="G7">
        <v>3.8690476189999998</v>
      </c>
      <c r="H7">
        <v>13.5</v>
      </c>
      <c r="I7">
        <v>33</v>
      </c>
      <c r="J7">
        <v>226.1336373</v>
      </c>
    </row>
    <row r="8" spans="1:10" x14ac:dyDescent="0.2">
      <c r="A8" t="s">
        <v>136</v>
      </c>
      <c r="B8">
        <v>0.6542394644863242</v>
      </c>
      <c r="C8">
        <v>60.786086750000003</v>
      </c>
      <c r="D8">
        <v>75.963695520000002</v>
      </c>
      <c r="E8">
        <v>18.571438310000001</v>
      </c>
      <c r="F8">
        <v>0.308773401</v>
      </c>
      <c r="G8">
        <v>3.7401574800000001</v>
      </c>
      <c r="H8">
        <v>8.4</v>
      </c>
      <c r="I8">
        <v>37.9</v>
      </c>
      <c r="J8">
        <v>354.59784209999998</v>
      </c>
    </row>
    <row r="9" spans="1:10" x14ac:dyDescent="0.2">
      <c r="A9" t="s">
        <v>137</v>
      </c>
      <c r="B9">
        <v>0.2737916792040474</v>
      </c>
      <c r="C9">
        <v>24.366655869999999</v>
      </c>
      <c r="D9">
        <v>65.752701450000004</v>
      </c>
      <c r="E9">
        <v>23.424712530000001</v>
      </c>
      <c r="F9">
        <v>0.41565579200000002</v>
      </c>
      <c r="G9">
        <v>4.0841584160000002</v>
      </c>
      <c r="H9">
        <v>14.4</v>
      </c>
      <c r="I9">
        <v>29.7</v>
      </c>
      <c r="J9">
        <v>142.53512710000001</v>
      </c>
    </row>
    <row r="10" spans="1:10" x14ac:dyDescent="0.2">
      <c r="A10" t="s">
        <v>138</v>
      </c>
      <c r="B10">
        <v>1.0260593292633784</v>
      </c>
      <c r="C10">
        <v>92.635567359999996</v>
      </c>
      <c r="D10">
        <v>71.756940130000004</v>
      </c>
      <c r="E10">
        <v>22.251620429999999</v>
      </c>
      <c r="F10">
        <v>0.66685367100000004</v>
      </c>
      <c r="G10">
        <v>2.2360557769999998</v>
      </c>
      <c r="H10">
        <v>37.200000000000003</v>
      </c>
      <c r="I10">
        <v>21.9</v>
      </c>
      <c r="J10">
        <v>492.82867049999999</v>
      </c>
    </row>
    <row r="11" spans="1:10" x14ac:dyDescent="0.2">
      <c r="A11" t="s">
        <v>139</v>
      </c>
      <c r="B11" s="5">
        <f>AVERAGE(B3,B5,B7,B9,B13)</f>
        <v>0.40938183444456799</v>
      </c>
      <c r="C11">
        <v>38.937444509999999</v>
      </c>
      <c r="D11">
        <v>70.672875340000004</v>
      </c>
      <c r="E11">
        <v>21.564462639999999</v>
      </c>
      <c r="F11">
        <v>0.57886299299999999</v>
      </c>
      <c r="G11">
        <v>2.2268700789999998</v>
      </c>
      <c r="H11">
        <v>41.5</v>
      </c>
      <c r="I11">
        <v>23.3</v>
      </c>
      <c r="J11">
        <v>380.21134239999998</v>
      </c>
    </row>
    <row r="12" spans="1:10" x14ac:dyDescent="0.2">
      <c r="A12" t="s">
        <v>140</v>
      </c>
      <c r="B12">
        <v>0.75555419612759256</v>
      </c>
      <c r="C12">
        <v>50.431586549999999</v>
      </c>
      <c r="D12">
        <v>79.954567109999999</v>
      </c>
      <c r="E12">
        <v>13.53268782</v>
      </c>
      <c r="F12">
        <v>0.377071508</v>
      </c>
      <c r="G12">
        <v>4.597415507</v>
      </c>
      <c r="H12">
        <v>4.8</v>
      </c>
      <c r="I12">
        <v>42</v>
      </c>
      <c r="J12">
        <v>452.79420970000001</v>
      </c>
    </row>
    <row r="13" spans="1:10" x14ac:dyDescent="0.2">
      <c r="A13" t="s">
        <v>141</v>
      </c>
      <c r="B13">
        <v>0.53861247660404477</v>
      </c>
      <c r="C13">
        <v>23.78295117</v>
      </c>
      <c r="D13">
        <v>76.810379710000007</v>
      </c>
      <c r="E13">
        <v>13.29406445</v>
      </c>
      <c r="F13">
        <v>0.28480847500000001</v>
      </c>
      <c r="G13">
        <v>3.8290513829999999</v>
      </c>
      <c r="H13">
        <v>11.6</v>
      </c>
      <c r="I13">
        <v>29.1</v>
      </c>
      <c r="J13">
        <v>261.03212139999999</v>
      </c>
    </row>
    <row r="14" spans="1:10" x14ac:dyDescent="0.2">
      <c r="A14" t="s">
        <v>142</v>
      </c>
      <c r="B14">
        <v>0.91793573774288151</v>
      </c>
      <c r="C14">
        <v>82.353336159999998</v>
      </c>
      <c r="D14">
        <v>74.715992259999993</v>
      </c>
      <c r="E14">
        <v>19.496653739999999</v>
      </c>
      <c r="F14">
        <v>0.68482303899999997</v>
      </c>
      <c r="G14">
        <v>3.6127167629999999</v>
      </c>
      <c r="H14">
        <v>16.8</v>
      </c>
      <c r="I14">
        <v>23.6</v>
      </c>
      <c r="J14">
        <v>513.38147419999996</v>
      </c>
    </row>
    <row r="15" spans="1:10" x14ac:dyDescent="0.2">
      <c r="A15" t="s">
        <v>143</v>
      </c>
      <c r="B15">
        <v>0.64107565160135027</v>
      </c>
      <c r="C15">
        <v>36.422205390000002</v>
      </c>
      <c r="D15">
        <v>71.203903440000005</v>
      </c>
      <c r="E15">
        <v>19.25992016</v>
      </c>
      <c r="F15">
        <v>0.46227395300000002</v>
      </c>
      <c r="G15">
        <v>3.193069307</v>
      </c>
      <c r="H15">
        <v>18.100000000000001</v>
      </c>
      <c r="I15">
        <v>25</v>
      </c>
      <c r="J15">
        <v>289.66692799999998</v>
      </c>
    </row>
    <row r="16" spans="1:10" x14ac:dyDescent="0.2">
      <c r="A16" t="s">
        <v>144</v>
      </c>
      <c r="B16">
        <v>0.46394785518481479</v>
      </c>
      <c r="C16">
        <v>39.700682669999999</v>
      </c>
      <c r="D16">
        <v>76.436232129999993</v>
      </c>
      <c r="E16">
        <v>16.981277339999998</v>
      </c>
      <c r="F16">
        <v>0.44159473900000001</v>
      </c>
      <c r="G16">
        <v>3.7276341949999998</v>
      </c>
      <c r="H16">
        <v>11.2</v>
      </c>
      <c r="I16">
        <v>28</v>
      </c>
      <c r="J16">
        <v>299.68447930000002</v>
      </c>
    </row>
    <row r="17" spans="1:10" x14ac:dyDescent="0.2">
      <c r="A17" t="s">
        <v>145</v>
      </c>
      <c r="B17">
        <v>0.39203032787015751</v>
      </c>
      <c r="C17">
        <v>18.06255509</v>
      </c>
      <c r="D17">
        <v>75.369534830000006</v>
      </c>
      <c r="E17">
        <v>15.73647411</v>
      </c>
      <c r="F17">
        <v>0.33448159799999999</v>
      </c>
      <c r="G17">
        <v>4.7277227719999999</v>
      </c>
      <c r="H17">
        <v>9</v>
      </c>
      <c r="I17">
        <v>34.5</v>
      </c>
      <c r="J17">
        <v>233.80279250000001</v>
      </c>
    </row>
    <row r="18" spans="1:10" x14ac:dyDescent="0.2">
      <c r="A18" t="s">
        <v>146</v>
      </c>
      <c r="B18">
        <v>0.84287922248527991</v>
      </c>
      <c r="C18">
        <v>80.150263649999999</v>
      </c>
      <c r="D18">
        <v>75.013888030000004</v>
      </c>
      <c r="E18">
        <v>19.09165716</v>
      </c>
      <c r="F18">
        <v>0.37508536199999998</v>
      </c>
      <c r="G18">
        <v>4.0600393700000001</v>
      </c>
      <c r="H18">
        <v>14.8</v>
      </c>
      <c r="I18">
        <v>26.8</v>
      </c>
      <c r="J18">
        <v>539.93701659999999</v>
      </c>
    </row>
    <row r="19" spans="1:10" x14ac:dyDescent="0.2">
      <c r="A19" t="s">
        <v>147</v>
      </c>
      <c r="B19">
        <v>0.71688563355713264</v>
      </c>
      <c r="C19">
        <v>36.125093649999997</v>
      </c>
      <c r="D19">
        <v>73.330686060000005</v>
      </c>
      <c r="E19">
        <v>18.165501800000001</v>
      </c>
      <c r="F19">
        <v>0.368659497</v>
      </c>
      <c r="G19">
        <v>3.9124015750000001</v>
      </c>
      <c r="H19">
        <v>24.5</v>
      </c>
      <c r="I19">
        <v>28.9</v>
      </c>
      <c r="J19">
        <v>379.44598999999999</v>
      </c>
    </row>
    <row r="20" spans="1:10" x14ac:dyDescent="0.2">
      <c r="A20" t="s">
        <v>148</v>
      </c>
      <c r="B20">
        <v>0.79260467202603779</v>
      </c>
      <c r="C20">
        <v>87.704299410000004</v>
      </c>
      <c r="D20">
        <v>75.42159101</v>
      </c>
      <c r="E20">
        <v>18.860572659999999</v>
      </c>
      <c r="F20">
        <v>0.57109184099999999</v>
      </c>
      <c r="G20">
        <v>3.0505952380000001</v>
      </c>
      <c r="H20">
        <v>5.7</v>
      </c>
      <c r="I20">
        <v>41.9</v>
      </c>
      <c r="J20">
        <v>586.08063900000002</v>
      </c>
    </row>
    <row r="21" spans="1:10" x14ac:dyDescent="0.2">
      <c r="A21" t="s">
        <v>149</v>
      </c>
      <c r="B21">
        <v>0.66866469934499617</v>
      </c>
      <c r="C21">
        <v>43.261385539999999</v>
      </c>
      <c r="D21">
        <v>73.81115853</v>
      </c>
      <c r="E21">
        <v>18.20373081</v>
      </c>
      <c r="F21">
        <v>0.56952514300000001</v>
      </c>
      <c r="G21">
        <v>3.4653465350000001</v>
      </c>
      <c r="H21">
        <v>15.6</v>
      </c>
      <c r="I21">
        <v>33.9</v>
      </c>
      <c r="J21">
        <v>357.81435399999998</v>
      </c>
    </row>
    <row r="22" spans="1:10" x14ac:dyDescent="0.2">
      <c r="A22" t="s">
        <v>150</v>
      </c>
      <c r="B22">
        <v>0.98941241661537827</v>
      </c>
      <c r="C22">
        <v>71.403903529999994</v>
      </c>
      <c r="D22">
        <v>70.568617360000005</v>
      </c>
      <c r="E22">
        <v>23.288295359999999</v>
      </c>
      <c r="F22">
        <v>0.69811651399999997</v>
      </c>
      <c r="G22">
        <v>3.2051282049999998</v>
      </c>
      <c r="H22">
        <v>24</v>
      </c>
      <c r="I22">
        <v>33.4</v>
      </c>
      <c r="J22">
        <v>466.08944960000002</v>
      </c>
    </row>
    <row r="23" spans="1:10" x14ac:dyDescent="0.2">
      <c r="A23" t="s">
        <v>151</v>
      </c>
      <c r="B23">
        <v>0.80584425990631525</v>
      </c>
      <c r="C23">
        <v>60.731283550000001</v>
      </c>
      <c r="D23">
        <v>70.237361000000007</v>
      </c>
      <c r="E23">
        <v>19.29564242</v>
      </c>
      <c r="F23">
        <v>0.55275699599999994</v>
      </c>
      <c r="G23">
        <v>2.105</v>
      </c>
      <c r="H23">
        <v>47.6</v>
      </c>
      <c r="I23">
        <v>16.100000000000001</v>
      </c>
      <c r="J23">
        <v>224.53810999999999</v>
      </c>
    </row>
    <row r="24" spans="1:10" x14ac:dyDescent="0.2">
      <c r="A24" t="s">
        <v>152</v>
      </c>
      <c r="B24">
        <v>0.74716495464443844</v>
      </c>
      <c r="C24">
        <v>52.534930340000003</v>
      </c>
      <c r="D24">
        <v>72.39468866</v>
      </c>
      <c r="E24">
        <v>21.252887900000001</v>
      </c>
      <c r="F24">
        <v>0.40952155400000001</v>
      </c>
      <c r="G24">
        <v>3.5679133859999999</v>
      </c>
      <c r="H24">
        <v>16.7</v>
      </c>
      <c r="I24">
        <v>32.700000000000003</v>
      </c>
      <c r="J24">
        <v>355.20050120000002</v>
      </c>
    </row>
    <row r="25" spans="1:10" x14ac:dyDescent="0.2">
      <c r="A25" t="s">
        <v>153</v>
      </c>
      <c r="B25">
        <v>0.53251263208991739</v>
      </c>
      <c r="C25">
        <v>21.0357159</v>
      </c>
      <c r="D25">
        <v>70.589512450000001</v>
      </c>
      <c r="E25">
        <v>19.56864839</v>
      </c>
      <c r="F25">
        <v>0.29492435900000002</v>
      </c>
      <c r="G25">
        <v>2.739043825</v>
      </c>
      <c r="H25">
        <v>31.2</v>
      </c>
      <c r="I25">
        <v>19.7</v>
      </c>
      <c r="J25">
        <v>185.22256469999999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C493-B20B-3B48-BFD9-DD9685EAEF9C}">
  <dimension ref="A1:B10"/>
  <sheetViews>
    <sheetView workbookViewId="0">
      <selection sqref="A1:B10"/>
    </sheetView>
  </sheetViews>
  <sheetFormatPr baseColWidth="10" defaultRowHeight="16" x14ac:dyDescent="0.2"/>
  <sheetData>
    <row r="1" spans="1:2" x14ac:dyDescent="0.2">
      <c r="A1" t="s">
        <v>154</v>
      </c>
      <c r="B1" t="s">
        <v>155</v>
      </c>
    </row>
    <row r="2" spans="1:2" x14ac:dyDescent="0.2">
      <c r="A2" t="s">
        <v>121</v>
      </c>
      <c r="B2" t="s">
        <v>156</v>
      </c>
    </row>
    <row r="3" spans="1:2" x14ac:dyDescent="0.2">
      <c r="A3" t="s">
        <v>122</v>
      </c>
      <c r="B3" t="s">
        <v>156</v>
      </c>
    </row>
    <row r="4" spans="1:2" x14ac:dyDescent="0.2">
      <c r="A4" t="s">
        <v>123</v>
      </c>
      <c r="B4" t="s">
        <v>157</v>
      </c>
    </row>
    <row r="5" spans="1:2" x14ac:dyDescent="0.2">
      <c r="A5" t="s">
        <v>124</v>
      </c>
      <c r="B5" t="s">
        <v>157</v>
      </c>
    </row>
    <row r="6" spans="1:2" x14ac:dyDescent="0.2">
      <c r="A6" t="s">
        <v>125</v>
      </c>
      <c r="B6" t="s">
        <v>157</v>
      </c>
    </row>
    <row r="7" spans="1:2" x14ac:dyDescent="0.2">
      <c r="A7" t="s">
        <v>126</v>
      </c>
      <c r="B7" t="s">
        <v>158</v>
      </c>
    </row>
    <row r="8" spans="1:2" x14ac:dyDescent="0.2">
      <c r="A8" t="s">
        <v>127</v>
      </c>
      <c r="B8" t="s">
        <v>159</v>
      </c>
    </row>
    <row r="9" spans="1:2" x14ac:dyDescent="0.2">
      <c r="A9" t="s">
        <v>128</v>
      </c>
      <c r="B9" t="s">
        <v>159</v>
      </c>
    </row>
    <row r="10" spans="1:2" x14ac:dyDescent="0.2">
      <c r="A10" t="s">
        <v>129</v>
      </c>
      <c r="B10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FA75-F26F-2449-90CA-7829F3748E9C}">
  <dimension ref="A1:G25"/>
  <sheetViews>
    <sheetView workbookViewId="0">
      <selection activeCell="I14" sqref="I14"/>
    </sheetView>
  </sheetViews>
  <sheetFormatPr baseColWidth="10" defaultRowHeight="16" x14ac:dyDescent="0.2"/>
  <sheetData>
    <row r="1" spans="1:7" x14ac:dyDescent="0.2">
      <c r="A1" t="s">
        <v>27</v>
      </c>
      <c r="B1" t="s">
        <v>160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">
      <c r="A2" t="s">
        <v>130</v>
      </c>
      <c r="B2" t="s">
        <v>161</v>
      </c>
      <c r="C2">
        <v>2005</v>
      </c>
      <c r="D2">
        <v>14</v>
      </c>
      <c r="E2" t="s">
        <v>35</v>
      </c>
      <c r="F2">
        <v>10</v>
      </c>
      <c r="G2">
        <v>1</v>
      </c>
    </row>
    <row r="3" spans="1:7" x14ac:dyDescent="0.2">
      <c r="A3" t="s">
        <v>131</v>
      </c>
      <c r="B3" t="s">
        <v>162</v>
      </c>
      <c r="C3">
        <v>2005</v>
      </c>
      <c r="D3">
        <v>14</v>
      </c>
      <c r="E3" t="s">
        <v>35</v>
      </c>
      <c r="F3">
        <v>20</v>
      </c>
      <c r="G3">
        <v>1</v>
      </c>
    </row>
    <row r="4" spans="1:7" x14ac:dyDescent="0.2">
      <c r="A4" t="s">
        <v>132</v>
      </c>
      <c r="B4" t="s">
        <v>161</v>
      </c>
      <c r="C4">
        <v>2005</v>
      </c>
      <c r="D4">
        <v>14</v>
      </c>
      <c r="E4" t="s">
        <v>35</v>
      </c>
      <c r="F4">
        <v>10</v>
      </c>
      <c r="G4">
        <v>2</v>
      </c>
    </row>
    <row r="5" spans="1:7" x14ac:dyDescent="0.2">
      <c r="A5" t="s">
        <v>133</v>
      </c>
      <c r="B5" t="s">
        <v>162</v>
      </c>
      <c r="C5">
        <v>2005</v>
      </c>
      <c r="D5">
        <v>14</v>
      </c>
      <c r="E5" t="s">
        <v>35</v>
      </c>
      <c r="F5">
        <v>20</v>
      </c>
      <c r="G5">
        <v>2</v>
      </c>
    </row>
    <row r="6" spans="1:7" x14ac:dyDescent="0.2">
      <c r="A6" t="s">
        <v>134</v>
      </c>
      <c r="B6" t="s">
        <v>161</v>
      </c>
      <c r="C6">
        <v>2005</v>
      </c>
      <c r="D6">
        <v>14</v>
      </c>
      <c r="E6" t="s">
        <v>35</v>
      </c>
      <c r="F6">
        <v>10</v>
      </c>
      <c r="G6">
        <v>3</v>
      </c>
    </row>
    <row r="7" spans="1:7" x14ac:dyDescent="0.2">
      <c r="A7" t="s">
        <v>135</v>
      </c>
      <c r="B7" t="s">
        <v>162</v>
      </c>
      <c r="C7">
        <v>2005</v>
      </c>
      <c r="D7">
        <v>14</v>
      </c>
      <c r="E7" t="s">
        <v>35</v>
      </c>
      <c r="F7">
        <v>20</v>
      </c>
      <c r="G7">
        <v>3</v>
      </c>
    </row>
    <row r="8" spans="1:7" x14ac:dyDescent="0.2">
      <c r="A8" t="s">
        <v>136</v>
      </c>
      <c r="B8" t="s">
        <v>161</v>
      </c>
      <c r="C8">
        <v>2008</v>
      </c>
      <c r="D8">
        <v>12</v>
      </c>
      <c r="E8" t="s">
        <v>35</v>
      </c>
      <c r="F8">
        <v>10</v>
      </c>
      <c r="G8">
        <v>4</v>
      </c>
    </row>
    <row r="9" spans="1:7" x14ac:dyDescent="0.2">
      <c r="A9" t="s">
        <v>137</v>
      </c>
      <c r="B9" t="s">
        <v>162</v>
      </c>
      <c r="C9">
        <v>2008</v>
      </c>
      <c r="D9">
        <v>12</v>
      </c>
      <c r="E9" t="s">
        <v>35</v>
      </c>
      <c r="F9">
        <v>20</v>
      </c>
      <c r="G9">
        <v>4</v>
      </c>
    </row>
    <row r="10" spans="1:7" x14ac:dyDescent="0.2">
      <c r="A10" t="s">
        <v>138</v>
      </c>
      <c r="B10" t="s">
        <v>161</v>
      </c>
      <c r="C10">
        <v>2008</v>
      </c>
      <c r="D10">
        <v>12</v>
      </c>
      <c r="E10" t="s">
        <v>35</v>
      </c>
      <c r="F10">
        <v>10</v>
      </c>
      <c r="G10">
        <v>5</v>
      </c>
    </row>
    <row r="11" spans="1:7" x14ac:dyDescent="0.2">
      <c r="A11" t="s">
        <v>139</v>
      </c>
      <c r="B11" t="s">
        <v>162</v>
      </c>
      <c r="C11">
        <v>2008</v>
      </c>
      <c r="D11">
        <v>12</v>
      </c>
      <c r="E11" t="s">
        <v>35</v>
      </c>
      <c r="F11">
        <v>20</v>
      </c>
      <c r="G11">
        <v>5</v>
      </c>
    </row>
    <row r="12" spans="1:7" x14ac:dyDescent="0.2">
      <c r="A12" t="s">
        <v>140</v>
      </c>
      <c r="B12" t="s">
        <v>161</v>
      </c>
      <c r="C12">
        <v>2008</v>
      </c>
      <c r="D12">
        <v>12</v>
      </c>
      <c r="E12" t="s">
        <v>35</v>
      </c>
      <c r="F12">
        <v>10</v>
      </c>
      <c r="G12">
        <v>6</v>
      </c>
    </row>
    <row r="13" spans="1:7" x14ac:dyDescent="0.2">
      <c r="A13" t="s">
        <v>141</v>
      </c>
      <c r="B13" t="s">
        <v>162</v>
      </c>
      <c r="C13">
        <v>2008</v>
      </c>
      <c r="D13">
        <v>12</v>
      </c>
      <c r="E13" t="s">
        <v>35</v>
      </c>
      <c r="F13">
        <v>20</v>
      </c>
      <c r="G13">
        <v>6</v>
      </c>
    </row>
    <row r="14" spans="1:7" x14ac:dyDescent="0.2">
      <c r="A14" t="s">
        <v>142</v>
      </c>
      <c r="B14" t="s">
        <v>163</v>
      </c>
      <c r="C14">
        <v>2005</v>
      </c>
      <c r="D14">
        <v>14</v>
      </c>
      <c r="E14" t="s">
        <v>49</v>
      </c>
      <c r="F14">
        <v>10</v>
      </c>
      <c r="G14">
        <v>1</v>
      </c>
    </row>
    <row r="15" spans="1:7" x14ac:dyDescent="0.2">
      <c r="A15" t="s">
        <v>143</v>
      </c>
      <c r="B15" t="s">
        <v>164</v>
      </c>
      <c r="C15">
        <v>2005</v>
      </c>
      <c r="D15">
        <v>14</v>
      </c>
      <c r="E15" t="s">
        <v>49</v>
      </c>
      <c r="F15">
        <v>20</v>
      </c>
      <c r="G15">
        <v>1</v>
      </c>
    </row>
    <row r="16" spans="1:7" x14ac:dyDescent="0.2">
      <c r="A16" t="s">
        <v>144</v>
      </c>
      <c r="B16" t="s">
        <v>163</v>
      </c>
      <c r="C16">
        <v>2005</v>
      </c>
      <c r="D16">
        <v>14</v>
      </c>
      <c r="E16" t="s">
        <v>49</v>
      </c>
      <c r="F16">
        <v>10</v>
      </c>
      <c r="G16">
        <v>2</v>
      </c>
    </row>
    <row r="17" spans="1:7" x14ac:dyDescent="0.2">
      <c r="A17" t="s">
        <v>145</v>
      </c>
      <c r="B17" t="s">
        <v>164</v>
      </c>
      <c r="C17">
        <v>2005</v>
      </c>
      <c r="D17">
        <v>14</v>
      </c>
      <c r="E17" t="s">
        <v>49</v>
      </c>
      <c r="F17">
        <v>20</v>
      </c>
      <c r="G17">
        <v>2</v>
      </c>
    </row>
    <row r="18" spans="1:7" x14ac:dyDescent="0.2">
      <c r="A18" t="s">
        <v>146</v>
      </c>
      <c r="B18" t="s">
        <v>163</v>
      </c>
      <c r="C18">
        <v>2005</v>
      </c>
      <c r="D18">
        <v>14</v>
      </c>
      <c r="E18" t="s">
        <v>49</v>
      </c>
      <c r="F18">
        <v>10</v>
      </c>
      <c r="G18">
        <v>3</v>
      </c>
    </row>
    <row r="19" spans="1:7" x14ac:dyDescent="0.2">
      <c r="A19" t="s">
        <v>147</v>
      </c>
      <c r="B19" t="s">
        <v>164</v>
      </c>
      <c r="C19">
        <v>2005</v>
      </c>
      <c r="D19">
        <v>14</v>
      </c>
      <c r="E19" t="s">
        <v>49</v>
      </c>
      <c r="F19">
        <v>20</v>
      </c>
      <c r="G19">
        <v>3</v>
      </c>
    </row>
    <row r="20" spans="1:7" x14ac:dyDescent="0.2">
      <c r="A20" t="s">
        <v>148</v>
      </c>
      <c r="B20" t="s">
        <v>163</v>
      </c>
      <c r="C20">
        <v>2008</v>
      </c>
      <c r="D20">
        <v>12</v>
      </c>
      <c r="E20" t="s">
        <v>49</v>
      </c>
      <c r="F20">
        <v>10</v>
      </c>
      <c r="G20">
        <v>4</v>
      </c>
    </row>
    <row r="21" spans="1:7" x14ac:dyDescent="0.2">
      <c r="A21" t="s">
        <v>149</v>
      </c>
      <c r="B21" t="s">
        <v>164</v>
      </c>
      <c r="C21">
        <v>2008</v>
      </c>
      <c r="D21">
        <v>12</v>
      </c>
      <c r="E21" t="s">
        <v>49</v>
      </c>
      <c r="F21">
        <v>20</v>
      </c>
      <c r="G21">
        <v>4</v>
      </c>
    </row>
    <row r="22" spans="1:7" x14ac:dyDescent="0.2">
      <c r="A22" t="s">
        <v>150</v>
      </c>
      <c r="B22" t="s">
        <v>163</v>
      </c>
      <c r="C22">
        <v>2008</v>
      </c>
      <c r="D22">
        <v>12</v>
      </c>
      <c r="E22" t="s">
        <v>49</v>
      </c>
      <c r="F22">
        <v>10</v>
      </c>
      <c r="G22">
        <v>5</v>
      </c>
    </row>
    <row r="23" spans="1:7" x14ac:dyDescent="0.2">
      <c r="A23" t="s">
        <v>151</v>
      </c>
      <c r="B23" t="s">
        <v>164</v>
      </c>
      <c r="C23">
        <v>2008</v>
      </c>
      <c r="D23">
        <v>12</v>
      </c>
      <c r="E23" t="s">
        <v>49</v>
      </c>
      <c r="F23">
        <v>20</v>
      </c>
      <c r="G23">
        <v>5</v>
      </c>
    </row>
    <row r="24" spans="1:7" x14ac:dyDescent="0.2">
      <c r="A24" t="s">
        <v>152</v>
      </c>
      <c r="B24" t="s">
        <v>163</v>
      </c>
      <c r="C24">
        <v>2008</v>
      </c>
      <c r="D24">
        <v>12</v>
      </c>
      <c r="E24" t="s">
        <v>49</v>
      </c>
      <c r="F24">
        <v>10</v>
      </c>
      <c r="G24">
        <v>6</v>
      </c>
    </row>
    <row r="25" spans="1:7" x14ac:dyDescent="0.2">
      <c r="A25" t="s">
        <v>153</v>
      </c>
      <c r="B25" t="s">
        <v>164</v>
      </c>
      <c r="C25">
        <v>2008</v>
      </c>
      <c r="D25">
        <v>12</v>
      </c>
      <c r="E25" t="s">
        <v>49</v>
      </c>
      <c r="F25">
        <v>20</v>
      </c>
      <c r="G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4B19-CF85-2046-827F-BBE8E8C20EB0}">
  <dimension ref="A1:F73"/>
  <sheetViews>
    <sheetView workbookViewId="0">
      <selection activeCell="A26" sqref="A26"/>
    </sheetView>
  </sheetViews>
  <sheetFormatPr baseColWidth="10" defaultRowHeight="16" x14ac:dyDescent="0.2"/>
  <sheetData>
    <row r="1" spans="1:6" x14ac:dyDescent="0.2">
      <c r="A1" t="s">
        <v>165</v>
      </c>
      <c r="B1" t="s">
        <v>166</v>
      </c>
      <c r="C1" t="s">
        <v>13</v>
      </c>
      <c r="D1" t="s">
        <v>9</v>
      </c>
      <c r="E1" t="s">
        <v>167</v>
      </c>
      <c r="F1" t="s">
        <v>168</v>
      </c>
    </row>
    <row r="2" spans="1:6" x14ac:dyDescent="0.2">
      <c r="A2">
        <v>0.53397131499999995</v>
      </c>
      <c r="B2">
        <v>80.796704419999998</v>
      </c>
      <c r="C2">
        <v>5.049019608</v>
      </c>
      <c r="D2">
        <v>6.6743217799999996</v>
      </c>
      <c r="E2">
        <v>1.6685745219999999</v>
      </c>
      <c r="F2">
        <v>0.70363695800000003</v>
      </c>
    </row>
    <row r="3" spans="1:6" x14ac:dyDescent="0.2">
      <c r="A3">
        <v>0.360250764</v>
      </c>
      <c r="B3">
        <v>75.270862980000004</v>
      </c>
      <c r="C3">
        <v>5.241141732</v>
      </c>
      <c r="D3">
        <v>4.2794918109999998</v>
      </c>
      <c r="E3">
        <v>1.3465200960000001</v>
      </c>
      <c r="F3">
        <v>0.478242051</v>
      </c>
    </row>
    <row r="4" spans="1:6" x14ac:dyDescent="0.2">
      <c r="A4">
        <v>0.47480607499999999</v>
      </c>
      <c r="B4">
        <v>80.683265700000007</v>
      </c>
      <c r="C4">
        <v>4.2652859960000002</v>
      </c>
      <c r="D4">
        <v>5.5098846229999996</v>
      </c>
      <c r="E4">
        <v>1.389552747</v>
      </c>
      <c r="F4">
        <v>0.41450206499999998</v>
      </c>
    </row>
    <row r="5" spans="1:6" x14ac:dyDescent="0.2">
      <c r="A5">
        <v>0.28388126400000002</v>
      </c>
      <c r="B5">
        <v>80.146682119999994</v>
      </c>
      <c r="C5">
        <v>4.5250000000000004</v>
      </c>
      <c r="D5">
        <v>3.8441896180000001</v>
      </c>
      <c r="E5">
        <v>1.1406560379999999</v>
      </c>
      <c r="F5">
        <v>0.31507068399999999</v>
      </c>
    </row>
    <row r="6" spans="1:6" x14ac:dyDescent="0.2">
      <c r="A6">
        <v>0.55194333200000001</v>
      </c>
      <c r="B6">
        <v>80.181770259999993</v>
      </c>
      <c r="C6">
        <v>4.066866267</v>
      </c>
      <c r="D6">
        <v>6.8998081559999997</v>
      </c>
      <c r="E6">
        <v>1.7568797199999999</v>
      </c>
      <c r="F6">
        <v>0.47158511800000003</v>
      </c>
    </row>
    <row r="7" spans="1:6" x14ac:dyDescent="0.2">
      <c r="A7">
        <v>0.38635858899999997</v>
      </c>
      <c r="B7">
        <v>78.156442049999995</v>
      </c>
      <c r="C7">
        <v>3.8690476189999998</v>
      </c>
      <c r="D7">
        <v>3.7907483800000001</v>
      </c>
      <c r="E7">
        <v>1.1669710929999999</v>
      </c>
      <c r="F7">
        <v>0.449920141</v>
      </c>
    </row>
    <row r="8" spans="1:6" x14ac:dyDescent="0.2">
      <c r="A8">
        <v>0.38994869399999998</v>
      </c>
      <c r="B8">
        <v>75.963695520000002</v>
      </c>
      <c r="C8">
        <v>3.7401574800000001</v>
      </c>
      <c r="D8">
        <v>7.7965432569999997</v>
      </c>
      <c r="E8">
        <v>1.8393331209999999</v>
      </c>
      <c r="F8">
        <v>0.67465047199999995</v>
      </c>
    </row>
    <row r="9" spans="1:6" x14ac:dyDescent="0.2">
      <c r="A9">
        <v>0.31727127799999999</v>
      </c>
      <c r="B9">
        <v>65.752701450000004</v>
      </c>
      <c r="C9">
        <v>4.0841584160000002</v>
      </c>
      <c r="D9">
        <v>4.9362592989999996</v>
      </c>
      <c r="E9">
        <v>1.5042708929999999</v>
      </c>
      <c r="F9" s="3" t="s">
        <v>169</v>
      </c>
    </row>
    <row r="10" spans="1:6" x14ac:dyDescent="0.2">
      <c r="A10">
        <v>0.59972547499999995</v>
      </c>
      <c r="B10">
        <v>71.756940130000004</v>
      </c>
      <c r="C10">
        <v>2.2360557769999998</v>
      </c>
      <c r="D10">
        <v>9.624737262</v>
      </c>
      <c r="E10">
        <v>1.989895076</v>
      </c>
      <c r="F10" s="3" t="s">
        <v>169</v>
      </c>
    </row>
    <row r="11" spans="1:6" x14ac:dyDescent="0.2">
      <c r="A11">
        <v>0.77650241099999995</v>
      </c>
      <c r="B11">
        <v>70.672875340000004</v>
      </c>
      <c r="C11">
        <v>2.2268700789999998</v>
      </c>
      <c r="D11">
        <v>6.2399875409999996</v>
      </c>
      <c r="E11">
        <v>1.6664316290000001</v>
      </c>
      <c r="F11" s="3" t="s">
        <v>169</v>
      </c>
    </row>
    <row r="12" spans="1:6" x14ac:dyDescent="0.2">
      <c r="A12">
        <v>0.567910468</v>
      </c>
      <c r="B12">
        <v>79.954567109999999</v>
      </c>
      <c r="C12">
        <v>4.597415507</v>
      </c>
      <c r="D12">
        <v>7.1015200170000004</v>
      </c>
      <c r="E12">
        <v>1.8246895299999999</v>
      </c>
      <c r="F12">
        <v>0.71833661699999996</v>
      </c>
    </row>
    <row r="13" spans="1:6" x14ac:dyDescent="0.2">
      <c r="A13">
        <v>0.44413370099999999</v>
      </c>
      <c r="B13">
        <v>76.810379710000007</v>
      </c>
      <c r="C13">
        <v>3.8290513829999999</v>
      </c>
      <c r="D13">
        <v>4.8767767190000004</v>
      </c>
      <c r="E13">
        <v>1.61009081</v>
      </c>
      <c r="F13">
        <v>0.61668534399999997</v>
      </c>
    </row>
    <row r="14" spans="1:6" x14ac:dyDescent="0.2">
      <c r="A14">
        <v>0.64878646299999998</v>
      </c>
      <c r="B14">
        <v>74.715992259999993</v>
      </c>
      <c r="C14">
        <v>3.6127167629999999</v>
      </c>
      <c r="D14">
        <v>9.0748738919999994</v>
      </c>
      <c r="E14">
        <v>2.0619030330000001</v>
      </c>
      <c r="F14">
        <v>0.95047398699999996</v>
      </c>
    </row>
    <row r="15" spans="1:6" x14ac:dyDescent="0.2">
      <c r="A15">
        <v>0.47023161899999999</v>
      </c>
      <c r="B15">
        <v>71.203903440000005</v>
      </c>
      <c r="C15">
        <v>3.193069307</v>
      </c>
      <c r="D15">
        <v>6.0350812249999999</v>
      </c>
      <c r="E15">
        <v>1.6300307890000001</v>
      </c>
      <c r="F15">
        <v>0.62860687000000004</v>
      </c>
    </row>
    <row r="16" spans="1:6" x14ac:dyDescent="0.2">
      <c r="A16">
        <v>0.374678974</v>
      </c>
      <c r="B16">
        <v>76.436232129999993</v>
      </c>
      <c r="C16">
        <v>3.7276341949999998</v>
      </c>
      <c r="D16">
        <v>6.3008477740000002</v>
      </c>
      <c r="E16">
        <v>1.739822945</v>
      </c>
      <c r="F16">
        <v>0.46382405199999999</v>
      </c>
    </row>
    <row r="17" spans="1:6" x14ac:dyDescent="0.2">
      <c r="A17">
        <v>0.26353899800000002</v>
      </c>
      <c r="B17">
        <v>75.369534830000006</v>
      </c>
      <c r="C17">
        <v>4.7277227719999999</v>
      </c>
      <c r="D17">
        <v>4.2500064809999998</v>
      </c>
      <c r="E17">
        <v>1.367445577</v>
      </c>
      <c r="F17">
        <v>0.39581140300000001</v>
      </c>
    </row>
    <row r="18" spans="1:6" x14ac:dyDescent="0.2">
      <c r="A18">
        <v>0.53530122199999997</v>
      </c>
      <c r="B18">
        <v>75.013888030000004</v>
      </c>
      <c r="C18">
        <v>4.0600393700000001</v>
      </c>
      <c r="D18">
        <v>8.9526679629999997</v>
      </c>
      <c r="E18">
        <v>2.0097710690000001</v>
      </c>
      <c r="F18">
        <v>0.79862303000000001</v>
      </c>
    </row>
    <row r="19" spans="1:6" x14ac:dyDescent="0.2">
      <c r="A19">
        <v>0.39152296599999997</v>
      </c>
      <c r="B19">
        <v>73.330686060000005</v>
      </c>
      <c r="C19">
        <v>3.9124015750000001</v>
      </c>
      <c r="D19">
        <v>6.0104154310000002</v>
      </c>
      <c r="E19">
        <v>1.6947035699999999</v>
      </c>
      <c r="F19" s="3" t="s">
        <v>169</v>
      </c>
    </row>
    <row r="20" spans="1:6" x14ac:dyDescent="0.2">
      <c r="A20">
        <v>0.56788444500000002</v>
      </c>
      <c r="B20">
        <v>75.42159101</v>
      </c>
      <c r="C20">
        <v>3.0505952380000001</v>
      </c>
      <c r="D20">
        <v>9.365057363</v>
      </c>
      <c r="E20">
        <v>2.0845366630000002</v>
      </c>
      <c r="F20">
        <v>0.795814507</v>
      </c>
    </row>
    <row r="21" spans="1:6" x14ac:dyDescent="0.2">
      <c r="A21">
        <v>0.51758871399999995</v>
      </c>
      <c r="B21">
        <v>73.81115853</v>
      </c>
      <c r="C21">
        <v>3.4653465350000001</v>
      </c>
      <c r="D21">
        <v>6.5773387889999997</v>
      </c>
      <c r="E21">
        <v>1.662955841</v>
      </c>
      <c r="F21">
        <v>0.59308667000000004</v>
      </c>
    </row>
    <row r="22" spans="1:6" x14ac:dyDescent="0.2">
      <c r="A22">
        <v>0.64640729299999999</v>
      </c>
      <c r="B22">
        <v>70.568617360000005</v>
      </c>
      <c r="C22">
        <v>3.2051282049999998</v>
      </c>
      <c r="D22">
        <v>8.4500830489999998</v>
      </c>
      <c r="E22">
        <v>1.7212703149999999</v>
      </c>
      <c r="F22">
        <v>0.971789503</v>
      </c>
    </row>
    <row r="23" spans="1:6" x14ac:dyDescent="0.2">
      <c r="A23">
        <v>0.45598732800000003</v>
      </c>
      <c r="B23">
        <v>70.237361000000007</v>
      </c>
      <c r="C23">
        <v>2.105</v>
      </c>
      <c r="D23">
        <v>7.7930278800000004</v>
      </c>
      <c r="E23">
        <v>1.9961927230000001</v>
      </c>
      <c r="F23" s="3" t="s">
        <v>169</v>
      </c>
    </row>
    <row r="24" spans="1:6" x14ac:dyDescent="0.2">
      <c r="A24">
        <v>0.437399068</v>
      </c>
      <c r="B24">
        <v>72.39468866</v>
      </c>
      <c r="C24">
        <v>3.5679133859999999</v>
      </c>
      <c r="D24">
        <v>7.2480983950000004</v>
      </c>
      <c r="E24">
        <v>1.840466602</v>
      </c>
      <c r="F24">
        <v>0.78152843000000005</v>
      </c>
    </row>
    <row r="25" spans="1:6" x14ac:dyDescent="0.2">
      <c r="A25">
        <v>0.38685387900000001</v>
      </c>
      <c r="B25">
        <v>70.589512450000001</v>
      </c>
      <c r="C25">
        <v>2.739043825</v>
      </c>
      <c r="D25">
        <v>4.5864709640000001</v>
      </c>
      <c r="E25">
        <v>1.5115305880000001</v>
      </c>
      <c r="F25">
        <v>0.61967392600000004</v>
      </c>
    </row>
    <row r="26" spans="1:6" x14ac:dyDescent="0.2">
      <c r="A26" s="4" t="s">
        <v>169</v>
      </c>
      <c r="B26" s="4" t="s">
        <v>169</v>
      </c>
      <c r="C26" s="4" t="s">
        <v>169</v>
      </c>
      <c r="D26" s="4" t="s">
        <v>169</v>
      </c>
      <c r="E26">
        <v>1.6431354060000001</v>
      </c>
      <c r="F26">
        <v>0.68028871899999999</v>
      </c>
    </row>
    <row r="27" spans="1:6" x14ac:dyDescent="0.2">
      <c r="A27" s="4" t="s">
        <v>169</v>
      </c>
      <c r="B27" s="4" t="s">
        <v>169</v>
      </c>
      <c r="C27" s="4" t="s">
        <v>169</v>
      </c>
      <c r="D27" s="4" t="s">
        <v>169</v>
      </c>
      <c r="E27">
        <v>1.239057308</v>
      </c>
      <c r="F27" s="3" t="s">
        <v>169</v>
      </c>
    </row>
    <row r="28" spans="1:6" x14ac:dyDescent="0.2">
      <c r="A28" s="4" t="s">
        <v>169</v>
      </c>
      <c r="B28" s="4" t="s">
        <v>169</v>
      </c>
      <c r="C28" s="4" t="s">
        <v>169</v>
      </c>
      <c r="D28" s="4" t="s">
        <v>169</v>
      </c>
      <c r="E28">
        <v>1.5275152750000001</v>
      </c>
      <c r="F28">
        <v>0.43947631500000001</v>
      </c>
    </row>
    <row r="29" spans="1:6" x14ac:dyDescent="0.2">
      <c r="A29" s="4" t="s">
        <v>169</v>
      </c>
      <c r="B29" s="4" t="s">
        <v>169</v>
      </c>
      <c r="C29" s="4" t="s">
        <v>169</v>
      </c>
      <c r="D29" s="4" t="s">
        <v>169</v>
      </c>
      <c r="E29">
        <v>1.2172785429999999</v>
      </c>
      <c r="F29">
        <v>0.357660533</v>
      </c>
    </row>
    <row r="30" spans="1:6" x14ac:dyDescent="0.2">
      <c r="A30" s="4" t="s">
        <v>169</v>
      </c>
      <c r="B30" s="4" t="s">
        <v>169</v>
      </c>
      <c r="C30" s="4" t="s">
        <v>169</v>
      </c>
      <c r="D30" s="4" t="s">
        <v>169</v>
      </c>
      <c r="E30">
        <v>1.6818454819999999</v>
      </c>
      <c r="F30">
        <v>0.454195244</v>
      </c>
    </row>
    <row r="31" spans="1:6" x14ac:dyDescent="0.2">
      <c r="A31" s="4" t="s">
        <v>169</v>
      </c>
      <c r="B31" s="4" t="s">
        <v>169</v>
      </c>
      <c r="C31" s="4" t="s">
        <v>169</v>
      </c>
      <c r="D31" s="4" t="s">
        <v>169</v>
      </c>
      <c r="E31">
        <v>1.200700299</v>
      </c>
      <c r="F31">
        <v>0.41799884300000001</v>
      </c>
    </row>
    <row r="32" spans="1:6" x14ac:dyDescent="0.2">
      <c r="A32" s="4" t="s">
        <v>169</v>
      </c>
      <c r="B32" s="4" t="s">
        <v>169</v>
      </c>
      <c r="C32" s="4" t="s">
        <v>169</v>
      </c>
      <c r="D32" s="4" t="s">
        <v>169</v>
      </c>
      <c r="E32">
        <v>1.810347062</v>
      </c>
      <c r="F32">
        <v>0.65944973100000004</v>
      </c>
    </row>
    <row r="33" spans="1:6" x14ac:dyDescent="0.2">
      <c r="A33" s="4" t="s">
        <v>169</v>
      </c>
      <c r="B33" s="4" t="s">
        <v>169</v>
      </c>
      <c r="C33" s="4" t="s">
        <v>169</v>
      </c>
      <c r="D33" s="4" t="s">
        <v>169</v>
      </c>
      <c r="E33">
        <v>1.3768740429999999</v>
      </c>
      <c r="F33">
        <v>0.27379167900000001</v>
      </c>
    </row>
    <row r="34" spans="1:6" x14ac:dyDescent="0.2">
      <c r="A34" s="4" t="s">
        <v>169</v>
      </c>
      <c r="B34" s="4" t="s">
        <v>169</v>
      </c>
      <c r="C34" s="4" t="s">
        <v>169</v>
      </c>
      <c r="D34" s="4" t="s">
        <v>169</v>
      </c>
      <c r="E34">
        <v>1.953608923</v>
      </c>
      <c r="F34">
        <v>1.0149375949999999</v>
      </c>
    </row>
    <row r="35" spans="1:6" x14ac:dyDescent="0.2">
      <c r="A35" s="4" t="s">
        <v>169</v>
      </c>
      <c r="B35" s="4" t="s">
        <v>169</v>
      </c>
      <c r="C35" s="4" t="s">
        <v>169</v>
      </c>
      <c r="D35" s="4" t="s">
        <v>169</v>
      </c>
      <c r="E35">
        <v>1.748168459</v>
      </c>
      <c r="F35" s="3" t="s">
        <v>169</v>
      </c>
    </row>
    <row r="36" spans="1:6" x14ac:dyDescent="0.2">
      <c r="A36" s="4" t="s">
        <v>169</v>
      </c>
      <c r="B36" s="4" t="s">
        <v>169</v>
      </c>
      <c r="C36" s="4" t="s">
        <v>169</v>
      </c>
      <c r="D36" s="4" t="s">
        <v>169</v>
      </c>
      <c r="E36">
        <v>1.6610581289999999</v>
      </c>
      <c r="F36">
        <v>0.83892095200000005</v>
      </c>
    </row>
    <row r="37" spans="1:6" x14ac:dyDescent="0.2">
      <c r="A37" s="4" t="s">
        <v>169</v>
      </c>
      <c r="B37" s="4" t="s">
        <v>169</v>
      </c>
      <c r="C37" s="4" t="s">
        <v>169</v>
      </c>
      <c r="D37" s="4" t="s">
        <v>169</v>
      </c>
      <c r="E37">
        <v>1.250092084</v>
      </c>
      <c r="F37">
        <v>0.58268592799999996</v>
      </c>
    </row>
    <row r="38" spans="1:6" x14ac:dyDescent="0.2">
      <c r="A38" s="4" t="s">
        <v>169</v>
      </c>
      <c r="B38" s="4" t="s">
        <v>169</v>
      </c>
      <c r="C38" s="4" t="s">
        <v>169</v>
      </c>
      <c r="D38" s="4" t="s">
        <v>169</v>
      </c>
      <c r="E38">
        <v>1.8866416800000001</v>
      </c>
      <c r="F38">
        <v>0.87217155700000004</v>
      </c>
    </row>
    <row r="39" spans="1:6" x14ac:dyDescent="0.2">
      <c r="A39" s="4" t="s">
        <v>169</v>
      </c>
      <c r="B39" s="4" t="s">
        <v>169</v>
      </c>
      <c r="C39" s="4" t="s">
        <v>169</v>
      </c>
      <c r="D39" s="4" t="s">
        <v>169</v>
      </c>
      <c r="E39">
        <v>1.5789033379999999</v>
      </c>
      <c r="F39">
        <v>0.65354443299999998</v>
      </c>
    </row>
    <row r="40" spans="1:6" x14ac:dyDescent="0.2">
      <c r="A40" s="4" t="s">
        <v>169</v>
      </c>
      <c r="B40" s="4" t="s">
        <v>169</v>
      </c>
      <c r="C40" s="4" t="s">
        <v>169</v>
      </c>
      <c r="D40" s="4" t="s">
        <v>169</v>
      </c>
      <c r="E40">
        <v>1.4530768650000001</v>
      </c>
      <c r="F40">
        <v>0.44317778899999999</v>
      </c>
    </row>
    <row r="41" spans="1:6" x14ac:dyDescent="0.2">
      <c r="A41" s="4" t="s">
        <v>169</v>
      </c>
      <c r="B41" s="4" t="s">
        <v>169</v>
      </c>
      <c r="C41" s="4" t="s">
        <v>169</v>
      </c>
      <c r="D41" s="4" t="s">
        <v>169</v>
      </c>
      <c r="E41">
        <v>1.1424404079999999</v>
      </c>
      <c r="F41">
        <v>0.37269222800000001</v>
      </c>
    </row>
    <row r="42" spans="1:6" x14ac:dyDescent="0.2">
      <c r="A42" s="4" t="s">
        <v>169</v>
      </c>
      <c r="B42" s="4" t="s">
        <v>169</v>
      </c>
      <c r="C42" s="4" t="s">
        <v>169</v>
      </c>
      <c r="D42" s="4" t="s">
        <v>169</v>
      </c>
      <c r="E42">
        <v>1.848626653</v>
      </c>
      <c r="F42">
        <v>0.88332239300000004</v>
      </c>
    </row>
    <row r="43" spans="1:6" x14ac:dyDescent="0.2">
      <c r="A43" s="4" t="s">
        <v>169</v>
      </c>
      <c r="B43" s="4" t="s">
        <v>169</v>
      </c>
      <c r="C43" s="4" t="s">
        <v>169</v>
      </c>
      <c r="D43" s="4" t="s">
        <v>169</v>
      </c>
      <c r="E43">
        <v>1.48745415</v>
      </c>
      <c r="F43">
        <v>0.70372323199999998</v>
      </c>
    </row>
    <row r="44" spans="1:6" x14ac:dyDescent="0.2">
      <c r="A44" s="4" t="s">
        <v>169</v>
      </c>
      <c r="B44" s="4" t="s">
        <v>169</v>
      </c>
      <c r="C44" s="4" t="s">
        <v>169</v>
      </c>
      <c r="D44" s="4" t="s">
        <v>169</v>
      </c>
      <c r="E44">
        <v>1.9086642970000001</v>
      </c>
      <c r="F44">
        <v>0.79396482199999996</v>
      </c>
    </row>
    <row r="45" spans="1:6" x14ac:dyDescent="0.2">
      <c r="A45" s="4" t="s">
        <v>169</v>
      </c>
      <c r="B45" s="4" t="s">
        <v>169</v>
      </c>
      <c r="C45" s="4" t="s">
        <v>169</v>
      </c>
      <c r="D45" s="4" t="s">
        <v>169</v>
      </c>
      <c r="E45">
        <v>1.6971243659999999</v>
      </c>
      <c r="F45">
        <v>0.75557480399999999</v>
      </c>
    </row>
    <row r="46" spans="1:6" x14ac:dyDescent="0.2">
      <c r="A46" s="4" t="s">
        <v>169</v>
      </c>
      <c r="B46" s="4" t="s">
        <v>169</v>
      </c>
      <c r="C46" s="4" t="s">
        <v>169</v>
      </c>
      <c r="D46" s="4" t="s">
        <v>169</v>
      </c>
      <c r="E46">
        <v>1.9298866830000001</v>
      </c>
      <c r="F46">
        <v>1.0244951330000001</v>
      </c>
    </row>
    <row r="47" spans="1:6" x14ac:dyDescent="0.2">
      <c r="A47" s="4" t="s">
        <v>169</v>
      </c>
      <c r="B47" s="4" t="s">
        <v>169</v>
      </c>
      <c r="C47" s="4" t="s">
        <v>169</v>
      </c>
      <c r="D47" s="4" t="s">
        <v>169</v>
      </c>
      <c r="E47">
        <v>1.6642757379999999</v>
      </c>
      <c r="F47">
        <v>0.80584425999999998</v>
      </c>
    </row>
    <row r="48" spans="1:6" x14ac:dyDescent="0.2">
      <c r="A48" s="4" t="s">
        <v>169</v>
      </c>
      <c r="B48" s="4" t="s">
        <v>169</v>
      </c>
      <c r="C48" s="4" t="s">
        <v>169</v>
      </c>
      <c r="D48" s="4" t="s">
        <v>169</v>
      </c>
      <c r="E48">
        <v>1.6010642610000001</v>
      </c>
      <c r="F48">
        <v>0.73255585599999995</v>
      </c>
    </row>
    <row r="49" spans="1:6" x14ac:dyDescent="0.2">
      <c r="A49" s="4" t="s">
        <v>169</v>
      </c>
      <c r="B49" s="4" t="s">
        <v>169</v>
      </c>
      <c r="C49" s="4" t="s">
        <v>169</v>
      </c>
      <c r="D49" s="4" t="s">
        <v>169</v>
      </c>
      <c r="E49">
        <v>1.1579854249999999</v>
      </c>
      <c r="F49">
        <v>0.44535133799999999</v>
      </c>
    </row>
    <row r="50" spans="1:6" x14ac:dyDescent="0.2">
      <c r="A50" s="4" t="s">
        <v>169</v>
      </c>
      <c r="B50" s="4" t="s">
        <v>169</v>
      </c>
      <c r="C50" s="4" t="s">
        <v>169</v>
      </c>
      <c r="D50" s="4" t="s">
        <v>169</v>
      </c>
      <c r="E50">
        <v>1.633989336</v>
      </c>
      <c r="F50">
        <v>0.69069592099999999</v>
      </c>
    </row>
    <row r="51" spans="1:6" x14ac:dyDescent="0.2">
      <c r="A51" s="4" t="s">
        <v>169</v>
      </c>
      <c r="B51" s="4" t="s">
        <v>169</v>
      </c>
      <c r="C51" s="4" t="s">
        <v>169</v>
      </c>
      <c r="D51" s="4" t="s">
        <v>169</v>
      </c>
      <c r="E51">
        <v>1.1873311129999999</v>
      </c>
      <c r="F51" s="3" t="s">
        <v>169</v>
      </c>
    </row>
    <row r="52" spans="1:6" x14ac:dyDescent="0.2">
      <c r="A52" s="4" t="s">
        <v>169</v>
      </c>
      <c r="B52" s="4" t="s">
        <v>169</v>
      </c>
      <c r="C52" s="4" t="s">
        <v>169</v>
      </c>
      <c r="D52" s="4" t="s">
        <v>169</v>
      </c>
      <c r="E52">
        <v>1.5167145609999999</v>
      </c>
      <c r="F52">
        <v>0.44760934200000002</v>
      </c>
    </row>
    <row r="53" spans="1:6" x14ac:dyDescent="0.2">
      <c r="A53" s="4" t="s">
        <v>169</v>
      </c>
      <c r="B53" s="4" t="s">
        <v>169</v>
      </c>
      <c r="C53" s="4" t="s">
        <v>169</v>
      </c>
      <c r="D53" s="4" t="s">
        <v>169</v>
      </c>
      <c r="E53">
        <v>1.1466387469999999</v>
      </c>
      <c r="F53">
        <v>0.35892751699999997</v>
      </c>
    </row>
    <row r="54" spans="1:6" x14ac:dyDescent="0.2">
      <c r="A54" s="4" t="s">
        <v>169</v>
      </c>
      <c r="B54" s="4" t="s">
        <v>169</v>
      </c>
      <c r="C54" s="4" t="s">
        <v>169</v>
      </c>
      <c r="D54" s="4" t="s">
        <v>169</v>
      </c>
      <c r="E54">
        <v>1.5754556070000001</v>
      </c>
      <c r="F54">
        <v>0.50563463799999997</v>
      </c>
    </row>
    <row r="55" spans="1:6" x14ac:dyDescent="0.2">
      <c r="A55" s="4" t="s">
        <v>169</v>
      </c>
      <c r="B55" s="4" t="s">
        <v>169</v>
      </c>
      <c r="C55" s="4" t="s">
        <v>169</v>
      </c>
      <c r="D55" s="4" t="s">
        <v>169</v>
      </c>
      <c r="E55">
        <v>1.0985234850000001</v>
      </c>
      <c r="F55">
        <v>0.36921118000000003</v>
      </c>
    </row>
    <row r="56" spans="1:6" x14ac:dyDescent="0.2">
      <c r="A56" s="4" t="s">
        <v>169</v>
      </c>
      <c r="B56" s="4" t="s">
        <v>169</v>
      </c>
      <c r="C56" s="4" t="s">
        <v>169</v>
      </c>
      <c r="D56" s="4" t="s">
        <v>169</v>
      </c>
      <c r="E56">
        <v>1.6872102600000001</v>
      </c>
      <c r="F56">
        <v>0.62861818999999997</v>
      </c>
    </row>
    <row r="57" spans="1:6" x14ac:dyDescent="0.2">
      <c r="A57" s="4" t="s">
        <v>169</v>
      </c>
      <c r="B57" s="4" t="s">
        <v>169</v>
      </c>
      <c r="C57" s="4" t="s">
        <v>169</v>
      </c>
      <c r="D57" s="4" t="s">
        <v>169</v>
      </c>
      <c r="E57">
        <v>1.2392591559999999</v>
      </c>
      <c r="F57" s="3" t="s">
        <v>169</v>
      </c>
    </row>
    <row r="58" spans="1:6" x14ac:dyDescent="0.2">
      <c r="A58" s="4" t="s">
        <v>169</v>
      </c>
      <c r="B58" s="4" t="s">
        <v>169</v>
      </c>
      <c r="C58" s="4" t="s">
        <v>169</v>
      </c>
      <c r="D58" s="4" t="s">
        <v>169</v>
      </c>
      <c r="E58">
        <v>1.955869466</v>
      </c>
      <c r="F58">
        <v>1.037181063</v>
      </c>
    </row>
    <row r="59" spans="1:6" x14ac:dyDescent="0.2">
      <c r="A59" s="4" t="s">
        <v>169</v>
      </c>
      <c r="B59" s="4" t="s">
        <v>169</v>
      </c>
      <c r="C59" s="4" t="s">
        <v>169</v>
      </c>
      <c r="D59" s="4" t="s">
        <v>169</v>
      </c>
      <c r="E59">
        <v>1.1590881689999999</v>
      </c>
      <c r="F59" s="3" t="s">
        <v>169</v>
      </c>
    </row>
    <row r="60" spans="1:6" x14ac:dyDescent="0.2">
      <c r="A60" s="4" t="s">
        <v>169</v>
      </c>
      <c r="B60" s="4" t="s">
        <v>169</v>
      </c>
      <c r="C60" s="4" t="s">
        <v>169</v>
      </c>
      <c r="D60" s="4" t="s">
        <v>169</v>
      </c>
      <c r="E60">
        <v>1.5875741299999999</v>
      </c>
      <c r="F60">
        <v>0.70940502000000005</v>
      </c>
    </row>
    <row r="61" spans="1:6" x14ac:dyDescent="0.2">
      <c r="A61" s="4" t="s">
        <v>169</v>
      </c>
      <c r="B61" s="4" t="s">
        <v>169</v>
      </c>
      <c r="C61" s="4" t="s">
        <v>169</v>
      </c>
      <c r="D61" s="4" t="s">
        <v>169</v>
      </c>
      <c r="E61">
        <v>1.1077437429999999</v>
      </c>
      <c r="F61">
        <v>0.41646615799999998</v>
      </c>
    </row>
    <row r="62" spans="1:6" x14ac:dyDescent="0.2">
      <c r="A62" s="4" t="s">
        <v>169</v>
      </c>
      <c r="B62" s="4" t="s">
        <v>169</v>
      </c>
      <c r="C62" s="4" t="s">
        <v>169</v>
      </c>
      <c r="D62" s="4" t="s">
        <v>169</v>
      </c>
      <c r="E62">
        <v>1.7380958049999999</v>
      </c>
      <c r="F62">
        <v>0.93116166899999997</v>
      </c>
    </row>
    <row r="63" spans="1:6" x14ac:dyDescent="0.2">
      <c r="A63" s="4" t="s">
        <v>169</v>
      </c>
      <c r="B63" s="4" t="s">
        <v>169</v>
      </c>
      <c r="C63" s="4" t="s">
        <v>169</v>
      </c>
      <c r="D63" s="4" t="s">
        <v>169</v>
      </c>
      <c r="E63">
        <v>1.457618259</v>
      </c>
      <c r="F63" s="3" t="s">
        <v>169</v>
      </c>
    </row>
    <row r="64" spans="1:6" x14ac:dyDescent="0.2">
      <c r="A64" s="4" t="s">
        <v>169</v>
      </c>
      <c r="B64" s="4" t="s">
        <v>169</v>
      </c>
      <c r="C64" s="4" t="s">
        <v>169</v>
      </c>
      <c r="D64" s="4" t="s">
        <v>169</v>
      </c>
      <c r="E64">
        <v>1.553714934</v>
      </c>
      <c r="F64">
        <v>0.48484172399999997</v>
      </c>
    </row>
    <row r="65" spans="1:6" x14ac:dyDescent="0.2">
      <c r="A65" s="4" t="s">
        <v>169</v>
      </c>
      <c r="B65" s="4" t="s">
        <v>169</v>
      </c>
      <c r="C65" s="4" t="s">
        <v>169</v>
      </c>
      <c r="D65" s="4" t="s">
        <v>169</v>
      </c>
      <c r="E65">
        <v>1.2304802530000001</v>
      </c>
      <c r="F65">
        <v>0.40758735299999999</v>
      </c>
    </row>
    <row r="66" spans="1:6" x14ac:dyDescent="0.2">
      <c r="A66" s="4" t="s">
        <v>169</v>
      </c>
      <c r="B66" s="4" t="s">
        <v>169</v>
      </c>
      <c r="C66" s="4" t="s">
        <v>169</v>
      </c>
      <c r="D66" s="4" t="s">
        <v>169</v>
      </c>
      <c r="E66">
        <v>1.829974685</v>
      </c>
      <c r="F66">
        <v>0.84669224499999995</v>
      </c>
    </row>
    <row r="67" spans="1:6" x14ac:dyDescent="0.2">
      <c r="A67" s="4" t="s">
        <v>169</v>
      </c>
      <c r="B67" s="4" t="s">
        <v>169</v>
      </c>
      <c r="C67" s="4" t="s">
        <v>169</v>
      </c>
      <c r="D67" s="4" t="s">
        <v>169</v>
      </c>
      <c r="E67">
        <v>1.449350908</v>
      </c>
      <c r="F67">
        <v>0.73004803500000004</v>
      </c>
    </row>
    <row r="68" spans="1:6" x14ac:dyDescent="0.2">
      <c r="A68" s="4" t="s">
        <v>169</v>
      </c>
      <c r="B68" s="4" t="s">
        <v>169</v>
      </c>
      <c r="C68" s="4" t="s">
        <v>169</v>
      </c>
      <c r="D68" s="4" t="s">
        <v>169</v>
      </c>
      <c r="E68">
        <v>1.782404798</v>
      </c>
      <c r="F68">
        <v>0.78803468600000004</v>
      </c>
    </row>
    <row r="69" spans="1:6" x14ac:dyDescent="0.2">
      <c r="A69" s="4" t="s">
        <v>169</v>
      </c>
      <c r="B69" s="4" t="s">
        <v>169</v>
      </c>
      <c r="C69" s="4" t="s">
        <v>169</v>
      </c>
      <c r="D69" s="4" t="s">
        <v>169</v>
      </c>
      <c r="E69">
        <v>1.5311622140000001</v>
      </c>
      <c r="F69">
        <v>0.65733262400000003</v>
      </c>
    </row>
    <row r="70" spans="1:6" x14ac:dyDescent="0.2">
      <c r="A70" s="4" t="s">
        <v>169</v>
      </c>
      <c r="B70" s="4" t="s">
        <v>169</v>
      </c>
      <c r="C70" s="4" t="s">
        <v>169</v>
      </c>
      <c r="D70" s="4" t="s">
        <v>169</v>
      </c>
      <c r="E70">
        <v>1.8835798749999999</v>
      </c>
      <c r="F70">
        <v>0.97195261300000002</v>
      </c>
    </row>
    <row r="71" spans="1:6" x14ac:dyDescent="0.2">
      <c r="A71" s="4" t="s">
        <v>169</v>
      </c>
      <c r="B71" s="4" t="s">
        <v>169</v>
      </c>
      <c r="C71" s="4" t="s">
        <v>169</v>
      </c>
      <c r="D71" s="4" t="s">
        <v>169</v>
      </c>
      <c r="E71">
        <v>1.5670925149999999</v>
      </c>
      <c r="F71" s="3" t="s">
        <v>169</v>
      </c>
    </row>
    <row r="72" spans="1:6" x14ac:dyDescent="0.2">
      <c r="A72" s="4" t="s">
        <v>169</v>
      </c>
      <c r="B72" s="4" t="s">
        <v>169</v>
      </c>
      <c r="C72" s="4" t="s">
        <v>169</v>
      </c>
      <c r="D72" s="4" t="s">
        <v>169</v>
      </c>
      <c r="E72">
        <v>1.6851945349999999</v>
      </c>
      <c r="F72">
        <v>0.727410577</v>
      </c>
    </row>
    <row r="73" spans="1:6" x14ac:dyDescent="0.2">
      <c r="A73" s="4" t="s">
        <v>169</v>
      </c>
      <c r="B73" s="4" t="s">
        <v>169</v>
      </c>
      <c r="C73" s="4" t="s">
        <v>169</v>
      </c>
      <c r="D73" s="4" t="s">
        <v>169</v>
      </c>
      <c r="E73">
        <v>1.2107473449999999</v>
      </c>
      <c r="F73" s="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Mastersheet</vt:lpstr>
      <vt:lpstr>Fig2_PCA_data</vt:lpstr>
      <vt:lpstr>Fig2_PCA_group</vt:lpstr>
      <vt:lpstr>Fig2_PCA_property</vt:lpstr>
      <vt:lpstr>Fig3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野 田</cp:lastModifiedBy>
  <dcterms:created xsi:type="dcterms:W3CDTF">2022-07-07T06:07:34Z</dcterms:created>
  <dcterms:modified xsi:type="dcterms:W3CDTF">2026-01-15T14:43:07Z</dcterms:modified>
</cp:coreProperties>
</file>