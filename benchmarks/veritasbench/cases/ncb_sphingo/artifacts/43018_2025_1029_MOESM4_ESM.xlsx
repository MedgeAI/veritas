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M-PTX\Summary\20250531\"/>
    </mc:Choice>
  </mc:AlternateContent>
  <xr:revisionPtr revIDLastSave="0" documentId="13_ncr:1_{12901D28-6879-4C15-877D-6B55F8F9C9F5}" xr6:coauthVersionLast="47" xr6:coauthVersionMax="47" xr10:uidLastSave="{00000000-0000-0000-0000-000000000000}"/>
  <bookViews>
    <workbookView xWindow="38290" yWindow="-110" windowWidth="38620" windowHeight="21220" tabRatio="842" xr2:uid="{00000000-000D-0000-FFFF-FFFF00000000}"/>
  </bookViews>
  <sheets>
    <sheet name="Fig. 1c" sheetId="126" r:id="rId1"/>
    <sheet name="Fig. 1d" sheetId="127" r:id="rId2"/>
    <sheet name="Fig. 1e" sheetId="162" r:id="rId3"/>
    <sheet name="Fig. 1g" sheetId="163" r:id="rId4"/>
    <sheet name="Fig. 1h" sheetId="164" r:id="rId5"/>
    <sheet name="Fig. 1i" sheetId="165" r:id="rId6"/>
    <sheet name="Fig. 1j" sheetId="166" r:id="rId7"/>
    <sheet name="Fig. 1k" sheetId="167" r:id="rId8"/>
    <sheet name="Fig. 1l" sheetId="168" r:id="rId9"/>
    <sheet name="Fig. 2a" sheetId="172" r:id="rId10"/>
    <sheet name="Fig. 2b" sheetId="125" r:id="rId11"/>
    <sheet name="Fig. 2c" sheetId="204" r:id="rId12"/>
    <sheet name="Fig. 2d" sheetId="205" r:id="rId13"/>
    <sheet name="Fig. 2e" sheetId="264" r:id="rId14"/>
    <sheet name="Fig. 2f" sheetId="254" r:id="rId15"/>
    <sheet name="Fig. 2g" sheetId="255" r:id="rId16"/>
    <sheet name="Fig. 2i" sheetId="107" r:id="rId17"/>
    <sheet name="Fig. 2j" sheetId="108" r:id="rId18"/>
    <sheet name="Fig. 2k" sheetId="116" r:id="rId19"/>
    <sheet name="Fig. 3b" sheetId="208" r:id="rId20"/>
    <sheet name="Fig. 3c" sheetId="209" r:id="rId21"/>
    <sheet name="Fig. 3d" sheetId="210" r:id="rId22"/>
    <sheet name="Fig. 3f" sheetId="128" r:id="rId23"/>
    <sheet name="Fig. 3h" sheetId="129" r:id="rId24"/>
    <sheet name="Fig. 4a" sheetId="130" r:id="rId25"/>
    <sheet name="Fig. 4b" sheetId="143" r:id="rId26"/>
    <sheet name="Fig. 4c" sheetId="144" r:id="rId27"/>
    <sheet name="Fig. 4n" sheetId="211" r:id="rId28"/>
    <sheet name="Fig. 4p" sheetId="212" r:id="rId29"/>
    <sheet name="Fig. 4q" sheetId="213" r:id="rId30"/>
    <sheet name="Fig. 4r" sheetId="214" r:id="rId31"/>
    <sheet name="Fig. 4s" sheetId="215" r:id="rId32"/>
    <sheet name="Fig. 4t" sheetId="216" r:id="rId33"/>
    <sheet name="Fig. 4u" sheetId="217" r:id="rId34"/>
    <sheet name="Fig. 5b" sheetId="218" r:id="rId35"/>
    <sheet name="Fig. 5c" sheetId="219" r:id="rId36"/>
    <sheet name="Fig. 5d" sheetId="220" r:id="rId37"/>
    <sheet name="Fig. 5e" sheetId="109" r:id="rId38"/>
    <sheet name="Fig. 5f" sheetId="110" r:id="rId39"/>
    <sheet name="Fig. 5g" sheetId="111" r:id="rId40"/>
    <sheet name="Fig. 5l" sheetId="222" r:id="rId41"/>
    <sheet name="Fig. 5m" sheetId="112" r:id="rId42"/>
    <sheet name="Fig. 5n" sheetId="113" r:id="rId43"/>
    <sheet name="Fig. 5o" sheetId="114" r:id="rId44"/>
    <sheet name="Fig. 6a" sheetId="276" r:id="rId45"/>
    <sheet name="Fig. 6b" sheetId="277" r:id="rId46"/>
    <sheet name="Fig. 6c" sheetId="278" r:id="rId47"/>
    <sheet name="Fig. 6d" sheetId="279" r:id="rId48"/>
    <sheet name="Fig. 6g" sheetId="280" r:id="rId49"/>
    <sheet name="Fig. 6h" sheetId="281" r:id="rId50"/>
    <sheet name="Fig. 7a" sheetId="131" r:id="rId51"/>
    <sheet name="Fig. 7d" sheetId="225" r:id="rId52"/>
    <sheet name="Fig. 7e" sheetId="226" r:id="rId53"/>
    <sheet name="Fig. 7f" sheetId="227" r:id="rId54"/>
    <sheet name="Fig. 7g" sheetId="132" r:id="rId55"/>
    <sheet name="Fig. 7h" sheetId="134" r:id="rId56"/>
    <sheet name="Fig. 7i" sheetId="133" r:id="rId57"/>
    <sheet name="Fig. 7j" sheetId="135" r:id="rId58"/>
    <sheet name="Fig. 7n" sheetId="115" r:id="rId59"/>
    <sheet name="Fig. 7o" sheetId="117" r:id="rId60"/>
    <sheet name="Fig. 7p" sheetId="118" r:id="rId61"/>
    <sheet name="Fig. 8a" sheetId="136" r:id="rId62"/>
    <sheet name="Fig. 8d" sheetId="230" r:id="rId63"/>
    <sheet name="Fig. 8e" sheetId="229" r:id="rId64"/>
    <sheet name="Fig. 8f" sheetId="228" r:id="rId65"/>
    <sheet name="Fig. 8g" sheetId="137" r:id="rId66"/>
    <sheet name="Fig. 8h" sheetId="138" r:id="rId67"/>
    <sheet name="Fig. 8i" sheetId="140" r:id="rId68"/>
    <sheet name="Fig. 8j" sheetId="139" r:id="rId69"/>
    <sheet name="Fig. 8m" sheetId="119" r:id="rId70"/>
    <sheet name="Fig. 8n" sheetId="121" r:id="rId71"/>
    <sheet name="Fig. 8o" sheetId="122" r:id="rId72"/>
    <sheet name="Fig. 8p" sheetId="120" r:id="rId73"/>
    <sheet name="Extended Data Fig. 1a" sheetId="262" r:id="rId74"/>
    <sheet name="Extended Data Fig. 1b" sheetId="263" r:id="rId75"/>
    <sheet name="Extended Data Fig. 1c" sheetId="156" r:id="rId76"/>
    <sheet name="Extended Data Fig. 1d" sheetId="157" r:id="rId77"/>
    <sheet name="Extended Data Fig. 1e" sheetId="158" r:id="rId78"/>
    <sheet name="Extended Data Fig. 1f" sheetId="159" r:id="rId79"/>
    <sheet name="Extended Data Fig. 1g" sheetId="160" r:id="rId80"/>
    <sheet name="Extended Data Fig. 1h" sheetId="161" r:id="rId81"/>
    <sheet name="Extended Data Fig. 1s" sheetId="169" r:id="rId82"/>
    <sheet name="Extended Data Fig. 1t" sheetId="170" r:id="rId83"/>
    <sheet name="Extended Data Fig. 1u" sheetId="171" r:id="rId84"/>
    <sheet name="Extended Data Fig. 1v" sheetId="282" r:id="rId85"/>
    <sheet name="Extended Data Fig. 2d" sheetId="265" r:id="rId86"/>
    <sheet name="Extended Data Fig.  3a" sheetId="176" r:id="rId87"/>
    <sheet name="Extended Data Fig.  3b" sheetId="178" r:id="rId88"/>
    <sheet name="Extended Data Fig.  3c" sheetId="179" r:id="rId89"/>
    <sheet name="Extended Data Fig.  3h" sheetId="284" r:id="rId90"/>
    <sheet name="Extended Data Fig.  3i" sheetId="285" r:id="rId91"/>
    <sheet name="Extended Data Fig. 3k" sheetId="123" r:id="rId92"/>
    <sheet name="Extended Data Fig. 3l" sheetId="124" r:id="rId93"/>
    <sheet name="Extended Data Fig. 4a" sheetId="231" r:id="rId94"/>
    <sheet name="Extended Data Fig. 4b" sheetId="232" r:id="rId95"/>
    <sheet name="Extended Data Fig. 4c" sheetId="233" r:id="rId96"/>
    <sheet name="Extended Data Fig. 4d" sheetId="234" r:id="rId97"/>
    <sheet name="Extended Data Fig. 4e" sheetId="236" r:id="rId98"/>
    <sheet name="Extended Data Fig. 5c" sheetId="237" r:id="rId99"/>
    <sheet name="Extended Data Fig. 5b" sheetId="286" r:id="rId100"/>
    <sheet name="Extended Data Fig. 6a" sheetId="287" r:id="rId101"/>
    <sheet name="Extended Data Fig. 6b" sheetId="288" r:id="rId102"/>
    <sheet name="Extended Data Fig. 6f" sheetId="289" r:id="rId103"/>
    <sheet name="Extended Data Fig. 6g" sheetId="290" r:id="rId104"/>
    <sheet name="Extended Data Fig. 7a" sheetId="291" r:id="rId105"/>
    <sheet name="Extended Data Fig. 7c" sheetId="292" r:id="rId106"/>
    <sheet name="Extended Data Fig. 7d" sheetId="293" r:id="rId107"/>
    <sheet name="Extended Data Fig. 7e" sheetId="294" r:id="rId108"/>
    <sheet name="Extended Data Fig. 7f" sheetId="295" r:id="rId109"/>
    <sheet name="Extended Data Fig. 7g" sheetId="296" r:id="rId110"/>
    <sheet name="Extended Data Fig. 7h" sheetId="297" r:id="rId111"/>
    <sheet name="Extended Data Fig. 9a" sheetId="298" r:id="rId112"/>
    <sheet name="Extended Data Fig. 9c" sheetId="299" r:id="rId113"/>
    <sheet name="Extended Data Fig. 9d" sheetId="300" r:id="rId114"/>
    <sheet name="Extended Data Fig. 9e" sheetId="301" r:id="rId115"/>
    <sheet name="Extended Data Fig. 9f" sheetId="302" r:id="rId116"/>
    <sheet name="Extended Data Fig. 9g" sheetId="303" r:id="rId117"/>
    <sheet name="Extended Data Fig. 9h" sheetId="304" r:id="rId118"/>
    <sheet name="Extended Data Fig. 10a" sheetId="305" r:id="rId119"/>
    <sheet name="Extended Data Fig. 10b" sheetId="306" r:id="rId120"/>
    <sheet name="Supplementary Table 2" sheetId="275" r:id="rId121"/>
    <sheet name="Supplementary Table 3" sheetId="249" r:id="rId122"/>
    <sheet name="Supplementary Table 4" sheetId="155" r:id="rId123"/>
    <sheet name="Supplementary Table 10" sheetId="266" r:id="rId124"/>
    <sheet name="Supplementary Table 11" sheetId="267" r:id="rId125"/>
    <sheet name="Supplementary Table 14" sheetId="268" r:id="rId126"/>
    <sheet name="Supplementary Table 16" sheetId="186" r:id="rId127"/>
    <sheet name="Supplementary Table 18" sheetId="261" r:id="rId128"/>
    <sheet name="Supplementary Table 22" sheetId="202" r:id="rId129"/>
    <sheet name="Supplementary Table 23" sheetId="203" r:id="rId130"/>
    <sheet name="Supplementary Table 27" sheetId="192" r:id="rId131"/>
    <sheet name="Supplementary Table 28" sheetId="193" r:id="rId1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68" l="1"/>
  <c r="J7" i="268"/>
  <c r="J8" i="268"/>
  <c r="J9" i="268"/>
  <c r="J10" i="268"/>
  <c r="J11" i="268"/>
  <c r="J12" i="268"/>
  <c r="J5" i="268"/>
  <c r="F16" i="249"/>
  <c r="E16" i="249"/>
  <c r="F15" i="249"/>
  <c r="E15" i="249"/>
  <c r="M14" i="249"/>
  <c r="L14" i="249"/>
  <c r="F12" i="249"/>
  <c r="E12" i="249"/>
  <c r="F11" i="249"/>
  <c r="E11" i="249"/>
  <c r="M10" i="249"/>
  <c r="L10" i="249"/>
  <c r="F8" i="249"/>
  <c r="E8" i="249"/>
  <c r="F7" i="249"/>
  <c r="E7" i="249"/>
  <c r="M6" i="249"/>
  <c r="L6" i="249"/>
  <c r="H7" i="155" l="1"/>
  <c r="Y22" i="155"/>
  <c r="X22" i="155"/>
  <c r="T22" i="155"/>
  <c r="S22" i="155"/>
  <c r="R22" i="155"/>
  <c r="N22" i="155"/>
  <c r="M22" i="155"/>
  <c r="L22" i="155"/>
  <c r="H22" i="155"/>
  <c r="Y21" i="155"/>
  <c r="X21" i="155"/>
  <c r="T21" i="155"/>
  <c r="S21" i="155"/>
  <c r="R21" i="155"/>
  <c r="N21" i="155"/>
  <c r="M21" i="155"/>
  <c r="L21" i="155"/>
  <c r="H21" i="155"/>
  <c r="Y20" i="155"/>
  <c r="X20" i="155"/>
  <c r="T20" i="155"/>
  <c r="S20" i="155"/>
  <c r="R20" i="155"/>
  <c r="N20" i="155"/>
  <c r="M20" i="155"/>
  <c r="L20" i="155"/>
  <c r="H20" i="155"/>
  <c r="Y19" i="155"/>
  <c r="X19" i="155"/>
  <c r="T19" i="155"/>
  <c r="S19" i="155"/>
  <c r="R19" i="155"/>
  <c r="N19" i="155"/>
  <c r="M19" i="155"/>
  <c r="L19" i="155"/>
  <c r="H19" i="155"/>
  <c r="Y18" i="155"/>
  <c r="X18" i="155"/>
  <c r="S18" i="155"/>
  <c r="R18" i="155"/>
  <c r="M18" i="155"/>
  <c r="L18" i="155"/>
  <c r="Y17" i="155"/>
  <c r="X17" i="155"/>
  <c r="T17" i="155"/>
  <c r="S17" i="155"/>
  <c r="R17" i="155"/>
  <c r="N17" i="155"/>
  <c r="M17" i="155"/>
  <c r="L17" i="155"/>
  <c r="H17" i="155"/>
  <c r="Y16" i="155"/>
  <c r="X16" i="155"/>
  <c r="T16" i="155"/>
  <c r="S16" i="155"/>
  <c r="R16" i="155"/>
  <c r="N16" i="155"/>
  <c r="M16" i="155"/>
  <c r="L16" i="155"/>
  <c r="H16" i="155"/>
  <c r="Y15" i="155"/>
  <c r="X15" i="155"/>
  <c r="T15" i="155"/>
  <c r="S15" i="155"/>
  <c r="R15" i="155"/>
  <c r="N15" i="155"/>
  <c r="M15" i="155"/>
  <c r="L15" i="155"/>
  <c r="H15" i="155"/>
  <c r="Y14" i="155"/>
  <c r="X14" i="155"/>
  <c r="T14" i="155"/>
  <c r="S14" i="155"/>
  <c r="R14" i="155"/>
  <c r="N14" i="155"/>
  <c r="M14" i="155"/>
  <c r="L14" i="155"/>
  <c r="H14" i="155"/>
  <c r="Y13" i="155"/>
  <c r="X13" i="155"/>
  <c r="T13" i="155"/>
  <c r="S13" i="155"/>
  <c r="R13" i="155"/>
  <c r="N13" i="155"/>
  <c r="M13" i="155"/>
  <c r="L13" i="155"/>
  <c r="H13" i="155"/>
  <c r="Y12" i="155"/>
  <c r="X12" i="155"/>
  <c r="S12" i="155"/>
  <c r="R12" i="155"/>
  <c r="M12" i="155"/>
  <c r="L12" i="155"/>
  <c r="Y11" i="155"/>
  <c r="X11" i="155"/>
  <c r="T11" i="155"/>
  <c r="S11" i="155"/>
  <c r="R11" i="155"/>
  <c r="N11" i="155"/>
  <c r="M11" i="155"/>
  <c r="L11" i="155"/>
  <c r="H11" i="155"/>
  <c r="Y10" i="155"/>
  <c r="X10" i="155"/>
  <c r="T10" i="155"/>
  <c r="S10" i="155"/>
  <c r="R10" i="155"/>
  <c r="N10" i="155"/>
  <c r="L10" i="155"/>
  <c r="H10" i="155"/>
  <c r="M10" i="155" s="1"/>
  <c r="Y9" i="155"/>
  <c r="X9" i="155"/>
  <c r="T9" i="155"/>
  <c r="S9" i="155"/>
  <c r="R9" i="155"/>
  <c r="N9" i="155"/>
  <c r="M9" i="155"/>
  <c r="L9" i="155"/>
  <c r="H9" i="155"/>
  <c r="Y8" i="155"/>
  <c r="X8" i="155"/>
  <c r="T8" i="155"/>
  <c r="S8" i="155"/>
  <c r="R8" i="155"/>
  <c r="N8" i="155"/>
  <c r="M8" i="155"/>
  <c r="L8" i="155"/>
  <c r="H8" i="155"/>
  <c r="Y7" i="155"/>
  <c r="X7" i="155"/>
  <c r="T7" i="155"/>
  <c r="S7" i="155"/>
  <c r="R7" i="155"/>
  <c r="N7" i="155"/>
  <c r="M7" i="155"/>
  <c r="L7" i="155"/>
  <c r="Y6" i="155"/>
  <c r="X6" i="155"/>
  <c r="S6" i="155"/>
  <c r="R6" i="155"/>
  <c r="M6" i="155"/>
  <c r="L6" i="155"/>
  <c r="Y5" i="155"/>
  <c r="X5" i="155"/>
  <c r="T5" i="155"/>
  <c r="S5" i="155"/>
  <c r="R5" i="155"/>
  <c r="N5" i="155"/>
  <c r="M5" i="155"/>
  <c r="L5" i="155"/>
  <c r="H5" i="155"/>
</calcChain>
</file>

<file path=xl/sharedStrings.xml><?xml version="1.0" encoding="utf-8"?>
<sst xmlns="http://schemas.openxmlformats.org/spreadsheetml/2006/main" count="1448" uniqueCount="347">
  <si>
    <t>Heart</t>
  </si>
  <si>
    <t>Liver</t>
  </si>
  <si>
    <t>Spleen</t>
  </si>
  <si>
    <t>Lung</t>
  </si>
  <si>
    <t>Kidney</t>
  </si>
  <si>
    <t>Tumor</t>
  </si>
  <si>
    <t>5% Dextrose</t>
  </si>
  <si>
    <t>Stomach</t>
  </si>
  <si>
    <t>Small intestine</t>
  </si>
  <si>
    <t>Large intestine</t>
  </si>
  <si>
    <t>Cecum</t>
  </si>
  <si>
    <t>Colon</t>
  </si>
  <si>
    <t>Rectum</t>
  </si>
  <si>
    <t>Taxol</t>
  </si>
  <si>
    <t>Abraxane</t>
  </si>
  <si>
    <t>Paclitaxome-1</t>
  </si>
  <si>
    <t>Paclitaxome-2</t>
  </si>
  <si>
    <t>Paclitaxome-3</t>
  </si>
  <si>
    <t>AZO-Paclitaxome-2</t>
  </si>
  <si>
    <t>AZE-Paclitaxome-2</t>
  </si>
  <si>
    <t>CD47p/Paclitaxome-2</t>
  </si>
  <si>
    <t>CD47p/AZE-Paclitaxome-2</t>
  </si>
  <si>
    <t>PTX/Lipo-SM</t>
  </si>
  <si>
    <t>Released PTX or free PTX</t>
  </si>
  <si>
    <t>Conjugated PTX</t>
  </si>
  <si>
    <t>GEM/Lipo-SM</t>
  </si>
  <si>
    <t>GEM/Lipo-SM + Abraxane</t>
  </si>
  <si>
    <t>GEM/Lipo-SM + CD47p/AZE-Paclitaxome-2</t>
  </si>
  <si>
    <t>CD47p/GEM/AZE-Paclitaxome-2</t>
  </si>
  <si>
    <t>GEM/CD47p/AZE-Paclitaxome-2</t>
  </si>
  <si>
    <t>CBPt/Lipo-SM</t>
  </si>
  <si>
    <t>CBPt/Lipo-SM + Abraxane</t>
  </si>
  <si>
    <t>CBPt/Lipo-SM + AZE-Paclitaxome-2</t>
  </si>
  <si>
    <t>CBPt/AZE-Paclitaxome-2</t>
  </si>
  <si>
    <t>CD47p/CBPt/AZE-Paclitaxome-2</t>
  </si>
  <si>
    <t>CBPt/Lipo-SM+ Abraxane</t>
  </si>
  <si>
    <t>Days</t>
  </si>
  <si>
    <t>h</t>
  </si>
  <si>
    <t>Taxol (20 mg/kg)</t>
  </si>
  <si>
    <t>PTX/Lipo-SM (40 mg/kg)</t>
  </si>
  <si>
    <t>Paclitaxome-1 (100 mg/kg)</t>
  </si>
  <si>
    <t>Paclitaxome-2 (70 mg/kg)</t>
  </si>
  <si>
    <t>Paclitaxome-3 (100 mg/kg)</t>
  </si>
  <si>
    <t>Creatinine</t>
  </si>
  <si>
    <t>Blood urea nitrogen (BUN)</t>
  </si>
  <si>
    <t>White blood cell</t>
  </si>
  <si>
    <t>Lymphocyte count</t>
  </si>
  <si>
    <t>Mean corpuscular volume</t>
  </si>
  <si>
    <t>Mean corpuscular hemoglobin concentration</t>
  </si>
  <si>
    <t>Hematocrit</t>
  </si>
  <si>
    <t>X Intensity</t>
  </si>
  <si>
    <t>pH=7.4</t>
  </si>
  <si>
    <t>pH=6.5</t>
  </si>
  <si>
    <t>pH=6</t>
  </si>
  <si>
    <t>AZO-Paclitaxome -2</t>
  </si>
  <si>
    <t>AZE-Paclitaxome -2</t>
  </si>
  <si>
    <t>Control</t>
  </si>
  <si>
    <t>Cy5/Paclitaxome-2 (pH=7.4)</t>
  </si>
  <si>
    <t>Cy5/AZE-Paclitaxome-2 (pH=7.4)</t>
  </si>
  <si>
    <t>Cy5/AZO-Paclitaxome-2 (pH=7.4)</t>
  </si>
  <si>
    <t>Cy5/Paclitaxome-2 (pH=6.5)</t>
  </si>
  <si>
    <t>Cy5/AZE-Paclitaxome-2 (pH=6.5)</t>
  </si>
  <si>
    <t>log C</t>
  </si>
  <si>
    <t>SM-AZE-PTX alone</t>
  </si>
  <si>
    <t>GEM alone</t>
  </si>
  <si>
    <t>GEM/SM-AZE-PTX = 1:1</t>
  </si>
  <si>
    <t>GEM/SM-AZE-PTX = 2:1</t>
  </si>
  <si>
    <t>GEM/SM-AZE-PTX = 2:1 (SM-PTX)</t>
  </si>
  <si>
    <t>GEM/SM-AZE-PTX = 4:1</t>
  </si>
  <si>
    <t>GEM/SM-AZE-PTX = 4:1 (SM-PTX)</t>
  </si>
  <si>
    <t>GEM/SM-AZE-PTX = 8:1</t>
  </si>
  <si>
    <t>GEM/SM-AZE-PTX = 8:1 (SM-PTX)</t>
  </si>
  <si>
    <t>GEM/SM-AZE-PTX = 16:1</t>
  </si>
  <si>
    <t>GEM/SM-AZE-PTX = 16:1 (SM-PTX)</t>
  </si>
  <si>
    <t>GEM/SM-AZE-PTX = 20:1</t>
  </si>
  <si>
    <t>GEM/SM-AZE-PTX = 20:1 (SM-PTX)</t>
  </si>
  <si>
    <t>SM-AZE-PTX</t>
  </si>
  <si>
    <t>GEM</t>
  </si>
  <si>
    <t>SM-AZE-PTX/GEM = 2:1</t>
  </si>
  <si>
    <t>SM-AZE-PTX/GEM = 2:1 (GEM)</t>
  </si>
  <si>
    <t>SM-AZE-PTX/GEM = 4:1</t>
  </si>
  <si>
    <t>SM-AZE-PTX/GEM = 4:1 (GEM)</t>
  </si>
  <si>
    <t>SM-AZE-PTX/GEM = 8:1</t>
  </si>
  <si>
    <t>SM-AZE-PTX/GEM = 8:1 (GEM)</t>
  </si>
  <si>
    <t>SM-AZE-PTX/GEM = 16:1</t>
  </si>
  <si>
    <t>SM-AZE-PTX/GEM = 16:1 (GEM)</t>
  </si>
  <si>
    <t>SM-AZE-PTX/GEM = 20:1</t>
  </si>
  <si>
    <t>SM-AZE-PTX/GEM = 20:1 (GEM)</t>
  </si>
  <si>
    <t>CD47/GEM/AZE-Paclitaxome-2</t>
  </si>
  <si>
    <t>Time (h)</t>
  </si>
  <si>
    <t>CBPt Alone</t>
  </si>
  <si>
    <t>CBPt/SM-AZE-PTX = 1:1</t>
  </si>
  <si>
    <t>CBPt/SM-AZE-PTX = 2:1</t>
  </si>
  <si>
    <t>CBPt/SM-AZE-PTX = 2:1 (SM-PTX)</t>
  </si>
  <si>
    <t>CBPt/SM-AZE-PTX = 4:1</t>
  </si>
  <si>
    <t>CBPt/SM-AZE-PTX = 4:1 (SM-PTX)</t>
  </si>
  <si>
    <t>CBPt/SM-AZE-PTX = 8:1</t>
  </si>
  <si>
    <t>CBPt/SM-AZE-PTX = 8:1 (SM-PTX)</t>
  </si>
  <si>
    <t>CBPt/SM-AZE-PTX = 16:1</t>
  </si>
  <si>
    <t>CBPt/SM-AZE-PTX = 16:1 (SM-PTX)</t>
  </si>
  <si>
    <t>CBPt/SM-AZE-PTX = 20:1</t>
  </si>
  <si>
    <t>CBPt/SM-AZE-PTX = 20:1 (SM-PTX)</t>
  </si>
  <si>
    <t>SM-AZE-PTX/CBPt = 2:1</t>
  </si>
  <si>
    <t>SM-AZE-PTX/CBPt = 2:1 (CBPt)</t>
  </si>
  <si>
    <t>SM-AZE-PTX/CBPt = 4:1</t>
  </si>
  <si>
    <t>SM-AZE-PTX/CBPt = 4:1 (CBPt)</t>
  </si>
  <si>
    <t>SM-AZE-PTX/CBPt = 8:1</t>
  </si>
  <si>
    <t>SM-AZE-PTX/CBPt = 8:1 (CBPt)</t>
  </si>
  <si>
    <t>SM-AZE-PTX/CBPt = 16:1</t>
  </si>
  <si>
    <t>SM-AZE-PTX/CBPt = 16:1 (CBPt)</t>
  </si>
  <si>
    <t>SM-AZE-PTX/CBPt = 20:1</t>
  </si>
  <si>
    <t>SM-AZE-PTX/CBPt = 20:1 (CBPt)</t>
  </si>
  <si>
    <t>CBPt</t>
  </si>
  <si>
    <t>Tumour</t>
  </si>
  <si>
    <t>CD47/CBPt/AZE-Paclitaxome-2</t>
  </si>
  <si>
    <t>CBPt + Abraxane</t>
  </si>
  <si>
    <t>Parameter</t>
  </si>
  <si>
    <t>Unit</t>
  </si>
  <si>
    <t>Value</t>
  </si>
  <si>
    <t>t1/2</t>
  </si>
  <si>
    <t>V</t>
  </si>
  <si>
    <t>(μg)/(μg/ml)</t>
  </si>
  <si>
    <t>CL</t>
  </si>
  <si>
    <t>(μg)/(μg/ml)/h</t>
  </si>
  <si>
    <t>AUC 0-t</t>
  </si>
  <si>
    <t>μg/ml*h</t>
  </si>
  <si>
    <t>AUC 0-inf</t>
  </si>
  <si>
    <t>AUMC</t>
  </si>
  <si>
    <t>μg/ml*h^2</t>
  </si>
  <si>
    <t>MRT</t>
  </si>
  <si>
    <t>Vss</t>
  </si>
  <si>
    <t>μg/(μg/ml)</t>
  </si>
  <si>
    <t>CD47p/GEM/AZEPaclitaxome-2</t>
  </si>
  <si>
    <t>Blank</t>
  </si>
  <si>
    <t>Chlorpromazine</t>
  </si>
  <si>
    <t>Genistein</t>
  </si>
  <si>
    <t>Cytochalasin D</t>
  </si>
  <si>
    <t>NaN3</t>
  </si>
  <si>
    <t>4 degree</t>
  </si>
  <si>
    <t>Positive control</t>
  </si>
  <si>
    <t>Bank</t>
  </si>
  <si>
    <t>No treatment</t>
  </si>
  <si>
    <t>60 mg/kg</t>
  </si>
  <si>
    <t>70 mg/kg</t>
  </si>
  <si>
    <t>80 mg/kg</t>
  </si>
  <si>
    <t>90 mg/kg</t>
  </si>
  <si>
    <t>10.5/60 mg/kg</t>
  </si>
  <si>
    <t>12.3/70 mg/kg</t>
  </si>
  <si>
    <t>14/80 mg/kg</t>
  </si>
  <si>
    <t>15.8/90 mg/kg</t>
  </si>
  <si>
    <t>2.6/15 mg/kg</t>
  </si>
  <si>
    <t>3.5/20 mg/kg</t>
  </si>
  <si>
    <t>4.4/25 mg/kg</t>
  </si>
  <si>
    <t>GEM + Taxol</t>
  </si>
  <si>
    <t>CD47/AZE-Paclitaxome-2</t>
  </si>
  <si>
    <t>ALP</t>
  </si>
  <si>
    <t>ALT</t>
  </si>
  <si>
    <t>Glucose</t>
  </si>
  <si>
    <t>BUN</t>
  </si>
  <si>
    <t>Total Protein</t>
  </si>
  <si>
    <t>Neutrophil count</t>
  </si>
  <si>
    <t>Monocyte count</t>
  </si>
  <si>
    <t>Eosinophil count</t>
  </si>
  <si>
    <t>Basophil count</t>
  </si>
  <si>
    <t>Mean corpuscular hemoglobin</t>
  </si>
  <si>
    <t>Hemoglobin concentration</t>
  </si>
  <si>
    <t>Red cell distribution width</t>
  </si>
  <si>
    <t>Red blood cell</t>
  </si>
  <si>
    <t>Platelet count</t>
  </si>
  <si>
    <t>Mean platelet volume</t>
  </si>
  <si>
    <t>6.5/60 mg/kg</t>
  </si>
  <si>
    <t>7.6/70 mg/kg</t>
  </si>
  <si>
    <t>8.7/80 mg/kg</t>
  </si>
  <si>
    <t>9.8/90 mg/kg</t>
  </si>
  <si>
    <t>CBPt + Taxol</t>
  </si>
  <si>
    <t>1.6/15 mg/kg</t>
  </si>
  <si>
    <t>2.2/20 mg/kg</t>
  </si>
  <si>
    <t>2.7/25 mg/kg</t>
  </si>
  <si>
    <t>SM</t>
  </si>
  <si>
    <t>SM-PTX</t>
  </si>
  <si>
    <t>Chol</t>
  </si>
  <si>
    <r>
      <t>DSPE-PEG</t>
    </r>
    <r>
      <rPr>
        <b/>
        <vertAlign val="subscript"/>
        <sz val="12"/>
        <color rgb="FF000000"/>
        <rFont val="Arial"/>
        <family val="2"/>
      </rPr>
      <t>2K</t>
    </r>
  </si>
  <si>
    <t>PTX DLC</t>
  </si>
  <si>
    <t>DLS size by</t>
  </si>
  <si>
    <t>Zeta potential (mV)</t>
  </si>
  <si>
    <t>PDI</t>
  </si>
  <si>
    <t>(molar %)</t>
  </si>
  <si>
    <t>(%)</t>
  </si>
  <si>
    <t>intensity (d.nm)</t>
  </si>
  <si>
    <t>102.4±7.5</t>
  </si>
  <si>
    <t>-33.1±7.8</t>
  </si>
  <si>
    <t>0.17±0.02</t>
  </si>
  <si>
    <t>99.2±5.3</t>
  </si>
  <si>
    <t>-32.9±2.9</t>
  </si>
  <si>
    <t>0.14±0.03</t>
  </si>
  <si>
    <t>135.3±6.9</t>
  </si>
  <si>
    <t>-30.7±6.3</t>
  </si>
  <si>
    <t>0.10±0.07</t>
  </si>
  <si>
    <t>Paclitaxome-1 (3% Chol)</t>
  </si>
  <si>
    <t>Paclitaxome-1 (6% Chol)</t>
  </si>
  <si>
    <t>Paclitaxome-1 (10% Chol)</t>
  </si>
  <si>
    <t>Paclitaxome-1 (20% Chol)</t>
  </si>
  <si>
    <t>Paclitaxome-1 (30% Chol)</t>
  </si>
  <si>
    <t>Paclitaxome-2 (3% Chol)</t>
  </si>
  <si>
    <t>Paclitaxome-2 (6% Chol)</t>
  </si>
  <si>
    <t>Paclitaxome-2 (10% Chol)</t>
  </si>
  <si>
    <t>Paclitaxome-2 (20% Chol)</t>
  </si>
  <si>
    <t>Paclitaxome-2 (30% Chol)</t>
  </si>
  <si>
    <t>Paclitaxome-3 (3% Chol)</t>
  </si>
  <si>
    <t>Paclitaxome-3 (6% Chol)</t>
  </si>
  <si>
    <t>Paclitaxome-3 (10% Chol)</t>
  </si>
  <si>
    <t>Paclitaxome-3 (20% Chol)</t>
  </si>
  <si>
    <t>Paclitaxome-3 (30% Chol)</t>
  </si>
  <si>
    <t xml:space="preserve">thickness </t>
  </si>
  <si>
    <t xml:space="preserve">average area per lipid </t>
  </si>
  <si>
    <t>RMSD</t>
  </si>
  <si>
    <t>16C tail</t>
  </si>
  <si>
    <t>18C tail</t>
  </si>
  <si>
    <t>C2 tail</t>
  </si>
  <si>
    <t>C3 tail</t>
  </si>
  <si>
    <t>pH = 7.4</t>
  </si>
  <si>
    <t>pH = 5</t>
  </si>
  <si>
    <t>pH = 6.5</t>
  </si>
  <si>
    <t>Esterase enzyme = 10 unites</t>
  </si>
  <si>
    <t>GSH = 10 mM</t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</si>
  <si>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= 10 mM</t>
    </r>
  </si>
  <si>
    <t>20 mg/kg</t>
  </si>
  <si>
    <t>25 mg/kg</t>
  </si>
  <si>
    <t>30 mg/kg</t>
  </si>
  <si>
    <t>40 mg/kg</t>
  </si>
  <si>
    <t>50 mg/kg</t>
  </si>
  <si>
    <t>100 mg/kg</t>
  </si>
  <si>
    <t>120 mg/kg</t>
  </si>
  <si>
    <t>Taxol(20 mg/kg)</t>
  </si>
  <si>
    <t>SM-AZE/Paclitaxome-2</t>
  </si>
  <si>
    <t>CP-PTX</t>
  </si>
  <si>
    <t>PGG-PTX</t>
  </si>
  <si>
    <t>Kidneys</t>
  </si>
  <si>
    <t>PTX/Lipo-Lecithin</t>
  </si>
  <si>
    <t>CPT</t>
  </si>
  <si>
    <t>Onivyde</t>
  </si>
  <si>
    <t>Camptothesome-4</t>
  </si>
  <si>
    <t>AZE-Camptothesome-4</t>
  </si>
  <si>
    <t>CD47p/AZE-Camptothesome-4</t>
  </si>
  <si>
    <t>Free CPT</t>
  </si>
  <si>
    <t>Camptothesome</t>
  </si>
  <si>
    <t>AZE-Camptothesome</t>
  </si>
  <si>
    <t>CD47p/AZE-Camptothesome</t>
  </si>
  <si>
    <t>AZE-Paclitaxome-2+ Exo1</t>
  </si>
  <si>
    <t>AZE-Paclitaxome-2+Nocodazole</t>
  </si>
  <si>
    <t>A</t>
  </si>
  <si>
    <t>B</t>
  </si>
  <si>
    <t>C</t>
  </si>
  <si>
    <t>Cy5/Paclitaxome-2</t>
  </si>
  <si>
    <t>Cy5/AZO-Paclitaxome-2</t>
  </si>
  <si>
    <t>Cy5/AZE-Paclitaxome-2</t>
  </si>
  <si>
    <t>Cy5/CD47p/AZE-Paclitaxome-2</t>
  </si>
  <si>
    <t>Cy5/CD47p/GEM/AZE-Paclitaxome-2</t>
  </si>
  <si>
    <t>GEM/AZE-Paclitaxome-2</t>
  </si>
  <si>
    <t>GEM/SM-Lipo</t>
  </si>
  <si>
    <t>CBPt/CD47p/AZE-Paclitaxome-2</t>
  </si>
  <si>
    <t>CBPT/AZE-Paclitaxome-2</t>
  </si>
  <si>
    <t>CD47/CBPT/AZE-Paclitaxome-2</t>
  </si>
  <si>
    <t>pH=6.0</t>
  </si>
  <si>
    <t>Size</t>
  </si>
  <si>
    <t>Average Size</t>
  </si>
  <si>
    <t>SD</t>
  </si>
  <si>
    <t>Average PDI</t>
  </si>
  <si>
    <t xml:space="preserve">Zeta </t>
  </si>
  <si>
    <t xml:space="preserve">Average </t>
  </si>
  <si>
    <t>PTX/Lipo-HSPC</t>
  </si>
  <si>
    <t>PTX/Lipo-DSPC</t>
  </si>
  <si>
    <t>PTX/Lipo-DOPC</t>
  </si>
  <si>
    <t>PTX/Lipo-SPC</t>
  </si>
  <si>
    <t>Lecithin</t>
  </si>
  <si>
    <t>Average size</t>
  </si>
  <si>
    <t>Average SD</t>
  </si>
  <si>
    <t>Zeta</t>
  </si>
  <si>
    <t>Average Zeta</t>
  </si>
  <si>
    <t>Pacilitaxome-1</t>
  </si>
  <si>
    <t>Cy5/Pacilitaxome-2 (pH 7.4)</t>
  </si>
  <si>
    <t>Cy5/AZO-Pacilitaxome-2 (pH 7.4)</t>
  </si>
  <si>
    <t>Cy5/AZE-Pacilitaxome-2 (pH 7.4)</t>
  </si>
  <si>
    <t>Cy5/Pacilitaxome-2 (pH 6.5)</t>
  </si>
  <si>
    <t>Cy5/AZO-Pacilitaxome-2 (pH 6.5)</t>
  </si>
  <si>
    <t>Cy5/AZE-Pacilitaxome-2 (pH 6.5)</t>
  </si>
  <si>
    <t>i</t>
  </si>
  <si>
    <t>ii</t>
  </si>
  <si>
    <t>iii</t>
  </si>
  <si>
    <t xml:space="preserve">PTX/Lipo-SM </t>
  </si>
  <si>
    <t xml:space="preserve">Paclitaxome-2 </t>
  </si>
  <si>
    <t xml:space="preserve">AZO-Paclitaxome-2 </t>
  </si>
  <si>
    <t xml:space="preserve">AZE-Paclitaxome-2 </t>
  </si>
  <si>
    <r>
      <t>T</t>
    </r>
    <r>
      <rPr>
        <b/>
        <vertAlign val="subscript"/>
        <sz val="11"/>
        <color rgb="FF000000"/>
        <rFont val="Arial"/>
        <family val="2"/>
      </rPr>
      <t>1/2</t>
    </r>
    <r>
      <rPr>
        <b/>
        <sz val="11"/>
        <color rgb="FF000000"/>
        <rFont val="Arial"/>
        <family val="2"/>
      </rPr>
      <t xml:space="preserve"> (h)</t>
    </r>
  </si>
  <si>
    <t>0.51 ± 0.39</t>
  </si>
  <si>
    <t>0.98 ± 0.22</t>
  </si>
  <si>
    <t>0.83 ± 0.04</t>
  </si>
  <si>
    <t>2.22 ± 0.43</t>
  </si>
  <si>
    <t>2.71 ± 0.28</t>
  </si>
  <si>
    <t>2.84 ± 0.56</t>
  </si>
  <si>
    <t>4.73 ± 0.21</t>
  </si>
  <si>
    <t>V ((μg)/(μg/ml))</t>
  </si>
  <si>
    <t>21.09 ± 26.31</t>
  </si>
  <si>
    <t>1.38 ± 0.04</t>
  </si>
  <si>
    <t>1.71 ± 0.14</t>
  </si>
  <si>
    <t>1.11 ± 0.07</t>
  </si>
  <si>
    <t>1.10 ± 0.03</t>
  </si>
  <si>
    <t>1.12 ± 0.00</t>
  </si>
  <si>
    <t>1.05 ± 0.02</t>
  </si>
  <si>
    <t>CL(μg)/(μg/ml)/h)</t>
  </si>
  <si>
    <t>38.74 ± 52.77</t>
  </si>
  <si>
    <t>1.01 ± 0.23</t>
  </si>
  <si>
    <t>1.43 ± 0.16</t>
  </si>
  <si>
    <t>0.35 ± 0.05</t>
  </si>
  <si>
    <t>0.28 ± 0.02</t>
  </si>
  <si>
    <t>0.28 ± 0.06</t>
  </si>
  <si>
    <t>0.15 ± 0.00</t>
  </si>
  <si>
    <r>
      <t>AUC</t>
    </r>
    <r>
      <rPr>
        <b/>
        <vertAlign val="subscript"/>
        <sz val="11"/>
        <color rgb="FF000000"/>
        <rFont val="Arial"/>
        <family val="2"/>
      </rPr>
      <t xml:space="preserve">0-t </t>
    </r>
    <r>
      <rPr>
        <b/>
        <sz val="11"/>
        <color rgb="FF000000"/>
        <rFont val="Arial"/>
        <family val="2"/>
      </rPr>
      <t>(μg/ml*h)</t>
    </r>
  </si>
  <si>
    <t>35.27 ± 29.48</t>
  </si>
  <si>
    <t>1,427.16 ± 301.18</t>
  </si>
  <si>
    <t>565.35 ± 68.35</t>
  </si>
  <si>
    <t>4,015.07 ± 581.25</t>
  </si>
  <si>
    <t>4,929.65 ± 379.15</t>
  </si>
  <si>
    <t>5,111.32 ± 974.04</t>
  </si>
  <si>
    <t>8,786.12 ± 171.38</t>
  </si>
  <si>
    <r>
      <t>AUC</t>
    </r>
    <r>
      <rPr>
        <b/>
        <vertAlign val="subscript"/>
        <sz val="11"/>
        <color rgb="FF000000"/>
        <rFont val="Arial"/>
        <family val="2"/>
      </rPr>
      <t>0-inf</t>
    </r>
    <r>
      <rPr>
        <b/>
        <sz val="11"/>
        <color rgb="FF000000"/>
        <rFont val="Arial"/>
        <family val="2"/>
      </rPr>
      <t xml:space="preserve"> (μg/ml*h)</t>
    </r>
  </si>
  <si>
    <t>4,018.69 ± 584.82</t>
  </si>
  <si>
    <t>4,941.59 ± 387.94</t>
  </si>
  <si>
    <t>5,131.84 ± 990.73</t>
  </si>
  <si>
    <t>9,056.97 ± 218.74</t>
  </si>
  <si>
    <t>AUMC (μg/ml*h^2)</t>
  </si>
  <si>
    <t>33.53 ± 46.07</t>
  </si>
  <si>
    <t>2,085.07 ± 856.80</t>
  </si>
  <si>
    <t>679.54 ± 111.75</t>
  </si>
  <si>
    <t>13,126.54 ± 4,259.87</t>
  </si>
  <si>
    <t>19,390.52 ± 3,594.15</t>
  </si>
  <si>
    <t>21,563.79 ± 7,787.31</t>
  </si>
  <si>
    <t>61,870.17 ± 4,249.61</t>
  </si>
  <si>
    <t>MRT (h)</t>
  </si>
  <si>
    <t>0.73 ± 0.56</t>
  </si>
  <si>
    <t>1.42 ± 0.32</t>
  </si>
  <si>
    <t>1.20 ± 0.06</t>
  </si>
  <si>
    <t>3.21 ± 0.62</t>
  </si>
  <si>
    <t>3.90 ± 0.41</t>
  </si>
  <si>
    <t>4.10 ± 0.80</t>
  </si>
  <si>
    <t>6.83 ± 0.31</t>
  </si>
  <si>
    <r>
      <t>V</t>
    </r>
    <r>
      <rPr>
        <b/>
        <vertAlign val="subscript"/>
        <sz val="11"/>
        <color rgb="FF000000"/>
        <rFont val="Arial"/>
        <family val="2"/>
      </rPr>
      <t>ss</t>
    </r>
    <r>
      <rPr>
        <b/>
        <sz val="11"/>
        <color rgb="FF000000"/>
        <rFont val="Arial"/>
        <family val="2"/>
      </rPr>
      <t xml:space="preserve"> (μg/(μg/ml))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</si>
</sst>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134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bscript"/>
      <sz val="12"/>
      <color rgb="FF000000"/>
      <name val="Arial"/>
      <family val="2"/>
    </font>
    <font>
      <sz val="12"/>
      <color rgb="FF000000"/>
      <name val="Arial"/>
      <family val="2"/>
    </font>
    <font>
      <vertAlign val="subscript"/>
      <sz val="10"/>
      <name val="Arial"/>
      <family val="2"/>
    </font>
    <font>
      <b/>
      <sz val="9"/>
      <color rgb="FF000000"/>
      <name val="Arial-BoldMT"/>
    </font>
    <font>
      <sz val="11"/>
      <name val="Calibri"/>
      <family val="2"/>
      <scheme val="minor"/>
    </font>
    <font>
      <sz val="12"/>
      <name val="Calibri"/>
      <family val="2"/>
      <charset val="134"/>
      <scheme val="minor"/>
    </font>
    <font>
      <sz val="11"/>
      <name val="Arial"/>
      <family val="2"/>
    </font>
    <font>
      <b/>
      <sz val="11"/>
      <color rgb="FF000000"/>
      <name val="Arial"/>
      <family val="2"/>
    </font>
    <font>
      <b/>
      <vertAlign val="subscript"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2" xfId="0" applyFont="1" applyBorder="1"/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9" fillId="0" borderId="4" xfId="0" applyFont="1" applyBorder="1" applyAlignment="1">
      <alignment horizontal="center" vertical="center" wrapText="1" readingOrder="1"/>
    </xf>
    <xf numFmtId="0" fontId="9" fillId="0" borderId="5" xfId="0" applyFont="1" applyBorder="1" applyAlignment="1">
      <alignment horizontal="center" vertical="center" wrapText="1" readingOrder="1"/>
    </xf>
    <xf numFmtId="0" fontId="9" fillId="0" borderId="7" xfId="0" applyFont="1" applyBorder="1" applyAlignment="1">
      <alignment horizontal="center" vertical="center" wrapText="1" readingOrder="1"/>
    </xf>
    <xf numFmtId="0" fontId="9" fillId="0" borderId="8" xfId="0" applyFont="1" applyBorder="1" applyAlignment="1">
      <alignment horizontal="center" vertical="center" wrapText="1" readingOrder="1"/>
    </xf>
    <xf numFmtId="0" fontId="11" fillId="0" borderId="9" xfId="0" applyFont="1" applyBorder="1" applyAlignment="1">
      <alignment horizontal="center" vertical="center" wrapText="1" readingOrder="1"/>
    </xf>
    <xf numFmtId="0" fontId="11" fillId="0" borderId="10" xfId="0" applyFont="1" applyBorder="1" applyAlignment="1">
      <alignment horizontal="center" vertical="center" wrapText="1" readingOrder="1"/>
    </xf>
    <xf numFmtId="164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9" fillId="0" borderId="3" xfId="0" applyFont="1" applyBorder="1" applyAlignment="1">
      <alignment horizontal="center" vertical="center" wrapText="1" readingOrder="1"/>
    </xf>
    <xf numFmtId="0" fontId="9" fillId="0" borderId="11" xfId="0" applyFont="1" applyBorder="1" applyAlignment="1">
      <alignment horizontal="center" vertical="center" wrapText="1" readingOrder="1"/>
    </xf>
    <xf numFmtId="0" fontId="9" fillId="0" borderId="6" xfId="0" applyFont="1" applyBorder="1" applyAlignment="1">
      <alignment horizontal="center" vertical="center" wrapText="1" readingOrder="1"/>
    </xf>
    <xf numFmtId="0" fontId="11" fillId="0" borderId="7" xfId="0" applyFont="1" applyBorder="1" applyAlignment="1">
      <alignment horizontal="center" vertical="center" wrapText="1" readingOrder="1"/>
    </xf>
    <xf numFmtId="164" fontId="11" fillId="0" borderId="9" xfId="0" applyNumberFormat="1" applyFont="1" applyBorder="1" applyAlignment="1">
      <alignment horizontal="center" vertical="center" wrapText="1" readingOrder="1"/>
    </xf>
    <xf numFmtId="165" fontId="11" fillId="0" borderId="9" xfId="0" applyNumberFormat="1" applyFont="1" applyBorder="1" applyAlignment="1">
      <alignment horizontal="center" vertical="center" wrapText="1" readingOrder="1"/>
    </xf>
    <xf numFmtId="0" fontId="1" fillId="0" borderId="0" xfId="0" applyFont="1" applyAlignment="1">
      <alignment horizontal="right"/>
    </xf>
    <xf numFmtId="0" fontId="14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14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 readingOrder="1"/>
    </xf>
    <xf numFmtId="0" fontId="17" fillId="0" borderId="10" xfId="0" applyFont="1" applyBorder="1" applyAlignment="1">
      <alignment horizontal="center" vertical="center" wrapText="1" readingOrder="1"/>
    </xf>
    <xf numFmtId="0" fontId="17" fillId="0" borderId="14" xfId="0" applyFont="1" applyBorder="1" applyAlignment="1">
      <alignment horizontal="left" wrapText="1" readingOrder="1"/>
    </xf>
    <xf numFmtId="0" fontId="19" fillId="0" borderId="9" xfId="0" applyFont="1" applyBorder="1" applyAlignment="1">
      <alignment horizontal="center" vertical="center" wrapText="1" readingOrder="1"/>
    </xf>
    <xf numFmtId="0" fontId="19" fillId="0" borderId="10" xfId="0" applyFont="1" applyBorder="1" applyAlignment="1">
      <alignment horizontal="center" vertical="center" wrapText="1" readingOrder="1"/>
    </xf>
    <xf numFmtId="2" fontId="1" fillId="0" borderId="0" xfId="0" applyNumberFormat="1" applyFont="1"/>
    <xf numFmtId="0" fontId="1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13" fillId="0" borderId="1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2C12-BCAC-4CFD-87EA-0A4D437DF484}">
  <dimension ref="B3:E72"/>
  <sheetViews>
    <sheetView tabSelected="1" workbookViewId="0">
      <selection activeCell="K13" sqref="K13"/>
    </sheetView>
  </sheetViews>
  <sheetFormatPr defaultRowHeight="14.4"/>
  <cols>
    <col min="3" max="3" width="14" customWidth="1"/>
    <col min="4" max="4" width="15.15625" customWidth="1"/>
    <col min="5" max="5" width="16.47265625" customWidth="1"/>
  </cols>
  <sheetData>
    <row r="3" spans="2:5">
      <c r="B3" s="2" t="s">
        <v>50</v>
      </c>
      <c r="C3" s="47" t="s">
        <v>15</v>
      </c>
      <c r="D3" s="47" t="s">
        <v>16</v>
      </c>
      <c r="E3" s="47" t="s">
        <v>17</v>
      </c>
    </row>
    <row r="4" spans="2:5">
      <c r="B4" s="1">
        <v>0.4</v>
      </c>
      <c r="C4" s="1">
        <v>0</v>
      </c>
      <c r="D4" s="1">
        <v>0</v>
      </c>
      <c r="E4" s="1">
        <v>0</v>
      </c>
    </row>
    <row r="5" spans="2:5">
      <c r="B5" s="1">
        <v>0.46300000000000002</v>
      </c>
      <c r="C5" s="1">
        <v>0</v>
      </c>
      <c r="D5" s="1">
        <v>0</v>
      </c>
      <c r="E5" s="1">
        <v>0</v>
      </c>
    </row>
    <row r="6" spans="2:5">
      <c r="B6" s="1">
        <v>0.53600000000000003</v>
      </c>
      <c r="C6" s="1">
        <v>0</v>
      </c>
      <c r="D6" s="1">
        <v>0</v>
      </c>
      <c r="E6" s="1">
        <v>0</v>
      </c>
    </row>
    <row r="7" spans="2:5">
      <c r="B7" s="1">
        <v>0.621</v>
      </c>
      <c r="C7" s="1">
        <v>0</v>
      </c>
      <c r="D7" s="1">
        <v>0</v>
      </c>
      <c r="E7" s="1">
        <v>0</v>
      </c>
    </row>
    <row r="8" spans="2:5">
      <c r="B8" s="1">
        <v>0.71899999999999997</v>
      </c>
      <c r="C8" s="1">
        <v>0</v>
      </c>
      <c r="D8" s="1">
        <v>0</v>
      </c>
      <c r="E8" s="1">
        <v>0</v>
      </c>
    </row>
    <row r="9" spans="2:5">
      <c r="B9" s="1">
        <v>0.83299999999999996</v>
      </c>
      <c r="C9" s="1">
        <v>0</v>
      </c>
      <c r="D9" s="1">
        <v>0</v>
      </c>
      <c r="E9" s="1">
        <v>0</v>
      </c>
    </row>
    <row r="10" spans="2:5">
      <c r="B10" s="1">
        <v>0.96499999999999997</v>
      </c>
      <c r="C10" s="1">
        <v>0</v>
      </c>
      <c r="D10" s="1">
        <v>0</v>
      </c>
      <c r="E10" s="1">
        <v>0</v>
      </c>
    </row>
    <row r="11" spans="2:5">
      <c r="B11" s="1">
        <v>1.1200000000000001</v>
      </c>
      <c r="C11" s="1">
        <v>0</v>
      </c>
      <c r="D11" s="1">
        <v>0</v>
      </c>
      <c r="E11" s="1">
        <v>0</v>
      </c>
    </row>
    <row r="12" spans="2:5">
      <c r="B12" s="1">
        <v>1.29</v>
      </c>
      <c r="C12" s="1">
        <v>0</v>
      </c>
      <c r="D12" s="1">
        <v>0</v>
      </c>
      <c r="E12" s="1">
        <v>0</v>
      </c>
    </row>
    <row r="13" spans="2:5">
      <c r="B13" s="1">
        <v>1.5</v>
      </c>
      <c r="C13" s="1">
        <v>0</v>
      </c>
      <c r="D13" s="1">
        <v>0</v>
      </c>
      <c r="E13" s="1">
        <v>0</v>
      </c>
    </row>
    <row r="14" spans="2:5">
      <c r="B14" s="1">
        <v>1.74</v>
      </c>
      <c r="C14" s="1">
        <v>0</v>
      </c>
      <c r="D14" s="1">
        <v>0</v>
      </c>
      <c r="E14" s="1">
        <v>0</v>
      </c>
    </row>
    <row r="15" spans="2:5">
      <c r="B15" s="1">
        <v>2.0099999999999998</v>
      </c>
      <c r="C15" s="1">
        <v>0</v>
      </c>
      <c r="D15" s="1">
        <v>0</v>
      </c>
      <c r="E15" s="1">
        <v>0</v>
      </c>
    </row>
    <row r="16" spans="2:5">
      <c r="B16" s="1">
        <v>2.33</v>
      </c>
      <c r="C16" s="1">
        <v>0</v>
      </c>
      <c r="D16" s="1">
        <v>0</v>
      </c>
      <c r="E16" s="1">
        <v>0</v>
      </c>
    </row>
    <row r="17" spans="2:5">
      <c r="B17" s="1">
        <v>2.7</v>
      </c>
      <c r="C17" s="1">
        <v>0</v>
      </c>
      <c r="D17" s="1">
        <v>0</v>
      </c>
      <c r="E17" s="1">
        <v>0</v>
      </c>
    </row>
    <row r="18" spans="2:5">
      <c r="B18" s="1">
        <v>3.12</v>
      </c>
      <c r="C18" s="1">
        <v>0</v>
      </c>
      <c r="D18" s="1">
        <v>0</v>
      </c>
      <c r="E18" s="1">
        <v>0</v>
      </c>
    </row>
    <row r="19" spans="2:5">
      <c r="B19" s="1">
        <v>3.62</v>
      </c>
      <c r="C19" s="1">
        <v>0</v>
      </c>
      <c r="D19" s="1">
        <v>0</v>
      </c>
      <c r="E19" s="1">
        <v>0</v>
      </c>
    </row>
    <row r="20" spans="2:5">
      <c r="B20" s="1">
        <v>4.1900000000000004</v>
      </c>
      <c r="C20" s="1">
        <v>0</v>
      </c>
      <c r="D20" s="1">
        <v>0</v>
      </c>
      <c r="E20" s="1">
        <v>0</v>
      </c>
    </row>
    <row r="21" spans="2:5">
      <c r="B21" s="1">
        <v>4.8499999999999996</v>
      </c>
      <c r="C21" s="1">
        <v>0</v>
      </c>
      <c r="D21" s="1">
        <v>0</v>
      </c>
      <c r="E21" s="1">
        <v>0</v>
      </c>
    </row>
    <row r="22" spans="2:5">
      <c r="B22" s="1">
        <v>5.61</v>
      </c>
      <c r="C22" s="1">
        <v>0</v>
      </c>
      <c r="D22" s="1">
        <v>0</v>
      </c>
      <c r="E22" s="1">
        <v>0</v>
      </c>
    </row>
    <row r="23" spans="2:5">
      <c r="B23" s="1">
        <v>6.5</v>
      </c>
      <c r="C23" s="1">
        <v>0</v>
      </c>
      <c r="D23" s="1">
        <v>0</v>
      </c>
      <c r="E23" s="1">
        <v>0</v>
      </c>
    </row>
    <row r="24" spans="2:5">
      <c r="B24" s="1">
        <v>7.53</v>
      </c>
      <c r="C24" s="1">
        <v>0</v>
      </c>
      <c r="D24" s="1">
        <v>0</v>
      </c>
      <c r="E24" s="1">
        <v>0</v>
      </c>
    </row>
    <row r="25" spans="2:5">
      <c r="B25" s="1">
        <v>8.7200000000000006</v>
      </c>
      <c r="C25" s="1">
        <v>0</v>
      </c>
      <c r="D25" s="1">
        <v>0</v>
      </c>
      <c r="E25" s="1">
        <v>0</v>
      </c>
    </row>
    <row r="26" spans="2:5">
      <c r="B26" s="1">
        <v>10.1</v>
      </c>
      <c r="C26" s="1">
        <v>0</v>
      </c>
      <c r="D26" s="1">
        <v>0</v>
      </c>
      <c r="E26" s="1">
        <v>0</v>
      </c>
    </row>
    <row r="27" spans="2:5">
      <c r="B27" s="1">
        <v>11.7</v>
      </c>
      <c r="C27" s="1">
        <v>0</v>
      </c>
      <c r="D27" s="1">
        <v>0</v>
      </c>
      <c r="E27" s="1">
        <v>0</v>
      </c>
    </row>
    <row r="28" spans="2:5">
      <c r="B28" s="1">
        <v>13.5</v>
      </c>
      <c r="C28" s="1">
        <v>0</v>
      </c>
      <c r="D28" s="1">
        <v>0</v>
      </c>
      <c r="E28" s="1">
        <v>0</v>
      </c>
    </row>
    <row r="29" spans="2:5">
      <c r="B29" s="1">
        <v>15.7</v>
      </c>
      <c r="C29" s="1">
        <v>0</v>
      </c>
      <c r="D29" s="1">
        <v>0</v>
      </c>
      <c r="E29" s="1">
        <v>0</v>
      </c>
    </row>
    <row r="30" spans="2:5">
      <c r="B30" s="1">
        <v>18.2</v>
      </c>
      <c r="C30" s="1">
        <v>0</v>
      </c>
      <c r="D30" s="1">
        <v>0</v>
      </c>
      <c r="E30" s="1">
        <v>0</v>
      </c>
    </row>
    <row r="31" spans="2:5">
      <c r="B31" s="1">
        <v>21</v>
      </c>
      <c r="C31" s="1">
        <v>7.6899999999999996E-2</v>
      </c>
      <c r="D31" s="1">
        <v>0</v>
      </c>
      <c r="E31" s="1">
        <v>0</v>
      </c>
    </row>
    <row r="32" spans="2:5">
      <c r="B32" s="1">
        <v>24.4</v>
      </c>
      <c r="C32" s="1">
        <v>0.21299999999999999</v>
      </c>
      <c r="D32" s="1">
        <v>0</v>
      </c>
      <c r="E32" s="1">
        <v>0</v>
      </c>
    </row>
    <row r="33" spans="2:5">
      <c r="B33" s="1">
        <v>28.2</v>
      </c>
      <c r="C33" s="1">
        <v>0.38900000000000001</v>
      </c>
      <c r="D33" s="1">
        <v>0</v>
      </c>
      <c r="E33" s="1">
        <v>0</v>
      </c>
    </row>
    <row r="34" spans="2:5">
      <c r="B34" s="1">
        <v>32.700000000000003</v>
      </c>
      <c r="C34" s="1">
        <v>0.65800000000000003</v>
      </c>
      <c r="D34" s="1">
        <v>0</v>
      </c>
      <c r="E34" s="1">
        <v>0</v>
      </c>
    </row>
    <row r="35" spans="2:5">
      <c r="B35" s="1">
        <v>37.799999999999997</v>
      </c>
      <c r="C35" s="1">
        <v>1.1299999999999999</v>
      </c>
      <c r="D35" s="1">
        <v>0.47699999999999998</v>
      </c>
      <c r="E35" s="1">
        <v>0</v>
      </c>
    </row>
    <row r="36" spans="2:5">
      <c r="B36" s="1">
        <v>43.8</v>
      </c>
      <c r="C36" s="1">
        <v>1.93</v>
      </c>
      <c r="D36" s="1">
        <v>1.67</v>
      </c>
      <c r="E36" s="1">
        <v>0</v>
      </c>
    </row>
    <row r="37" spans="2:5">
      <c r="B37" s="1">
        <v>50.7</v>
      </c>
      <c r="C37" s="1">
        <v>3.13</v>
      </c>
      <c r="D37" s="1">
        <v>3.57</v>
      </c>
      <c r="E37" s="1">
        <v>0</v>
      </c>
    </row>
    <row r="38" spans="2:5">
      <c r="B38" s="1">
        <v>58.8</v>
      </c>
      <c r="C38" s="1">
        <v>4.71</v>
      </c>
      <c r="D38" s="1">
        <v>5.95</v>
      </c>
      <c r="E38" s="1">
        <v>0.35299999999999998</v>
      </c>
    </row>
    <row r="39" spans="2:5">
      <c r="B39" s="1">
        <v>68.099999999999994</v>
      </c>
      <c r="C39" s="1">
        <v>6.53</v>
      </c>
      <c r="D39" s="1">
        <v>8.4600000000000009</v>
      </c>
      <c r="E39" s="1">
        <v>1.75</v>
      </c>
    </row>
    <row r="40" spans="2:5">
      <c r="B40" s="1">
        <v>78.8</v>
      </c>
      <c r="C40" s="1">
        <v>8.3800000000000008</v>
      </c>
      <c r="D40" s="1">
        <v>10.7</v>
      </c>
      <c r="E40" s="1">
        <v>4.26</v>
      </c>
    </row>
    <row r="41" spans="2:5">
      <c r="B41" s="1">
        <v>91.3</v>
      </c>
      <c r="C41" s="1">
        <v>9.98</v>
      </c>
      <c r="D41" s="1">
        <v>12.2</v>
      </c>
      <c r="E41" s="1">
        <v>7.49</v>
      </c>
    </row>
    <row r="42" spans="2:5">
      <c r="B42" s="1">
        <v>106</v>
      </c>
      <c r="C42" s="1">
        <v>11.1</v>
      </c>
      <c r="D42" s="1">
        <v>12.8</v>
      </c>
      <c r="E42" s="1">
        <v>10.8</v>
      </c>
    </row>
    <row r="43" spans="2:5">
      <c r="B43" s="1">
        <v>122</v>
      </c>
      <c r="C43" s="1">
        <v>11.5</v>
      </c>
      <c r="D43" s="1">
        <v>12.4</v>
      </c>
      <c r="E43" s="1">
        <v>13.3</v>
      </c>
    </row>
    <row r="44" spans="2:5">
      <c r="B44" s="1">
        <v>142</v>
      </c>
      <c r="C44" s="1">
        <v>11</v>
      </c>
      <c r="D44" s="1">
        <v>10.9</v>
      </c>
      <c r="E44" s="1">
        <v>14.7</v>
      </c>
    </row>
    <row r="45" spans="2:5">
      <c r="B45" s="1">
        <v>164</v>
      </c>
      <c r="C45" s="1">
        <v>9.8000000000000007</v>
      </c>
      <c r="D45" s="1">
        <v>8.75</v>
      </c>
      <c r="E45" s="1">
        <v>14.4</v>
      </c>
    </row>
    <row r="46" spans="2:5">
      <c r="B46" s="1">
        <v>190</v>
      </c>
      <c r="C46" s="1">
        <v>7.95</v>
      </c>
      <c r="D46" s="1">
        <v>6.2</v>
      </c>
      <c r="E46" s="1">
        <v>12.7</v>
      </c>
    </row>
    <row r="47" spans="2:5">
      <c r="B47" s="1">
        <v>220</v>
      </c>
      <c r="C47" s="1">
        <v>5.75</v>
      </c>
      <c r="D47" s="1">
        <v>3.72</v>
      </c>
      <c r="E47" s="1">
        <v>9.75</v>
      </c>
    </row>
    <row r="48" spans="2:5">
      <c r="B48" s="1">
        <v>255</v>
      </c>
      <c r="C48" s="1">
        <v>3.56</v>
      </c>
      <c r="D48" s="1">
        <v>1.71</v>
      </c>
      <c r="E48" s="1">
        <v>6.36</v>
      </c>
    </row>
    <row r="49" spans="2:5">
      <c r="B49" s="1">
        <v>295</v>
      </c>
      <c r="C49" s="1">
        <v>1.73</v>
      </c>
      <c r="D49" s="1">
        <v>0.45800000000000002</v>
      </c>
      <c r="E49" s="1">
        <v>3.22</v>
      </c>
    </row>
    <row r="50" spans="2:5">
      <c r="B50" s="1">
        <v>342</v>
      </c>
      <c r="C50" s="1">
        <v>0.50900000000000001</v>
      </c>
      <c r="D50" s="1">
        <v>0</v>
      </c>
      <c r="E50" s="1">
        <v>0.98899999999999999</v>
      </c>
    </row>
    <row r="51" spans="2:5">
      <c r="B51" s="1">
        <v>396</v>
      </c>
      <c r="C51" s="1">
        <v>0</v>
      </c>
      <c r="D51" s="1">
        <v>0</v>
      </c>
      <c r="E51" s="1">
        <v>0</v>
      </c>
    </row>
    <row r="52" spans="2:5">
      <c r="B52" s="1">
        <v>459</v>
      </c>
      <c r="C52" s="1">
        <v>0</v>
      </c>
      <c r="D52" s="1">
        <v>0</v>
      </c>
      <c r="E52" s="1">
        <v>0</v>
      </c>
    </row>
    <row r="53" spans="2:5">
      <c r="B53" s="1">
        <v>531</v>
      </c>
      <c r="C53" s="1">
        <v>0</v>
      </c>
      <c r="D53" s="1">
        <v>0</v>
      </c>
      <c r="E53" s="1">
        <v>0</v>
      </c>
    </row>
    <row r="54" spans="2:5">
      <c r="B54" s="1">
        <v>615</v>
      </c>
      <c r="C54" s="1">
        <v>0</v>
      </c>
      <c r="D54" s="1">
        <v>0</v>
      </c>
      <c r="E54" s="1">
        <v>0</v>
      </c>
    </row>
    <row r="55" spans="2:5">
      <c r="B55" s="1">
        <v>712</v>
      </c>
      <c r="C55" s="1">
        <v>0</v>
      </c>
      <c r="D55" s="1">
        <v>0</v>
      </c>
      <c r="E55" s="1">
        <v>0</v>
      </c>
    </row>
    <row r="56" spans="2:5">
      <c r="B56" s="1">
        <v>825</v>
      </c>
      <c r="C56" s="1">
        <v>0</v>
      </c>
      <c r="D56" s="1">
        <v>0</v>
      </c>
      <c r="E56" s="1">
        <v>0</v>
      </c>
    </row>
    <row r="57" spans="2:5">
      <c r="B57" s="1">
        <v>955</v>
      </c>
      <c r="C57" s="1">
        <v>0</v>
      </c>
      <c r="D57" s="1">
        <v>0</v>
      </c>
      <c r="E57" s="1">
        <v>0</v>
      </c>
    </row>
    <row r="58" spans="2:5">
      <c r="B58" s="1">
        <v>1110</v>
      </c>
      <c r="C58" s="1">
        <v>0</v>
      </c>
      <c r="D58" s="1">
        <v>0</v>
      </c>
      <c r="E58" s="1">
        <v>0</v>
      </c>
    </row>
    <row r="59" spans="2:5">
      <c r="B59" s="1">
        <v>1280</v>
      </c>
      <c r="C59" s="1">
        <v>0</v>
      </c>
      <c r="D59" s="1">
        <v>0</v>
      </c>
      <c r="E59" s="1">
        <v>0</v>
      </c>
    </row>
    <row r="60" spans="2:5">
      <c r="B60" s="1">
        <v>1480</v>
      </c>
      <c r="C60" s="1">
        <v>0</v>
      </c>
      <c r="D60" s="1">
        <v>0</v>
      </c>
      <c r="E60" s="1">
        <v>0</v>
      </c>
    </row>
    <row r="61" spans="2:5">
      <c r="B61" s="1">
        <v>1720</v>
      </c>
      <c r="C61" s="1">
        <v>0</v>
      </c>
      <c r="D61" s="1">
        <v>0</v>
      </c>
      <c r="E61" s="1">
        <v>0</v>
      </c>
    </row>
    <row r="62" spans="2:5">
      <c r="B62" s="1">
        <v>1990</v>
      </c>
      <c r="C62" s="1">
        <v>0</v>
      </c>
      <c r="D62" s="1">
        <v>0</v>
      </c>
      <c r="E62" s="1">
        <v>0</v>
      </c>
    </row>
    <row r="63" spans="2:5">
      <c r="B63" s="1">
        <v>2300</v>
      </c>
      <c r="C63" s="1">
        <v>0</v>
      </c>
      <c r="D63" s="1">
        <v>0</v>
      </c>
      <c r="E63" s="1">
        <v>0</v>
      </c>
    </row>
    <row r="64" spans="2:5">
      <c r="B64" s="1">
        <v>2670</v>
      </c>
      <c r="C64" s="1">
        <v>0</v>
      </c>
      <c r="D64" s="1">
        <v>0</v>
      </c>
      <c r="E64" s="1">
        <v>0</v>
      </c>
    </row>
    <row r="65" spans="2:5">
      <c r="B65" s="1">
        <v>3090</v>
      </c>
      <c r="C65" s="1">
        <v>0</v>
      </c>
      <c r="D65" s="1">
        <v>0</v>
      </c>
      <c r="E65" s="1">
        <v>0</v>
      </c>
    </row>
    <row r="66" spans="2:5">
      <c r="B66" s="1">
        <v>3580</v>
      </c>
      <c r="C66" s="1">
        <v>0</v>
      </c>
      <c r="D66" s="1">
        <v>0</v>
      </c>
      <c r="E66" s="1">
        <v>0</v>
      </c>
    </row>
    <row r="67" spans="2:5">
      <c r="B67" s="1">
        <v>4150</v>
      </c>
      <c r="C67" s="1">
        <v>0</v>
      </c>
      <c r="D67" s="1">
        <v>0</v>
      </c>
      <c r="E67" s="1">
        <v>0</v>
      </c>
    </row>
    <row r="68" spans="2:5">
      <c r="B68" s="1">
        <v>4800</v>
      </c>
      <c r="C68" s="1">
        <v>0</v>
      </c>
      <c r="D68" s="1">
        <v>0</v>
      </c>
      <c r="E68" s="1">
        <v>0</v>
      </c>
    </row>
    <row r="69" spans="2:5">
      <c r="B69" s="1">
        <v>5560</v>
      </c>
      <c r="C69" s="1">
        <v>0</v>
      </c>
      <c r="D69" s="1">
        <v>0</v>
      </c>
      <c r="E69" s="1">
        <v>0</v>
      </c>
    </row>
    <row r="70" spans="2:5">
      <c r="B70" s="1">
        <v>6440</v>
      </c>
      <c r="C70" s="1">
        <v>0</v>
      </c>
      <c r="D70" s="1">
        <v>0</v>
      </c>
      <c r="E70" s="1">
        <v>0</v>
      </c>
    </row>
    <row r="71" spans="2:5">
      <c r="B71" s="1">
        <v>7460</v>
      </c>
      <c r="C71" s="1">
        <v>0</v>
      </c>
      <c r="D71" s="1">
        <v>0</v>
      </c>
      <c r="E71" s="1">
        <v>0</v>
      </c>
    </row>
    <row r="72" spans="2:5">
      <c r="B72" s="1">
        <v>8630</v>
      </c>
      <c r="C72" s="1">
        <v>0</v>
      </c>
      <c r="D72" s="1">
        <v>0</v>
      </c>
      <c r="E7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6BA6-459A-4809-8E30-29781B98C5D7}">
  <dimension ref="D3:M11"/>
  <sheetViews>
    <sheetView workbookViewId="0">
      <selection activeCell="K36" sqref="K36"/>
    </sheetView>
  </sheetViews>
  <sheetFormatPr defaultRowHeight="14.4"/>
  <sheetData>
    <row r="3" spans="4:13">
      <c r="D3" s="2"/>
      <c r="E3" s="39" t="s">
        <v>15</v>
      </c>
      <c r="F3" s="39"/>
      <c r="G3" s="39"/>
      <c r="H3" s="39" t="s">
        <v>16</v>
      </c>
      <c r="I3" s="39"/>
      <c r="J3" s="39"/>
      <c r="K3" s="39" t="s">
        <v>17</v>
      </c>
      <c r="L3" s="39"/>
      <c r="M3" s="39"/>
    </row>
    <row r="4" spans="4:13">
      <c r="D4" s="1">
        <v>1</v>
      </c>
      <c r="E4" s="1">
        <v>102.4</v>
      </c>
      <c r="F4" s="1">
        <v>99.2</v>
      </c>
      <c r="G4" s="1">
        <v>105.3</v>
      </c>
      <c r="H4" s="1">
        <v>99.2</v>
      </c>
      <c r="I4" s="1">
        <v>101.7</v>
      </c>
      <c r="J4" s="1">
        <v>97.1</v>
      </c>
      <c r="K4" s="1">
        <v>135.30000000000001</v>
      </c>
      <c r="L4" s="1">
        <v>130.80000000000001</v>
      </c>
      <c r="M4" s="1">
        <v>140.19999999999999</v>
      </c>
    </row>
    <row r="5" spans="4:13">
      <c r="D5" s="1">
        <v>3</v>
      </c>
      <c r="E5" s="1">
        <v>105.6</v>
      </c>
      <c r="F5" s="1">
        <v>100.2</v>
      </c>
      <c r="G5" s="1">
        <v>108.6</v>
      </c>
      <c r="H5" s="1">
        <v>95.6</v>
      </c>
      <c r="I5" s="1">
        <v>99.6</v>
      </c>
      <c r="J5" s="1">
        <v>91.5</v>
      </c>
      <c r="K5" s="1">
        <v>138.4</v>
      </c>
      <c r="L5" s="1">
        <v>134.19999999999999</v>
      </c>
      <c r="M5" s="1">
        <v>141.19999999999999</v>
      </c>
    </row>
    <row r="6" spans="4:13">
      <c r="D6" s="1">
        <v>5</v>
      </c>
      <c r="E6" s="1">
        <v>102.3</v>
      </c>
      <c r="F6" s="1">
        <v>106.8</v>
      </c>
      <c r="G6" s="1">
        <v>94.2</v>
      </c>
      <c r="H6" s="1">
        <v>96.5</v>
      </c>
      <c r="I6" s="1">
        <v>99.58</v>
      </c>
      <c r="J6" s="1">
        <v>93.2</v>
      </c>
      <c r="K6" s="1">
        <v>134.80000000000001</v>
      </c>
      <c r="L6" s="1">
        <v>128.5</v>
      </c>
      <c r="M6" s="1">
        <v>138.4</v>
      </c>
    </row>
    <row r="7" spans="4:13">
      <c r="D7" s="1">
        <v>7</v>
      </c>
      <c r="E7" s="1">
        <v>100.8</v>
      </c>
      <c r="F7" s="1">
        <v>103.6</v>
      </c>
      <c r="G7" s="1">
        <v>97.5</v>
      </c>
      <c r="H7" s="1">
        <v>97.8</v>
      </c>
      <c r="I7" s="1">
        <v>102.2</v>
      </c>
      <c r="J7" s="1">
        <v>92.3</v>
      </c>
      <c r="K7" s="1">
        <v>141.30000000000001</v>
      </c>
      <c r="L7" s="1">
        <v>135.6</v>
      </c>
      <c r="M7" s="1">
        <v>144.19999999999999</v>
      </c>
    </row>
    <row r="8" spans="4:13">
      <c r="D8" s="1">
        <v>9</v>
      </c>
      <c r="E8" s="1">
        <v>107.5</v>
      </c>
      <c r="F8" s="1">
        <v>112.3</v>
      </c>
      <c r="G8" s="1">
        <v>102</v>
      </c>
      <c r="H8" s="1">
        <v>98.7</v>
      </c>
      <c r="I8" s="1">
        <v>103.6</v>
      </c>
      <c r="J8" s="1">
        <v>93.1</v>
      </c>
      <c r="K8" s="1">
        <v>138</v>
      </c>
      <c r="L8" s="1">
        <v>132.4</v>
      </c>
      <c r="M8" s="1">
        <v>142.1</v>
      </c>
    </row>
    <row r="9" spans="4:13">
      <c r="D9" s="1">
        <v>11</v>
      </c>
      <c r="E9" s="1">
        <v>106.4</v>
      </c>
      <c r="F9" s="1">
        <v>109.6</v>
      </c>
      <c r="G9" s="1">
        <v>104.1</v>
      </c>
      <c r="H9" s="1">
        <v>100.26</v>
      </c>
      <c r="I9" s="1">
        <v>104.2</v>
      </c>
      <c r="J9" s="1">
        <v>97.2</v>
      </c>
      <c r="K9" s="1">
        <v>136.80000000000001</v>
      </c>
      <c r="L9" s="1">
        <v>130.1</v>
      </c>
      <c r="M9" s="1">
        <v>142.30000000000001</v>
      </c>
    </row>
    <row r="10" spans="4:13">
      <c r="D10" s="1">
        <v>13</v>
      </c>
      <c r="E10" s="1">
        <v>102.4</v>
      </c>
      <c r="F10" s="1">
        <v>106.4</v>
      </c>
      <c r="G10" s="1">
        <v>98.4</v>
      </c>
      <c r="H10" s="1">
        <v>99.5</v>
      </c>
      <c r="I10" s="1">
        <v>105.54</v>
      </c>
      <c r="J10" s="1">
        <v>94.3</v>
      </c>
      <c r="K10" s="1">
        <v>138</v>
      </c>
      <c r="L10" s="1">
        <v>133.19999999999999</v>
      </c>
      <c r="M10" s="1">
        <v>143.5</v>
      </c>
    </row>
    <row r="11" spans="4:13">
      <c r="D11" s="1">
        <v>15</v>
      </c>
      <c r="E11" s="1">
        <v>104.6</v>
      </c>
      <c r="F11" s="1">
        <v>108.26</v>
      </c>
      <c r="G11" s="1">
        <v>100.2</v>
      </c>
      <c r="H11" s="1">
        <v>98.7</v>
      </c>
      <c r="I11" s="1">
        <v>101.58</v>
      </c>
      <c r="J11" s="1">
        <v>95.2</v>
      </c>
      <c r="K11" s="1">
        <v>138</v>
      </c>
      <c r="L11" s="1">
        <v>132.4</v>
      </c>
      <c r="M11" s="1">
        <v>144.19999999999999</v>
      </c>
    </row>
  </sheetData>
  <mergeCells count="3">
    <mergeCell ref="E3:G3"/>
    <mergeCell ref="H3:J3"/>
    <mergeCell ref="K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552E-2627-454A-A416-71C03F48E3F8}">
  <dimension ref="D5:M13"/>
  <sheetViews>
    <sheetView workbookViewId="0">
      <selection activeCell="E19" sqref="E19"/>
    </sheetView>
  </sheetViews>
  <sheetFormatPr defaultRowHeight="14.4"/>
  <sheetData>
    <row r="5" spans="4:13">
      <c r="D5" s="2"/>
      <c r="E5" s="39" t="s">
        <v>15</v>
      </c>
      <c r="F5" s="39"/>
      <c r="G5" s="39"/>
      <c r="H5" s="39" t="s">
        <v>16</v>
      </c>
      <c r="I5" s="39"/>
      <c r="J5" s="39"/>
      <c r="K5" s="39" t="s">
        <v>17</v>
      </c>
      <c r="L5" s="39"/>
      <c r="M5" s="39"/>
    </row>
    <row r="6" spans="4:13">
      <c r="D6" s="1">
        <v>1</v>
      </c>
      <c r="E6" s="1">
        <v>-33.1</v>
      </c>
      <c r="F6" s="1">
        <v>-30.2</v>
      </c>
      <c r="G6" s="1">
        <v>-36.5</v>
      </c>
      <c r="H6" s="1">
        <v>-38.4</v>
      </c>
      <c r="I6" s="1">
        <v>-40.1</v>
      </c>
      <c r="J6" s="1">
        <v>-36.5</v>
      </c>
      <c r="K6" s="1">
        <v>-30.7</v>
      </c>
      <c r="L6" s="1">
        <v>-34.200000000000003</v>
      </c>
      <c r="M6" s="1">
        <v>-26.4</v>
      </c>
    </row>
    <row r="7" spans="4:13">
      <c r="D7" s="1">
        <v>3</v>
      </c>
      <c r="E7" s="1">
        <v>-35.799999999999997</v>
      </c>
      <c r="F7" s="1">
        <v>-31.5</v>
      </c>
      <c r="G7" s="1">
        <v>-39.799999999999997</v>
      </c>
      <c r="H7" s="1">
        <v>-36.89</v>
      </c>
      <c r="I7" s="1">
        <v>-41.2</v>
      </c>
      <c r="J7" s="1">
        <v>-31.2</v>
      </c>
      <c r="K7" s="1">
        <v>-31.2</v>
      </c>
      <c r="L7" s="1">
        <v>-33.799999999999997</v>
      </c>
      <c r="M7" s="1">
        <v>-28.5</v>
      </c>
    </row>
    <row r="8" spans="4:13">
      <c r="D8" s="1">
        <v>5</v>
      </c>
      <c r="E8" s="1">
        <v>-32.1</v>
      </c>
      <c r="F8" s="1">
        <v>-30.1</v>
      </c>
      <c r="G8" s="1">
        <v>-34.799999999999997</v>
      </c>
      <c r="H8" s="1">
        <v>-36.700000000000003</v>
      </c>
      <c r="I8" s="1">
        <v>-40.200000000000003</v>
      </c>
      <c r="J8" s="1">
        <v>-31.4</v>
      </c>
      <c r="K8" s="1">
        <v>-29.4</v>
      </c>
      <c r="L8" s="1">
        <v>-32.1</v>
      </c>
      <c r="M8" s="1">
        <v>-27.1</v>
      </c>
    </row>
    <row r="9" spans="4:13">
      <c r="D9" s="1">
        <v>7</v>
      </c>
      <c r="E9" s="1">
        <v>-30.2</v>
      </c>
      <c r="F9" s="1">
        <v>-34.700000000000003</v>
      </c>
      <c r="G9" s="1">
        <v>-26.8</v>
      </c>
      <c r="H9" s="1">
        <v>-37.450000000000003</v>
      </c>
      <c r="I9" s="1">
        <v>-39.5</v>
      </c>
      <c r="J9" s="1">
        <v>-30.1</v>
      </c>
      <c r="K9" s="1">
        <v>-30.8</v>
      </c>
      <c r="L9" s="1">
        <v>-35.9</v>
      </c>
      <c r="M9" s="1">
        <v>-26.4</v>
      </c>
    </row>
    <row r="10" spans="4:13">
      <c r="D10" s="1">
        <v>9</v>
      </c>
      <c r="E10" s="1">
        <v>-33.200000000000003</v>
      </c>
      <c r="F10" s="1">
        <v>-38.6</v>
      </c>
      <c r="G10" s="1">
        <v>-28.4</v>
      </c>
      <c r="H10" s="1">
        <v>-35.6</v>
      </c>
      <c r="I10" s="1">
        <v>-38.4</v>
      </c>
      <c r="J10" s="1">
        <v>-29.4</v>
      </c>
      <c r="K10" s="1">
        <v>-33.200000000000003</v>
      </c>
      <c r="L10" s="1">
        <v>-37.5</v>
      </c>
      <c r="M10" s="1">
        <v>-27.6</v>
      </c>
    </row>
    <row r="11" spans="4:13">
      <c r="D11" s="1">
        <v>11</v>
      </c>
      <c r="E11" s="1">
        <v>-31.2</v>
      </c>
      <c r="F11" s="1">
        <v>-37.6</v>
      </c>
      <c r="G11" s="1">
        <v>-26.4</v>
      </c>
      <c r="H11" s="1">
        <v>-37.4</v>
      </c>
      <c r="I11" s="1">
        <v>-38.9</v>
      </c>
      <c r="J11" s="1">
        <v>-30.2</v>
      </c>
      <c r="K11" s="1">
        <v>-31.7</v>
      </c>
      <c r="L11" s="1">
        <v>-36.200000000000003</v>
      </c>
      <c r="M11" s="1">
        <v>-26.2</v>
      </c>
    </row>
    <row r="12" spans="4:13">
      <c r="D12" s="1">
        <v>13</v>
      </c>
      <c r="E12" s="1">
        <v>-30.2</v>
      </c>
      <c r="F12" s="1">
        <v>-34.5</v>
      </c>
      <c r="G12" s="1">
        <v>-26.4</v>
      </c>
      <c r="H12" s="1">
        <v>-36.799999999999997</v>
      </c>
      <c r="I12" s="1">
        <v>-37.1</v>
      </c>
      <c r="J12" s="1">
        <v>-28.7</v>
      </c>
      <c r="K12" s="1">
        <v>-32.5</v>
      </c>
      <c r="L12" s="1">
        <v>-37.9</v>
      </c>
      <c r="M12" s="1">
        <v>-27.8</v>
      </c>
    </row>
    <row r="13" spans="4:13">
      <c r="D13" s="1">
        <v>15</v>
      </c>
      <c r="E13" s="1">
        <v>-33.5</v>
      </c>
      <c r="F13" s="1">
        <v>-36.6</v>
      </c>
      <c r="G13" s="1">
        <v>-30.1</v>
      </c>
      <c r="H13" s="1">
        <v>-37.4</v>
      </c>
      <c r="I13" s="1">
        <v>-40.200000000000003</v>
      </c>
      <c r="J13" s="1">
        <v>-32.4</v>
      </c>
      <c r="K13" s="1">
        <v>-30.2</v>
      </c>
      <c r="L13" s="1">
        <v>-35.4</v>
      </c>
      <c r="M13" s="1">
        <v>-28.2</v>
      </c>
    </row>
  </sheetData>
  <mergeCells count="3">
    <mergeCell ref="E5:G5"/>
    <mergeCell ref="H5:J5"/>
    <mergeCell ref="K5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0E73B-85F6-497F-9CF4-6E8EC66166FC}">
  <dimension ref="D4:E2005"/>
  <sheetViews>
    <sheetView workbookViewId="0">
      <selection activeCell="I7" sqref="I7"/>
    </sheetView>
  </sheetViews>
  <sheetFormatPr defaultRowHeight="14.4"/>
  <sheetData>
    <row r="4" spans="4:5">
      <c r="D4" s="2"/>
      <c r="E4" s="2" t="s">
        <v>213</v>
      </c>
    </row>
    <row r="5" spans="4:5">
      <c r="D5" s="1">
        <v>0</v>
      </c>
      <c r="E5" s="1">
        <v>3.0632600000000001</v>
      </c>
    </row>
    <row r="6" spans="4:5">
      <c r="D6" s="1">
        <v>10</v>
      </c>
      <c r="E6" s="1">
        <v>3.0632600000000001</v>
      </c>
    </row>
    <row r="7" spans="4:5">
      <c r="D7" s="1">
        <v>20</v>
      </c>
      <c r="E7" s="1">
        <v>3.6150500000000001</v>
      </c>
    </row>
    <row r="8" spans="4:5">
      <c r="D8" s="1">
        <v>30</v>
      </c>
      <c r="E8" s="1">
        <v>3.6150500000000001</v>
      </c>
    </row>
    <row r="9" spans="4:5">
      <c r="D9" s="1">
        <v>40</v>
      </c>
      <c r="E9" s="1">
        <v>3.9855200000000002</v>
      </c>
    </row>
    <row r="10" spans="4:5">
      <c r="D10" s="1">
        <v>50</v>
      </c>
      <c r="E10" s="1">
        <v>3.9855200000000002</v>
      </c>
    </row>
    <row r="11" spans="4:5">
      <c r="D11" s="1">
        <v>60</v>
      </c>
      <c r="E11" s="1">
        <v>4.1671899999999997</v>
      </c>
    </row>
    <row r="12" spans="4:5">
      <c r="D12" s="1">
        <v>70</v>
      </c>
      <c r="E12" s="1">
        <v>4.1671899999999997</v>
      </c>
    </row>
    <row r="13" spans="4:5">
      <c r="D13" s="1">
        <v>80</v>
      </c>
      <c r="E13" s="1">
        <v>3.9277299999999999</v>
      </c>
    </row>
    <row r="14" spans="4:5">
      <c r="D14" s="1">
        <v>90</v>
      </c>
      <c r="E14" s="1">
        <v>3.9277299999999999</v>
      </c>
    </row>
    <row r="15" spans="4:5">
      <c r="D15" s="1">
        <v>100</v>
      </c>
      <c r="E15" s="1">
        <v>3.6823700000000001</v>
      </c>
    </row>
    <row r="16" spans="4:5">
      <c r="D16" s="1">
        <v>110</v>
      </c>
      <c r="E16" s="1">
        <v>3.6823700000000001</v>
      </c>
    </row>
    <row r="17" spans="4:5">
      <c r="D17" s="1">
        <v>120</v>
      </c>
      <c r="E17" s="1">
        <v>4.3457100000000004</v>
      </c>
    </row>
    <row r="18" spans="4:5">
      <c r="D18" s="1">
        <v>130</v>
      </c>
      <c r="E18" s="1">
        <v>4.3457100000000004</v>
      </c>
    </row>
    <row r="19" spans="4:5">
      <c r="D19" s="1">
        <v>140</v>
      </c>
      <c r="E19" s="1">
        <v>4.0283100000000003</v>
      </c>
    </row>
    <row r="20" spans="4:5">
      <c r="D20" s="1">
        <v>150</v>
      </c>
      <c r="E20" s="1">
        <v>4.0283100000000003</v>
      </c>
    </row>
    <row r="21" spans="4:5">
      <c r="D21" s="1">
        <v>160</v>
      </c>
      <c r="E21" s="1">
        <v>3.9892400000000001</v>
      </c>
    </row>
    <row r="22" spans="4:5">
      <c r="D22" s="1">
        <v>170</v>
      </c>
      <c r="E22" s="1">
        <v>3.9892400000000001</v>
      </c>
    </row>
    <row r="23" spans="4:5">
      <c r="D23" s="1">
        <v>180</v>
      </c>
      <c r="E23" s="1">
        <v>4.13734</v>
      </c>
    </row>
    <row r="24" spans="4:5">
      <c r="D24" s="1">
        <v>190</v>
      </c>
      <c r="E24" s="1">
        <v>4.13734</v>
      </c>
    </row>
    <row r="25" spans="4:5">
      <c r="D25" s="1">
        <v>200</v>
      </c>
      <c r="E25" s="1">
        <v>3.4662099999999998</v>
      </c>
    </row>
    <row r="26" spans="4:5">
      <c r="D26" s="1">
        <v>210</v>
      </c>
      <c r="E26" s="1">
        <v>3.4662099999999998</v>
      </c>
    </row>
    <row r="27" spans="4:5">
      <c r="D27" s="1">
        <v>220</v>
      </c>
      <c r="E27" s="1">
        <v>3.3306900000000002</v>
      </c>
    </row>
    <row r="28" spans="4:5">
      <c r="D28" s="1">
        <v>230</v>
      </c>
      <c r="E28" s="1">
        <v>3.3306900000000002</v>
      </c>
    </row>
    <row r="29" spans="4:5">
      <c r="D29" s="1">
        <v>240</v>
      </c>
      <c r="E29" s="1">
        <v>3.7224499999999998</v>
      </c>
    </row>
    <row r="30" spans="4:5">
      <c r="D30" s="1">
        <v>250</v>
      </c>
      <c r="E30" s="1">
        <v>3.7224499999999998</v>
      </c>
    </row>
    <row r="31" spans="4:5">
      <c r="D31" s="1">
        <v>260</v>
      </c>
      <c r="E31" s="1">
        <v>3.4472100000000001</v>
      </c>
    </row>
    <row r="32" spans="4:5">
      <c r="D32" s="1">
        <v>270</v>
      </c>
      <c r="E32" s="1">
        <v>3.4472100000000001</v>
      </c>
    </row>
    <row r="33" spans="4:5">
      <c r="D33" s="1">
        <v>280</v>
      </c>
      <c r="E33" s="1">
        <v>3.1454399999999998</v>
      </c>
    </row>
    <row r="34" spans="4:5">
      <c r="D34" s="1">
        <v>290</v>
      </c>
      <c r="E34" s="1">
        <v>3.1454399999999998</v>
      </c>
    </row>
    <row r="35" spans="4:5">
      <c r="D35" s="1">
        <v>300</v>
      </c>
      <c r="E35" s="1">
        <v>3.4806699999999999</v>
      </c>
    </row>
    <row r="36" spans="4:5">
      <c r="D36" s="1">
        <v>310</v>
      </c>
      <c r="E36" s="1">
        <v>3.4806699999999999</v>
      </c>
    </row>
    <row r="37" spans="4:5">
      <c r="D37" s="1">
        <v>320</v>
      </c>
      <c r="E37" s="1">
        <v>4.2209199999999996</v>
      </c>
    </row>
    <row r="38" spans="4:5">
      <c r="D38" s="1">
        <v>330</v>
      </c>
      <c r="E38" s="1">
        <v>4.2209199999999996</v>
      </c>
    </row>
    <row r="39" spans="4:5">
      <c r="D39" s="1">
        <v>340</v>
      </c>
      <c r="E39" s="1">
        <v>3.9159299999999999</v>
      </c>
    </row>
    <row r="40" spans="4:5">
      <c r="D40" s="1">
        <v>350</v>
      </c>
      <c r="E40" s="1">
        <v>3.9159299999999999</v>
      </c>
    </row>
    <row r="41" spans="4:5">
      <c r="D41" s="1">
        <v>360</v>
      </c>
      <c r="E41" s="1">
        <v>4.1996200000000004</v>
      </c>
    </row>
    <row r="42" spans="4:5">
      <c r="D42" s="1">
        <v>370</v>
      </c>
      <c r="E42" s="1">
        <v>4.1996200000000004</v>
      </c>
    </row>
    <row r="43" spans="4:5">
      <c r="D43" s="1">
        <v>380</v>
      </c>
      <c r="E43" s="1">
        <v>3.9304000000000001</v>
      </c>
    </row>
    <row r="44" spans="4:5">
      <c r="D44" s="1">
        <v>390</v>
      </c>
      <c r="E44" s="1">
        <v>3.9304000000000001</v>
      </c>
    </row>
    <row r="45" spans="4:5">
      <c r="D45" s="1">
        <v>400</v>
      </c>
      <c r="E45" s="1">
        <v>3.4059300000000001</v>
      </c>
    </row>
    <row r="46" spans="4:5">
      <c r="D46" s="1">
        <v>410</v>
      </c>
      <c r="E46" s="1">
        <v>3.4059300000000001</v>
      </c>
    </row>
    <row r="47" spans="4:5">
      <c r="D47" s="1">
        <v>420</v>
      </c>
      <c r="E47" s="1">
        <v>3.6190500000000001</v>
      </c>
    </row>
    <row r="48" spans="4:5">
      <c r="D48" s="1">
        <v>430</v>
      </c>
      <c r="E48" s="1">
        <v>3.6190500000000001</v>
      </c>
    </row>
    <row r="49" spans="4:5">
      <c r="D49" s="1">
        <v>440</v>
      </c>
      <c r="E49" s="1">
        <v>3.6644899999999998</v>
      </c>
    </row>
    <row r="50" spans="4:5">
      <c r="D50" s="1">
        <v>450</v>
      </c>
      <c r="E50" s="1">
        <v>3.6644899999999998</v>
      </c>
    </row>
    <row r="51" spans="4:5">
      <c r="D51" s="1">
        <v>460</v>
      </c>
      <c r="E51" s="1">
        <v>3.3180900000000002</v>
      </c>
    </row>
    <row r="52" spans="4:5">
      <c r="D52" s="1">
        <v>470</v>
      </c>
      <c r="E52" s="1">
        <v>3.3180900000000002</v>
      </c>
    </row>
    <row r="53" spans="4:5">
      <c r="D53" s="1">
        <v>480</v>
      </c>
      <c r="E53" s="1">
        <v>3.7041499999999998</v>
      </c>
    </row>
    <row r="54" spans="4:5">
      <c r="D54" s="1">
        <v>490</v>
      </c>
      <c r="E54" s="1">
        <v>3.7041499999999998</v>
      </c>
    </row>
    <row r="55" spans="4:5">
      <c r="D55" s="1">
        <v>500</v>
      </c>
      <c r="E55" s="1">
        <v>4.0417899999999998</v>
      </c>
    </row>
    <row r="56" spans="4:5">
      <c r="D56" s="1">
        <v>510</v>
      </c>
      <c r="E56" s="1">
        <v>4.0417899999999998</v>
      </c>
    </row>
    <row r="57" spans="4:5">
      <c r="D57" s="1">
        <v>520</v>
      </c>
      <c r="E57" s="1">
        <v>4.0683999999999996</v>
      </c>
    </row>
    <row r="58" spans="4:5">
      <c r="D58" s="1">
        <v>530</v>
      </c>
      <c r="E58" s="1">
        <v>4.0683999999999996</v>
      </c>
    </row>
    <row r="59" spans="4:5">
      <c r="D59" s="1">
        <v>540</v>
      </c>
      <c r="E59" s="1">
        <v>4.2216899999999997</v>
      </c>
    </row>
    <row r="60" spans="4:5">
      <c r="D60" s="1">
        <v>550</v>
      </c>
      <c r="E60" s="1">
        <v>4.2216899999999997</v>
      </c>
    </row>
    <row r="61" spans="4:5">
      <c r="D61" s="1">
        <v>560</v>
      </c>
      <c r="E61" s="1">
        <v>3.7678600000000002</v>
      </c>
    </row>
    <row r="62" spans="4:5">
      <c r="D62" s="1">
        <v>570</v>
      </c>
      <c r="E62" s="1">
        <v>3.7678600000000002</v>
      </c>
    </row>
    <row r="63" spans="4:5">
      <c r="D63" s="1">
        <v>580</v>
      </c>
      <c r="E63" s="1">
        <v>3.3921199999999998</v>
      </c>
    </row>
    <row r="64" spans="4:5">
      <c r="D64" s="1">
        <v>590</v>
      </c>
      <c r="E64" s="1">
        <v>3.3921199999999998</v>
      </c>
    </row>
    <row r="65" spans="4:5">
      <c r="D65" s="1">
        <v>600</v>
      </c>
      <c r="E65" s="1">
        <v>3.3263699999999998</v>
      </c>
    </row>
    <row r="66" spans="4:5">
      <c r="D66" s="1">
        <v>610</v>
      </c>
      <c r="E66" s="1">
        <v>3.3263699999999998</v>
      </c>
    </row>
    <row r="67" spans="4:5">
      <c r="D67" s="1">
        <v>620</v>
      </c>
      <c r="E67" s="1">
        <v>4.11266</v>
      </c>
    </row>
    <row r="68" spans="4:5">
      <c r="D68" s="1">
        <v>630</v>
      </c>
      <c r="E68" s="1">
        <v>4.11266</v>
      </c>
    </row>
    <row r="69" spans="4:5">
      <c r="D69" s="1">
        <v>640</v>
      </c>
      <c r="E69" s="1">
        <v>3.3466499999999999</v>
      </c>
    </row>
    <row r="70" spans="4:5">
      <c r="D70" s="1">
        <v>650</v>
      </c>
      <c r="E70" s="1">
        <v>3.3466499999999999</v>
      </c>
    </row>
    <row r="71" spans="4:5">
      <c r="D71" s="1">
        <v>660</v>
      </c>
      <c r="E71" s="1">
        <v>3.3927399999999999</v>
      </c>
    </row>
    <row r="72" spans="4:5">
      <c r="D72" s="1">
        <v>670</v>
      </c>
      <c r="E72" s="1">
        <v>3.3927399999999999</v>
      </c>
    </row>
    <row r="73" spans="4:5">
      <c r="D73" s="1">
        <v>680</v>
      </c>
      <c r="E73" s="1">
        <v>4.2272600000000002</v>
      </c>
    </row>
    <row r="74" spans="4:5">
      <c r="D74" s="1">
        <v>690</v>
      </c>
      <c r="E74" s="1">
        <v>4.2272600000000002</v>
      </c>
    </row>
    <row r="75" spans="4:5">
      <c r="D75" s="1">
        <v>700</v>
      </c>
      <c r="E75" s="1">
        <v>3.4868199999999998</v>
      </c>
    </row>
    <row r="76" spans="4:5">
      <c r="D76" s="1">
        <v>710</v>
      </c>
      <c r="E76" s="1">
        <v>3.4868199999999998</v>
      </c>
    </row>
    <row r="77" spans="4:5">
      <c r="D77" s="1">
        <v>720</v>
      </c>
      <c r="E77" s="1">
        <v>4.1138300000000001</v>
      </c>
    </row>
    <row r="78" spans="4:5">
      <c r="D78" s="1">
        <v>730</v>
      </c>
      <c r="E78" s="1">
        <v>4.1138300000000001</v>
      </c>
    </row>
    <row r="79" spans="4:5">
      <c r="D79" s="1">
        <v>740</v>
      </c>
      <c r="E79" s="1">
        <v>3.5545200000000001</v>
      </c>
    </row>
    <row r="80" spans="4:5">
      <c r="D80" s="1">
        <v>750</v>
      </c>
      <c r="E80" s="1">
        <v>3.5545200000000001</v>
      </c>
    </row>
    <row r="81" spans="4:5">
      <c r="D81" s="1">
        <v>760</v>
      </c>
      <c r="E81" s="1">
        <v>4.0878899999999998</v>
      </c>
    </row>
    <row r="82" spans="4:5">
      <c r="D82" s="1">
        <v>770</v>
      </c>
      <c r="E82" s="1">
        <v>4.0878899999999998</v>
      </c>
    </row>
    <row r="83" spans="4:5">
      <c r="D83" s="1">
        <v>780</v>
      </c>
      <c r="E83" s="1">
        <v>3.4479099999999998</v>
      </c>
    </row>
    <row r="84" spans="4:5">
      <c r="D84" s="1">
        <v>790</v>
      </c>
      <c r="E84" s="1">
        <v>3.4479099999999998</v>
      </c>
    </row>
    <row r="85" spans="4:5">
      <c r="D85" s="1">
        <v>800</v>
      </c>
      <c r="E85" s="1">
        <v>3.7197900000000002</v>
      </c>
    </row>
    <row r="86" spans="4:5">
      <c r="D86" s="1">
        <v>810</v>
      </c>
      <c r="E86" s="1">
        <v>3.7197900000000002</v>
      </c>
    </row>
    <row r="87" spans="4:5">
      <c r="D87" s="1">
        <v>820</v>
      </c>
      <c r="E87" s="1">
        <v>3.9700899999999999</v>
      </c>
    </row>
    <row r="88" spans="4:5">
      <c r="D88" s="1">
        <v>830</v>
      </c>
      <c r="E88" s="1">
        <v>3.9700899999999999</v>
      </c>
    </row>
    <row r="89" spans="4:5">
      <c r="D89" s="1">
        <v>840</v>
      </c>
      <c r="E89" s="1">
        <v>3.6515300000000002</v>
      </c>
    </row>
    <row r="90" spans="4:5">
      <c r="D90" s="1">
        <v>850</v>
      </c>
      <c r="E90" s="1">
        <v>3.6515300000000002</v>
      </c>
    </row>
    <row r="91" spans="4:5">
      <c r="D91" s="1">
        <v>860</v>
      </c>
      <c r="E91" s="1">
        <v>3.6022699999999999</v>
      </c>
    </row>
    <row r="92" spans="4:5">
      <c r="D92" s="1">
        <v>870</v>
      </c>
      <c r="E92" s="1">
        <v>3.6022699999999999</v>
      </c>
    </row>
    <row r="93" spans="4:5">
      <c r="D93" s="1">
        <v>880</v>
      </c>
      <c r="E93" s="1">
        <v>3.40158</v>
      </c>
    </row>
    <row r="94" spans="4:5">
      <c r="D94" s="1">
        <v>890</v>
      </c>
      <c r="E94" s="1">
        <v>3.40158</v>
      </c>
    </row>
    <row r="95" spans="4:5">
      <c r="D95" s="1">
        <v>900</v>
      </c>
      <c r="E95" s="1">
        <v>3.4300899999999999</v>
      </c>
    </row>
    <row r="96" spans="4:5">
      <c r="D96" s="1">
        <v>910</v>
      </c>
      <c r="E96" s="1">
        <v>3.4300899999999999</v>
      </c>
    </row>
    <row r="97" spans="4:5">
      <c r="D97" s="1">
        <v>920</v>
      </c>
      <c r="E97" s="1">
        <v>4.0301299999999998</v>
      </c>
    </row>
    <row r="98" spans="4:5">
      <c r="D98" s="1">
        <v>930</v>
      </c>
      <c r="E98" s="1">
        <v>4.0301299999999998</v>
      </c>
    </row>
    <row r="99" spans="4:5">
      <c r="D99" s="1">
        <v>940</v>
      </c>
      <c r="E99" s="1">
        <v>4.2048199999999998</v>
      </c>
    </row>
    <row r="100" spans="4:5">
      <c r="D100" s="1">
        <v>950</v>
      </c>
      <c r="E100" s="1">
        <v>4.2048199999999998</v>
      </c>
    </row>
    <row r="101" spans="4:5">
      <c r="D101" s="1">
        <v>960</v>
      </c>
      <c r="E101" s="1">
        <v>3.7432300000000001</v>
      </c>
    </row>
    <row r="102" spans="4:5">
      <c r="D102" s="1">
        <v>970</v>
      </c>
      <c r="E102" s="1">
        <v>3.7432300000000001</v>
      </c>
    </row>
    <row r="103" spans="4:5">
      <c r="D103" s="1">
        <v>980</v>
      </c>
      <c r="E103" s="1">
        <v>3.1607400000000001</v>
      </c>
    </row>
    <row r="104" spans="4:5">
      <c r="D104" s="1">
        <v>990</v>
      </c>
      <c r="E104" s="1">
        <v>3.1607400000000001</v>
      </c>
    </row>
    <row r="105" spans="4:5">
      <c r="D105" s="1">
        <v>1000</v>
      </c>
      <c r="E105" s="1">
        <v>3.3775599999999999</v>
      </c>
    </row>
    <row r="106" spans="4:5">
      <c r="D106" s="1">
        <v>1010</v>
      </c>
      <c r="E106" s="1">
        <v>3.3775599999999999</v>
      </c>
    </row>
    <row r="107" spans="4:5">
      <c r="D107" s="1">
        <v>1020</v>
      </c>
      <c r="E107" s="1">
        <v>3.8293400000000002</v>
      </c>
    </row>
    <row r="108" spans="4:5">
      <c r="D108" s="1">
        <v>1030</v>
      </c>
      <c r="E108" s="1">
        <v>3.8293400000000002</v>
      </c>
    </row>
    <row r="109" spans="4:5">
      <c r="D109" s="1">
        <v>1040</v>
      </c>
      <c r="E109" s="1">
        <v>3.7145600000000001</v>
      </c>
    </row>
    <row r="110" spans="4:5">
      <c r="D110" s="1">
        <v>1050</v>
      </c>
      <c r="E110" s="1">
        <v>3.7145600000000001</v>
      </c>
    </row>
    <row r="111" spans="4:5">
      <c r="D111" s="1">
        <v>1060</v>
      </c>
      <c r="E111" s="1">
        <v>3.3799299999999999</v>
      </c>
    </row>
    <row r="112" spans="4:5">
      <c r="D112" s="1">
        <v>1070</v>
      </c>
      <c r="E112" s="1">
        <v>3.3799299999999999</v>
      </c>
    </row>
    <row r="113" spans="4:5">
      <c r="D113" s="1">
        <v>1080</v>
      </c>
      <c r="E113" s="1">
        <v>3.7157100000000001</v>
      </c>
    </row>
    <row r="114" spans="4:5">
      <c r="D114" s="1">
        <v>1090</v>
      </c>
      <c r="E114" s="1">
        <v>3.7157100000000001</v>
      </c>
    </row>
    <row r="115" spans="4:5">
      <c r="D115" s="1">
        <v>1100</v>
      </c>
      <c r="E115" s="1">
        <v>3.5994000000000002</v>
      </c>
    </row>
    <row r="116" spans="4:5">
      <c r="D116" s="1">
        <v>1110</v>
      </c>
      <c r="E116" s="1">
        <v>3.5994000000000002</v>
      </c>
    </row>
    <row r="117" spans="4:5">
      <c r="D117" s="1">
        <v>1120</v>
      </c>
      <c r="E117" s="1">
        <v>3.9321899999999999</v>
      </c>
    </row>
    <row r="118" spans="4:5">
      <c r="D118" s="1">
        <v>1130</v>
      </c>
      <c r="E118" s="1">
        <v>3.9321899999999999</v>
      </c>
    </row>
    <row r="119" spans="4:5">
      <c r="D119" s="1">
        <v>1140</v>
      </c>
      <c r="E119" s="1">
        <v>4.0784700000000003</v>
      </c>
    </row>
    <row r="120" spans="4:5">
      <c r="D120" s="1">
        <v>1150</v>
      </c>
      <c r="E120" s="1">
        <v>4.0784700000000003</v>
      </c>
    </row>
    <row r="121" spans="4:5">
      <c r="D121" s="1">
        <v>1160</v>
      </c>
      <c r="E121" s="1">
        <v>4.1751100000000001</v>
      </c>
    </row>
    <row r="122" spans="4:5">
      <c r="D122" s="1">
        <v>1170</v>
      </c>
      <c r="E122" s="1">
        <v>4.1751100000000001</v>
      </c>
    </row>
    <row r="123" spans="4:5">
      <c r="D123" s="1">
        <v>1180</v>
      </c>
      <c r="E123" s="1">
        <v>3.3031799999999998</v>
      </c>
    </row>
    <row r="124" spans="4:5">
      <c r="D124" s="1">
        <v>1190</v>
      </c>
      <c r="E124" s="1">
        <v>3.3031799999999998</v>
      </c>
    </row>
    <row r="125" spans="4:5">
      <c r="D125" s="1">
        <v>1200</v>
      </c>
      <c r="E125" s="1">
        <v>3.5345200000000001</v>
      </c>
    </row>
    <row r="126" spans="4:5">
      <c r="D126" s="1">
        <v>1210</v>
      </c>
      <c r="E126" s="1">
        <v>3.5345200000000001</v>
      </c>
    </row>
    <row r="127" spans="4:5">
      <c r="D127" s="1">
        <v>1220</v>
      </c>
      <c r="E127" s="1">
        <v>4.4063800000000004</v>
      </c>
    </row>
    <row r="128" spans="4:5">
      <c r="D128" s="1">
        <v>1230</v>
      </c>
      <c r="E128" s="1">
        <v>4.4063800000000004</v>
      </c>
    </row>
    <row r="129" spans="4:5">
      <c r="D129" s="1">
        <v>1240</v>
      </c>
      <c r="E129" s="1">
        <v>4.2608899999999998</v>
      </c>
    </row>
    <row r="130" spans="4:5">
      <c r="D130" s="1">
        <v>1250</v>
      </c>
      <c r="E130" s="1">
        <v>4.2608899999999998</v>
      </c>
    </row>
    <row r="131" spans="4:5">
      <c r="D131" s="1">
        <v>1260</v>
      </c>
      <c r="E131" s="1">
        <v>3.74464</v>
      </c>
    </row>
    <row r="132" spans="4:5">
      <c r="D132" s="1">
        <v>1270</v>
      </c>
      <c r="E132" s="1">
        <v>3.74464</v>
      </c>
    </row>
    <row r="133" spans="4:5">
      <c r="D133" s="1">
        <v>1280</v>
      </c>
      <c r="E133" s="1">
        <v>3.6571099999999999</v>
      </c>
    </row>
    <row r="134" spans="4:5">
      <c r="D134" s="1">
        <v>1290</v>
      </c>
      <c r="E134" s="1">
        <v>3.6571099999999999</v>
      </c>
    </row>
    <row r="135" spans="4:5">
      <c r="D135" s="1">
        <v>1300</v>
      </c>
      <c r="E135" s="1">
        <v>3.3158099999999999</v>
      </c>
    </row>
    <row r="136" spans="4:5">
      <c r="D136" s="1">
        <v>1310</v>
      </c>
      <c r="E136" s="1">
        <v>3.3158099999999999</v>
      </c>
    </row>
    <row r="137" spans="4:5">
      <c r="D137" s="1">
        <v>1320</v>
      </c>
      <c r="E137" s="1">
        <v>3.87479</v>
      </c>
    </row>
    <row r="138" spans="4:5">
      <c r="D138" s="1">
        <v>1330</v>
      </c>
      <c r="E138" s="1">
        <v>3.87479</v>
      </c>
    </row>
    <row r="139" spans="4:5">
      <c r="D139" s="1">
        <v>1340</v>
      </c>
      <c r="E139" s="1">
        <v>3.6311100000000001</v>
      </c>
    </row>
    <row r="140" spans="4:5">
      <c r="D140" s="1">
        <v>1350</v>
      </c>
      <c r="E140" s="1">
        <v>3.6311100000000001</v>
      </c>
    </row>
    <row r="141" spans="4:5">
      <c r="D141" s="1">
        <v>1360</v>
      </c>
      <c r="E141" s="1">
        <v>3.3796599999999999</v>
      </c>
    </row>
    <row r="142" spans="4:5">
      <c r="D142" s="1">
        <v>1370</v>
      </c>
      <c r="E142" s="1">
        <v>3.3796599999999999</v>
      </c>
    </row>
    <row r="143" spans="4:5">
      <c r="D143" s="1">
        <v>1380</v>
      </c>
      <c r="E143" s="1">
        <v>4.1515399999999998</v>
      </c>
    </row>
    <row r="144" spans="4:5">
      <c r="D144" s="1">
        <v>1390</v>
      </c>
      <c r="E144" s="1">
        <v>4.1515399999999998</v>
      </c>
    </row>
    <row r="145" spans="4:5">
      <c r="D145" s="1">
        <v>1400</v>
      </c>
      <c r="E145" s="1">
        <v>4.2481799999999996</v>
      </c>
    </row>
    <row r="146" spans="4:5">
      <c r="D146" s="1">
        <v>1410</v>
      </c>
      <c r="E146" s="1">
        <v>4.2481799999999996</v>
      </c>
    </row>
    <row r="147" spans="4:5">
      <c r="D147" s="1">
        <v>1420</v>
      </c>
      <c r="E147" s="1">
        <v>3.0361199999999999</v>
      </c>
    </row>
    <row r="148" spans="4:5">
      <c r="D148" s="1">
        <v>1430</v>
      </c>
      <c r="E148" s="1">
        <v>3.0361199999999999</v>
      </c>
    </row>
    <row r="149" spans="4:5">
      <c r="D149" s="1">
        <v>1440</v>
      </c>
      <c r="E149" s="1">
        <v>4.0529900000000003</v>
      </c>
    </row>
    <row r="150" spans="4:5">
      <c r="D150" s="1">
        <v>1450</v>
      </c>
      <c r="E150" s="1">
        <v>4.0529900000000003</v>
      </c>
    </row>
    <row r="151" spans="4:5">
      <c r="D151" s="1">
        <v>1460</v>
      </c>
      <c r="E151" s="1">
        <v>3.6473599999999999</v>
      </c>
    </row>
    <row r="152" spans="4:5">
      <c r="D152" s="1">
        <v>1470</v>
      </c>
      <c r="E152" s="1">
        <v>3.6473599999999999</v>
      </c>
    </row>
    <row r="153" spans="4:5">
      <c r="D153" s="1">
        <v>1480</v>
      </c>
      <c r="E153" s="1">
        <v>3.2683800000000001</v>
      </c>
    </row>
    <row r="154" spans="4:5">
      <c r="D154" s="1">
        <v>1490</v>
      </c>
      <c r="E154" s="1">
        <v>3.2683800000000001</v>
      </c>
    </row>
    <row r="155" spans="4:5">
      <c r="D155" s="1">
        <v>1500</v>
      </c>
      <c r="E155" s="1">
        <v>3.44523</v>
      </c>
    </row>
    <row r="156" spans="4:5">
      <c r="D156" s="1">
        <v>1510</v>
      </c>
      <c r="E156" s="1">
        <v>3.44523</v>
      </c>
    </row>
    <row r="157" spans="4:5">
      <c r="D157" s="1">
        <v>1520</v>
      </c>
      <c r="E157" s="1">
        <v>3.9497</v>
      </c>
    </row>
    <row r="158" spans="4:5">
      <c r="D158" s="1">
        <v>1530</v>
      </c>
      <c r="E158" s="1">
        <v>3.9497</v>
      </c>
    </row>
    <row r="159" spans="4:5">
      <c r="D159" s="1">
        <v>1540</v>
      </c>
      <c r="E159" s="1">
        <v>4.0373200000000002</v>
      </c>
    </row>
    <row r="160" spans="4:5">
      <c r="D160" s="1">
        <v>1550</v>
      </c>
      <c r="E160" s="1">
        <v>4.0373200000000002</v>
      </c>
    </row>
    <row r="161" spans="4:5">
      <c r="D161" s="1">
        <v>1560</v>
      </c>
      <c r="E161" s="1">
        <v>4.0314800000000002</v>
      </c>
    </row>
    <row r="162" spans="4:5">
      <c r="D162" s="1">
        <v>1570</v>
      </c>
      <c r="E162" s="1">
        <v>4.0314800000000002</v>
      </c>
    </row>
    <row r="163" spans="4:5">
      <c r="D163" s="1">
        <v>1580</v>
      </c>
      <c r="E163" s="1">
        <v>3.7385100000000002</v>
      </c>
    </row>
    <row r="164" spans="4:5">
      <c r="D164" s="1">
        <v>1590</v>
      </c>
      <c r="E164" s="1">
        <v>3.7385100000000002</v>
      </c>
    </row>
    <row r="165" spans="4:5">
      <c r="D165" s="1">
        <v>1600</v>
      </c>
      <c r="E165" s="1">
        <v>3.964</v>
      </c>
    </row>
    <row r="166" spans="4:5">
      <c r="D166" s="1">
        <v>1610</v>
      </c>
      <c r="E166" s="1">
        <v>3.964</v>
      </c>
    </row>
    <row r="167" spans="4:5">
      <c r="D167" s="1">
        <v>1620</v>
      </c>
      <c r="E167" s="1">
        <v>3.4489700000000001</v>
      </c>
    </row>
    <row r="168" spans="4:5">
      <c r="D168" s="1">
        <v>1630</v>
      </c>
      <c r="E168" s="1">
        <v>3.4489700000000001</v>
      </c>
    </row>
    <row r="169" spans="4:5">
      <c r="D169" s="1">
        <v>1640</v>
      </c>
      <c r="E169" s="1">
        <v>3.3849499999999999</v>
      </c>
    </row>
    <row r="170" spans="4:5">
      <c r="D170" s="1">
        <v>1650</v>
      </c>
      <c r="E170" s="1">
        <v>3.3849499999999999</v>
      </c>
    </row>
    <row r="171" spans="4:5">
      <c r="D171" s="1">
        <v>1660</v>
      </c>
      <c r="E171" s="1">
        <v>3.5375800000000002</v>
      </c>
    </row>
    <row r="172" spans="4:5">
      <c r="D172" s="1">
        <v>1670</v>
      </c>
      <c r="E172" s="1">
        <v>3.5375800000000002</v>
      </c>
    </row>
    <row r="173" spans="4:5">
      <c r="D173" s="1">
        <v>1680</v>
      </c>
      <c r="E173" s="1">
        <v>3.7372700000000001</v>
      </c>
    </row>
    <row r="174" spans="4:5">
      <c r="D174" s="1">
        <v>1690</v>
      </c>
      <c r="E174" s="1">
        <v>3.7372700000000001</v>
      </c>
    </row>
    <row r="175" spans="4:5">
      <c r="D175" s="1">
        <v>1700</v>
      </c>
      <c r="E175" s="1">
        <v>3.81549</v>
      </c>
    </row>
    <row r="176" spans="4:5">
      <c r="D176" s="1">
        <v>1710</v>
      </c>
      <c r="E176" s="1">
        <v>3.81549</v>
      </c>
    </row>
    <row r="177" spans="4:5">
      <c r="D177" s="1">
        <v>1720</v>
      </c>
      <c r="E177" s="1">
        <v>3.8923399999999999</v>
      </c>
    </row>
    <row r="178" spans="4:5">
      <c r="D178" s="1">
        <v>1730</v>
      </c>
      <c r="E178" s="1">
        <v>3.8923399999999999</v>
      </c>
    </row>
    <row r="179" spans="4:5">
      <c r="D179" s="1">
        <v>1740</v>
      </c>
      <c r="E179" s="1">
        <v>3.3818100000000002</v>
      </c>
    </row>
    <row r="180" spans="4:5">
      <c r="D180" s="1">
        <v>1750</v>
      </c>
      <c r="E180" s="1">
        <v>3.3818100000000002</v>
      </c>
    </row>
    <row r="181" spans="4:5">
      <c r="D181" s="1">
        <v>1760</v>
      </c>
      <c r="E181" s="1">
        <v>3.7989199999999999</v>
      </c>
    </row>
    <row r="182" spans="4:5">
      <c r="D182" s="1">
        <v>1770</v>
      </c>
      <c r="E182" s="1">
        <v>3.7989199999999999</v>
      </c>
    </row>
    <row r="183" spans="4:5">
      <c r="D183" s="1">
        <v>1780</v>
      </c>
      <c r="E183" s="1">
        <v>3.15727</v>
      </c>
    </row>
    <row r="184" spans="4:5">
      <c r="D184" s="1">
        <v>1790</v>
      </c>
      <c r="E184" s="1">
        <v>3.15727</v>
      </c>
    </row>
    <row r="185" spans="4:5">
      <c r="D185" s="1">
        <v>1800</v>
      </c>
      <c r="E185" s="1">
        <v>3.4552700000000001</v>
      </c>
    </row>
    <row r="186" spans="4:5">
      <c r="D186" s="1">
        <v>1810</v>
      </c>
      <c r="E186" s="1">
        <v>3.4552700000000001</v>
      </c>
    </row>
    <row r="187" spans="4:5">
      <c r="D187" s="1">
        <v>1820</v>
      </c>
      <c r="E187" s="1">
        <v>3.9280900000000001</v>
      </c>
    </row>
    <row r="188" spans="4:5">
      <c r="D188" s="1">
        <v>1830</v>
      </c>
      <c r="E188" s="1">
        <v>3.9280900000000001</v>
      </c>
    </row>
    <row r="189" spans="4:5">
      <c r="D189" s="1">
        <v>1840</v>
      </c>
      <c r="E189" s="1">
        <v>3.4910100000000002</v>
      </c>
    </row>
    <row r="190" spans="4:5">
      <c r="D190" s="1">
        <v>1850</v>
      </c>
      <c r="E190" s="1">
        <v>3.4910100000000002</v>
      </c>
    </row>
    <row r="191" spans="4:5">
      <c r="D191" s="1">
        <v>1860</v>
      </c>
      <c r="E191" s="1">
        <v>3.9766599999999999</v>
      </c>
    </row>
    <row r="192" spans="4:5">
      <c r="D192" s="1">
        <v>1870</v>
      </c>
      <c r="E192" s="1">
        <v>3.9766599999999999</v>
      </c>
    </row>
    <row r="193" spans="4:5">
      <c r="D193" s="1">
        <v>1880</v>
      </c>
      <c r="E193" s="1">
        <v>3.4551500000000002</v>
      </c>
    </row>
    <row r="194" spans="4:5">
      <c r="D194" s="1">
        <v>1890</v>
      </c>
      <c r="E194" s="1">
        <v>3.4551500000000002</v>
      </c>
    </row>
    <row r="195" spans="4:5">
      <c r="D195" s="1">
        <v>1900</v>
      </c>
      <c r="E195" s="1">
        <v>4.1353400000000002</v>
      </c>
    </row>
    <row r="196" spans="4:5">
      <c r="D196" s="1">
        <v>1910</v>
      </c>
      <c r="E196" s="1">
        <v>4.1353400000000002</v>
      </c>
    </row>
    <row r="197" spans="4:5">
      <c r="D197" s="1">
        <v>1920</v>
      </c>
      <c r="E197" s="1">
        <v>4.1102499999999997</v>
      </c>
    </row>
    <row r="198" spans="4:5">
      <c r="D198" s="1">
        <v>1930</v>
      </c>
      <c r="E198" s="1">
        <v>4.1102499999999997</v>
      </c>
    </row>
    <row r="199" spans="4:5">
      <c r="D199" s="1">
        <v>1940</v>
      </c>
      <c r="E199" s="1">
        <v>3.9332600000000002</v>
      </c>
    </row>
    <row r="200" spans="4:5">
      <c r="D200" s="1">
        <v>1950</v>
      </c>
      <c r="E200" s="1">
        <v>3.9332600000000002</v>
      </c>
    </row>
    <row r="201" spans="4:5">
      <c r="D201" s="1">
        <v>1960</v>
      </c>
      <c r="E201" s="1">
        <v>3.7747299999999999</v>
      </c>
    </row>
    <row r="202" spans="4:5">
      <c r="D202" s="1">
        <v>1970</v>
      </c>
      <c r="E202" s="1">
        <v>3.7747299999999999</v>
      </c>
    </row>
    <row r="203" spans="4:5">
      <c r="D203" s="1">
        <v>1980</v>
      </c>
      <c r="E203" s="1">
        <v>3.6753900000000002</v>
      </c>
    </row>
    <row r="204" spans="4:5">
      <c r="D204" s="1">
        <v>1990</v>
      </c>
      <c r="E204" s="1">
        <v>3.6753900000000002</v>
      </c>
    </row>
    <row r="205" spans="4:5">
      <c r="D205" s="1">
        <v>2000</v>
      </c>
      <c r="E205" s="1">
        <v>3.8736999999999999</v>
      </c>
    </row>
    <row r="206" spans="4:5">
      <c r="D206" s="1">
        <v>2010</v>
      </c>
      <c r="E206" s="1">
        <v>3.8736999999999999</v>
      </c>
    </row>
    <row r="207" spans="4:5">
      <c r="D207" s="1">
        <v>2020</v>
      </c>
      <c r="E207" s="1">
        <v>3.6894399999999998</v>
      </c>
    </row>
    <row r="208" spans="4:5">
      <c r="D208" s="1">
        <v>2030</v>
      </c>
      <c r="E208" s="1">
        <v>3.6894399999999998</v>
      </c>
    </row>
    <row r="209" spans="4:5">
      <c r="D209" s="1">
        <v>2040</v>
      </c>
      <c r="E209" s="1">
        <v>3.9567600000000001</v>
      </c>
    </row>
    <row r="210" spans="4:5">
      <c r="D210" s="1">
        <v>2050</v>
      </c>
      <c r="E210" s="1">
        <v>3.9567600000000001</v>
      </c>
    </row>
    <row r="211" spans="4:5">
      <c r="D211" s="1">
        <v>2060</v>
      </c>
      <c r="E211" s="1">
        <v>3.71434</v>
      </c>
    </row>
    <row r="212" spans="4:5">
      <c r="D212" s="1">
        <v>2070</v>
      </c>
      <c r="E212" s="1">
        <v>3.71434</v>
      </c>
    </row>
    <row r="213" spans="4:5">
      <c r="D213" s="1">
        <v>2080</v>
      </c>
      <c r="E213" s="1">
        <v>3.9368599999999998</v>
      </c>
    </row>
    <row r="214" spans="4:5">
      <c r="D214" s="1">
        <v>2090</v>
      </c>
      <c r="E214" s="1">
        <v>3.9368599999999998</v>
      </c>
    </row>
    <row r="215" spans="4:5">
      <c r="D215" s="1">
        <v>2100</v>
      </c>
      <c r="E215" s="1">
        <v>3.7277499999999999</v>
      </c>
    </row>
    <row r="216" spans="4:5">
      <c r="D216" s="1">
        <v>2110</v>
      </c>
      <c r="E216" s="1">
        <v>3.7277499999999999</v>
      </c>
    </row>
    <row r="217" spans="4:5">
      <c r="D217" s="1">
        <v>2120</v>
      </c>
      <c r="E217" s="1">
        <v>3.1589100000000001</v>
      </c>
    </row>
    <row r="218" spans="4:5">
      <c r="D218" s="1">
        <v>2130</v>
      </c>
      <c r="E218" s="1">
        <v>3.1589100000000001</v>
      </c>
    </row>
    <row r="219" spans="4:5">
      <c r="D219" s="1">
        <v>2140</v>
      </c>
      <c r="E219" s="1">
        <v>4.1292999999999997</v>
      </c>
    </row>
    <row r="220" spans="4:5">
      <c r="D220" s="1">
        <v>2150</v>
      </c>
      <c r="E220" s="1">
        <v>4.1292999999999997</v>
      </c>
    </row>
    <row r="221" spans="4:5">
      <c r="D221" s="1">
        <v>2160</v>
      </c>
      <c r="E221" s="1">
        <v>3.45709</v>
      </c>
    </row>
    <row r="222" spans="4:5">
      <c r="D222" s="1">
        <v>2170</v>
      </c>
      <c r="E222" s="1">
        <v>3.45709</v>
      </c>
    </row>
    <row r="223" spans="4:5">
      <c r="D223" s="1">
        <v>2180</v>
      </c>
      <c r="E223" s="1">
        <v>3.9594</v>
      </c>
    </row>
    <row r="224" spans="4:5">
      <c r="D224" s="1">
        <v>2190</v>
      </c>
      <c r="E224" s="1">
        <v>3.9594</v>
      </c>
    </row>
    <row r="225" spans="4:5">
      <c r="D225" s="1">
        <v>2200</v>
      </c>
      <c r="E225" s="1">
        <v>3.3613499999999998</v>
      </c>
    </row>
    <row r="226" spans="4:5">
      <c r="D226" s="1">
        <v>2210</v>
      </c>
      <c r="E226" s="1">
        <v>3.3613499999999998</v>
      </c>
    </row>
    <row r="227" spans="4:5">
      <c r="D227" s="1">
        <v>2220</v>
      </c>
      <c r="E227" s="1">
        <v>4.0152900000000002</v>
      </c>
    </row>
    <row r="228" spans="4:5">
      <c r="D228" s="1">
        <v>2230</v>
      </c>
      <c r="E228" s="1">
        <v>4.0152900000000002</v>
      </c>
    </row>
    <row r="229" spans="4:5">
      <c r="D229" s="1">
        <v>2240</v>
      </c>
      <c r="E229" s="1">
        <v>3.7829299999999999</v>
      </c>
    </row>
    <row r="230" spans="4:5">
      <c r="D230" s="1">
        <v>2250</v>
      </c>
      <c r="E230" s="1">
        <v>3.7829299999999999</v>
      </c>
    </row>
    <row r="231" spans="4:5">
      <c r="D231" s="1">
        <v>2260</v>
      </c>
      <c r="E231" s="1">
        <v>3.4907300000000001</v>
      </c>
    </row>
    <row r="232" spans="4:5">
      <c r="D232" s="1">
        <v>2270</v>
      </c>
      <c r="E232" s="1">
        <v>3.4907300000000001</v>
      </c>
    </row>
    <row r="233" spans="4:5">
      <c r="D233" s="1">
        <v>2280</v>
      </c>
      <c r="E233" s="1">
        <v>4.1336399999999998</v>
      </c>
    </row>
    <row r="234" spans="4:5">
      <c r="D234" s="1">
        <v>2290</v>
      </c>
      <c r="E234" s="1">
        <v>4.1336399999999998</v>
      </c>
    </row>
    <row r="235" spans="4:5">
      <c r="D235" s="1">
        <v>2300</v>
      </c>
      <c r="E235" s="1">
        <v>3.9847100000000002</v>
      </c>
    </row>
    <row r="236" spans="4:5">
      <c r="D236" s="1">
        <v>2310</v>
      </c>
      <c r="E236" s="1">
        <v>3.9847100000000002</v>
      </c>
    </row>
    <row r="237" spans="4:5">
      <c r="D237" s="1">
        <v>2320</v>
      </c>
      <c r="E237" s="1">
        <v>3.8152300000000001</v>
      </c>
    </row>
    <row r="238" spans="4:5">
      <c r="D238" s="1">
        <v>2330</v>
      </c>
      <c r="E238" s="1">
        <v>3.8152300000000001</v>
      </c>
    </row>
    <row r="239" spans="4:5">
      <c r="D239" s="1">
        <v>2340</v>
      </c>
      <c r="E239" s="1">
        <v>3.2566600000000001</v>
      </c>
    </row>
    <row r="240" spans="4:5">
      <c r="D240" s="1">
        <v>2350</v>
      </c>
      <c r="E240" s="1">
        <v>3.2566600000000001</v>
      </c>
    </row>
    <row r="241" spans="4:5">
      <c r="D241" s="1">
        <v>2360</v>
      </c>
      <c r="E241" s="1">
        <v>4.0039499999999997</v>
      </c>
    </row>
    <row r="242" spans="4:5">
      <c r="D242" s="1">
        <v>2370</v>
      </c>
      <c r="E242" s="1">
        <v>4.0039499999999997</v>
      </c>
    </row>
    <row r="243" spans="4:5">
      <c r="D243" s="1">
        <v>2380</v>
      </c>
      <c r="E243" s="1">
        <v>3.5219999999999998</v>
      </c>
    </row>
    <row r="244" spans="4:5">
      <c r="D244" s="1">
        <v>2390</v>
      </c>
      <c r="E244" s="1">
        <v>3.5219999999999998</v>
      </c>
    </row>
    <row r="245" spans="4:5">
      <c r="D245" s="1">
        <v>2400</v>
      </c>
      <c r="E245" s="1">
        <v>3.1898900000000001</v>
      </c>
    </row>
    <row r="246" spans="4:5">
      <c r="D246" s="1">
        <v>2410</v>
      </c>
      <c r="E246" s="1">
        <v>3.1898900000000001</v>
      </c>
    </row>
    <row r="247" spans="4:5">
      <c r="D247" s="1">
        <v>2420</v>
      </c>
      <c r="E247" s="1">
        <v>3.59152</v>
      </c>
    </row>
    <row r="248" spans="4:5">
      <c r="D248" s="1">
        <v>2430</v>
      </c>
      <c r="E248" s="1">
        <v>3.59152</v>
      </c>
    </row>
    <row r="249" spans="4:5">
      <c r="D249" s="1">
        <v>2440</v>
      </c>
      <c r="E249" s="1">
        <v>3.7552099999999999</v>
      </c>
    </row>
    <row r="250" spans="4:5">
      <c r="D250" s="1">
        <v>2450</v>
      </c>
      <c r="E250" s="1">
        <v>3.7552099999999999</v>
      </c>
    </row>
    <row r="251" spans="4:5">
      <c r="D251" s="1">
        <v>2460</v>
      </c>
      <c r="E251" s="1">
        <v>3.8973599999999999</v>
      </c>
    </row>
    <row r="252" spans="4:5">
      <c r="D252" s="1">
        <v>2470</v>
      </c>
      <c r="E252" s="1">
        <v>3.8973599999999999</v>
      </c>
    </row>
    <row r="253" spans="4:5">
      <c r="D253" s="1">
        <v>2480</v>
      </c>
      <c r="E253" s="1">
        <v>3.5129800000000002</v>
      </c>
    </row>
    <row r="254" spans="4:5">
      <c r="D254" s="1">
        <v>2490</v>
      </c>
      <c r="E254" s="1">
        <v>3.5129800000000002</v>
      </c>
    </row>
    <row r="255" spans="4:5">
      <c r="D255" s="1">
        <v>2500</v>
      </c>
      <c r="E255" s="1">
        <v>3.8483800000000001</v>
      </c>
    </row>
    <row r="256" spans="4:5">
      <c r="D256" s="1">
        <v>2510</v>
      </c>
      <c r="E256" s="1">
        <v>3.8483800000000001</v>
      </c>
    </row>
    <row r="257" spans="4:5">
      <c r="D257" s="1">
        <v>2520</v>
      </c>
      <c r="E257" s="1">
        <v>3.4896500000000001</v>
      </c>
    </row>
    <row r="258" spans="4:5">
      <c r="D258" s="1">
        <v>2530</v>
      </c>
      <c r="E258" s="1">
        <v>3.4896500000000001</v>
      </c>
    </row>
    <row r="259" spans="4:5">
      <c r="D259" s="1">
        <v>2540</v>
      </c>
      <c r="E259" s="1">
        <v>3.6394799999999998</v>
      </c>
    </row>
    <row r="260" spans="4:5">
      <c r="D260" s="1">
        <v>2550</v>
      </c>
      <c r="E260" s="1">
        <v>3.6394799999999998</v>
      </c>
    </row>
    <row r="261" spans="4:5">
      <c r="D261" s="1">
        <v>2560</v>
      </c>
      <c r="E261" s="1">
        <v>3.3769</v>
      </c>
    </row>
    <row r="262" spans="4:5">
      <c r="D262" s="1">
        <v>2570</v>
      </c>
      <c r="E262" s="1">
        <v>3.3769</v>
      </c>
    </row>
    <row r="263" spans="4:5">
      <c r="D263" s="1">
        <v>2580</v>
      </c>
      <c r="E263" s="1">
        <v>3.7361</v>
      </c>
    </row>
    <row r="264" spans="4:5">
      <c r="D264" s="1">
        <v>2590</v>
      </c>
      <c r="E264" s="1">
        <v>3.7361</v>
      </c>
    </row>
    <row r="265" spans="4:5">
      <c r="D265" s="1">
        <v>2600</v>
      </c>
      <c r="E265" s="1">
        <v>4.0375199999999998</v>
      </c>
    </row>
    <row r="266" spans="4:5">
      <c r="D266" s="1">
        <v>2610</v>
      </c>
      <c r="E266" s="1">
        <v>4.0375199999999998</v>
      </c>
    </row>
    <row r="267" spans="4:5">
      <c r="D267" s="1">
        <v>2620</v>
      </c>
      <c r="E267" s="1">
        <v>3.32294</v>
      </c>
    </row>
    <row r="268" spans="4:5">
      <c r="D268" s="1">
        <v>2630</v>
      </c>
      <c r="E268" s="1">
        <v>3.32294</v>
      </c>
    </row>
    <row r="269" spans="4:5">
      <c r="D269" s="1">
        <v>2640</v>
      </c>
      <c r="E269" s="1">
        <v>4.1817000000000002</v>
      </c>
    </row>
    <row r="270" spans="4:5">
      <c r="D270" s="1">
        <v>2650</v>
      </c>
      <c r="E270" s="1">
        <v>4.1817000000000002</v>
      </c>
    </row>
    <row r="271" spans="4:5">
      <c r="D271" s="1">
        <v>2660</v>
      </c>
      <c r="E271" s="1">
        <v>4.2188999999999997</v>
      </c>
    </row>
    <row r="272" spans="4:5">
      <c r="D272" s="1">
        <v>2670</v>
      </c>
      <c r="E272" s="1">
        <v>4.2188999999999997</v>
      </c>
    </row>
    <row r="273" spans="4:5">
      <c r="D273" s="1">
        <v>2680</v>
      </c>
      <c r="E273" s="1">
        <v>3.88368</v>
      </c>
    </row>
    <row r="274" spans="4:5">
      <c r="D274" s="1">
        <v>2690</v>
      </c>
      <c r="E274" s="1">
        <v>3.88368</v>
      </c>
    </row>
    <row r="275" spans="4:5">
      <c r="D275" s="1">
        <v>2700</v>
      </c>
      <c r="E275" s="1">
        <v>3.6513900000000001</v>
      </c>
    </row>
    <row r="276" spans="4:5">
      <c r="D276" s="1">
        <v>2710</v>
      </c>
      <c r="E276" s="1">
        <v>3.6513900000000001</v>
      </c>
    </row>
    <row r="277" spans="4:5">
      <c r="D277" s="1">
        <v>2720</v>
      </c>
      <c r="E277" s="1">
        <v>3.9327200000000002</v>
      </c>
    </row>
    <row r="278" spans="4:5">
      <c r="D278" s="1">
        <v>2730</v>
      </c>
      <c r="E278" s="1">
        <v>3.9327200000000002</v>
      </c>
    </row>
    <row r="279" spans="4:5">
      <c r="D279" s="1">
        <v>2740</v>
      </c>
      <c r="E279" s="1">
        <v>4.1191599999999999</v>
      </c>
    </row>
    <row r="280" spans="4:5">
      <c r="D280" s="1">
        <v>2750</v>
      </c>
      <c r="E280" s="1">
        <v>4.1191599999999999</v>
      </c>
    </row>
    <row r="281" spans="4:5">
      <c r="D281" s="1">
        <v>2760</v>
      </c>
      <c r="E281" s="1">
        <v>3.24668</v>
      </c>
    </row>
    <row r="282" spans="4:5">
      <c r="D282" s="1">
        <v>2770</v>
      </c>
      <c r="E282" s="1">
        <v>3.24668</v>
      </c>
    </row>
    <row r="283" spans="4:5">
      <c r="D283" s="1">
        <v>2780</v>
      </c>
      <c r="E283" s="1">
        <v>3.3789799999999999</v>
      </c>
    </row>
    <row r="284" spans="4:5">
      <c r="D284" s="1">
        <v>2790</v>
      </c>
      <c r="E284" s="1">
        <v>3.3789799999999999</v>
      </c>
    </row>
    <row r="285" spans="4:5">
      <c r="D285" s="1">
        <v>2800</v>
      </c>
      <c r="E285" s="1">
        <v>3.7566700000000002</v>
      </c>
    </row>
    <row r="286" spans="4:5">
      <c r="D286" s="1">
        <v>2810</v>
      </c>
      <c r="E286" s="1">
        <v>3.7566700000000002</v>
      </c>
    </row>
    <row r="287" spans="4:5">
      <c r="D287" s="1">
        <v>2820</v>
      </c>
      <c r="E287" s="1">
        <v>3.7169699999999999</v>
      </c>
    </row>
    <row r="288" spans="4:5">
      <c r="D288" s="1">
        <v>2830</v>
      </c>
      <c r="E288" s="1">
        <v>3.7169699999999999</v>
      </c>
    </row>
    <row r="289" spans="4:5">
      <c r="D289" s="1">
        <v>2840</v>
      </c>
      <c r="E289" s="1">
        <v>3.5109300000000001</v>
      </c>
    </row>
    <row r="290" spans="4:5">
      <c r="D290" s="1">
        <v>2850</v>
      </c>
      <c r="E290" s="1">
        <v>3.5109300000000001</v>
      </c>
    </row>
    <row r="291" spans="4:5">
      <c r="D291" s="1">
        <v>2860</v>
      </c>
      <c r="E291" s="1">
        <v>3.76803</v>
      </c>
    </row>
    <row r="292" spans="4:5">
      <c r="D292" s="1">
        <v>2870</v>
      </c>
      <c r="E292" s="1">
        <v>3.76803</v>
      </c>
    </row>
    <row r="293" spans="4:5">
      <c r="D293" s="1">
        <v>2880</v>
      </c>
      <c r="E293" s="1">
        <v>3.89113</v>
      </c>
    </row>
    <row r="294" spans="4:5">
      <c r="D294" s="1">
        <v>2890</v>
      </c>
      <c r="E294" s="1">
        <v>3.89113</v>
      </c>
    </row>
    <row r="295" spans="4:5">
      <c r="D295" s="1">
        <v>2900</v>
      </c>
      <c r="E295" s="1">
        <v>3.3115399999999999</v>
      </c>
    </row>
    <row r="296" spans="4:5">
      <c r="D296" s="1">
        <v>2910</v>
      </c>
      <c r="E296" s="1">
        <v>3.3115399999999999</v>
      </c>
    </row>
    <row r="297" spans="4:5">
      <c r="D297" s="1">
        <v>2920</v>
      </c>
      <c r="E297" s="1">
        <v>3.3157199999999998</v>
      </c>
    </row>
    <row r="298" spans="4:5">
      <c r="D298" s="1">
        <v>2930</v>
      </c>
      <c r="E298" s="1">
        <v>3.3157199999999998</v>
      </c>
    </row>
    <row r="299" spans="4:5">
      <c r="D299" s="1">
        <v>2940</v>
      </c>
      <c r="E299" s="1">
        <v>3.2375400000000001</v>
      </c>
    </row>
    <row r="300" spans="4:5">
      <c r="D300" s="1">
        <v>2950</v>
      </c>
      <c r="E300" s="1">
        <v>3.2375400000000001</v>
      </c>
    </row>
    <row r="301" spans="4:5">
      <c r="D301" s="1">
        <v>2960</v>
      </c>
      <c r="E301" s="1">
        <v>3.3187700000000002</v>
      </c>
    </row>
    <row r="302" spans="4:5">
      <c r="D302" s="1">
        <v>2970</v>
      </c>
      <c r="E302" s="1">
        <v>3.3187700000000002</v>
      </c>
    </row>
    <row r="303" spans="4:5">
      <c r="D303" s="1">
        <v>2980</v>
      </c>
      <c r="E303" s="1">
        <v>4.0899400000000004</v>
      </c>
    </row>
    <row r="304" spans="4:5">
      <c r="D304" s="1">
        <v>2990</v>
      </c>
      <c r="E304" s="1">
        <v>4.0899400000000004</v>
      </c>
    </row>
    <row r="305" spans="4:5">
      <c r="D305" s="1">
        <v>3000</v>
      </c>
      <c r="E305" s="1">
        <v>3.3409499999999999</v>
      </c>
    </row>
    <row r="306" spans="4:5">
      <c r="D306" s="1">
        <v>3010</v>
      </c>
      <c r="E306" s="1">
        <v>3.3409499999999999</v>
      </c>
    </row>
    <row r="307" spans="4:5">
      <c r="D307" s="1">
        <v>3020</v>
      </c>
      <c r="E307" s="1">
        <v>3.47418</v>
      </c>
    </row>
    <row r="308" spans="4:5">
      <c r="D308" s="1">
        <v>3030</v>
      </c>
      <c r="E308" s="1">
        <v>3.47418</v>
      </c>
    </row>
    <row r="309" spans="4:5">
      <c r="D309" s="1">
        <v>3040</v>
      </c>
      <c r="E309" s="1">
        <v>3.4211499999999999</v>
      </c>
    </row>
    <row r="310" spans="4:5">
      <c r="D310" s="1">
        <v>3050</v>
      </c>
      <c r="E310" s="1">
        <v>3.4211499999999999</v>
      </c>
    </row>
    <row r="311" spans="4:5">
      <c r="D311" s="1">
        <v>3060</v>
      </c>
      <c r="E311" s="1">
        <v>3.9327399999999999</v>
      </c>
    </row>
    <row r="312" spans="4:5">
      <c r="D312" s="1">
        <v>3070</v>
      </c>
      <c r="E312" s="1">
        <v>3.9327399999999999</v>
      </c>
    </row>
    <row r="313" spans="4:5">
      <c r="D313" s="1">
        <v>3080</v>
      </c>
      <c r="E313" s="1">
        <v>4.1203200000000004</v>
      </c>
    </row>
    <row r="314" spans="4:5">
      <c r="D314" s="1">
        <v>3090</v>
      </c>
      <c r="E314" s="1">
        <v>4.1203200000000004</v>
      </c>
    </row>
    <row r="315" spans="4:5">
      <c r="D315" s="1">
        <v>3100</v>
      </c>
      <c r="E315" s="1">
        <v>3.8902800000000002</v>
      </c>
    </row>
    <row r="316" spans="4:5">
      <c r="D316" s="1">
        <v>3110</v>
      </c>
      <c r="E316" s="1">
        <v>3.8902800000000002</v>
      </c>
    </row>
    <row r="317" spans="4:5">
      <c r="D317" s="1">
        <v>3120</v>
      </c>
      <c r="E317" s="1">
        <v>3.2934299999999999</v>
      </c>
    </row>
    <row r="318" spans="4:5">
      <c r="D318" s="1">
        <v>3130</v>
      </c>
      <c r="E318" s="1">
        <v>3.2934299999999999</v>
      </c>
    </row>
    <row r="319" spans="4:5">
      <c r="D319" s="1">
        <v>3140</v>
      </c>
      <c r="E319" s="1">
        <v>4.0101699999999996</v>
      </c>
    </row>
    <row r="320" spans="4:5">
      <c r="D320" s="1">
        <v>3150</v>
      </c>
      <c r="E320" s="1">
        <v>4.0101699999999996</v>
      </c>
    </row>
    <row r="321" spans="4:5">
      <c r="D321" s="1">
        <v>3160</v>
      </c>
      <c r="E321" s="1">
        <v>3.1770299999999998</v>
      </c>
    </row>
    <row r="322" spans="4:5">
      <c r="D322" s="1">
        <v>3170</v>
      </c>
      <c r="E322" s="1">
        <v>3.1770299999999998</v>
      </c>
    </row>
    <row r="323" spans="4:5">
      <c r="D323" s="1">
        <v>3180</v>
      </c>
      <c r="E323" s="1">
        <v>3.87907</v>
      </c>
    </row>
    <row r="324" spans="4:5">
      <c r="D324" s="1">
        <v>3190</v>
      </c>
      <c r="E324" s="1">
        <v>3.87907</v>
      </c>
    </row>
    <row r="325" spans="4:5">
      <c r="D325" s="1">
        <v>3200</v>
      </c>
      <c r="E325" s="1">
        <v>3.7451500000000002</v>
      </c>
    </row>
    <row r="326" spans="4:5">
      <c r="D326" s="1">
        <v>3210</v>
      </c>
      <c r="E326" s="1">
        <v>3.7451500000000002</v>
      </c>
    </row>
    <row r="327" spans="4:5">
      <c r="D327" s="1">
        <v>3220</v>
      </c>
      <c r="E327" s="1">
        <v>3.9336799999999998</v>
      </c>
    </row>
    <row r="328" spans="4:5">
      <c r="D328" s="1">
        <v>3230</v>
      </c>
      <c r="E328" s="1">
        <v>3.9336799999999998</v>
      </c>
    </row>
    <row r="329" spans="4:5">
      <c r="D329" s="1">
        <v>3240</v>
      </c>
      <c r="E329" s="1">
        <v>4.1345200000000002</v>
      </c>
    </row>
    <row r="330" spans="4:5">
      <c r="D330" s="1">
        <v>3250</v>
      </c>
      <c r="E330" s="1">
        <v>4.1345200000000002</v>
      </c>
    </row>
    <row r="331" spans="4:5">
      <c r="D331" s="1">
        <v>3260</v>
      </c>
      <c r="E331" s="1">
        <v>3.2197900000000002</v>
      </c>
    </row>
    <row r="332" spans="4:5">
      <c r="D332" s="1">
        <v>3270</v>
      </c>
      <c r="E332" s="1">
        <v>3.2197900000000002</v>
      </c>
    </row>
    <row r="333" spans="4:5">
      <c r="D333" s="1">
        <v>3280</v>
      </c>
      <c r="E333" s="1">
        <v>3.00109</v>
      </c>
    </row>
    <row r="334" spans="4:5">
      <c r="D334" s="1">
        <v>3290</v>
      </c>
      <c r="E334" s="1">
        <v>3.00109</v>
      </c>
    </row>
    <row r="335" spans="4:5">
      <c r="D335" s="1">
        <v>3300</v>
      </c>
      <c r="E335" s="1">
        <v>3.7182599999999999</v>
      </c>
    </row>
    <row r="336" spans="4:5">
      <c r="D336" s="1">
        <v>3310</v>
      </c>
      <c r="E336" s="1">
        <v>3.7182599999999999</v>
      </c>
    </row>
    <row r="337" spans="4:5">
      <c r="D337" s="1">
        <v>3320</v>
      </c>
      <c r="E337" s="1">
        <v>3.1673300000000002</v>
      </c>
    </row>
    <row r="338" spans="4:5">
      <c r="D338" s="1">
        <v>3330</v>
      </c>
      <c r="E338" s="1">
        <v>3.1673300000000002</v>
      </c>
    </row>
    <row r="339" spans="4:5">
      <c r="D339" s="1">
        <v>3340</v>
      </c>
      <c r="E339" s="1">
        <v>3.5345499999999999</v>
      </c>
    </row>
    <row r="340" spans="4:5">
      <c r="D340" s="1">
        <v>3350</v>
      </c>
      <c r="E340" s="1">
        <v>3.5345499999999999</v>
      </c>
    </row>
    <row r="341" spans="4:5">
      <c r="D341" s="1">
        <v>3360</v>
      </c>
      <c r="E341" s="1">
        <v>3.36246</v>
      </c>
    </row>
    <row r="342" spans="4:5">
      <c r="D342" s="1">
        <v>3370</v>
      </c>
      <c r="E342" s="1">
        <v>3.36246</v>
      </c>
    </row>
    <row r="343" spans="4:5">
      <c r="D343" s="1">
        <v>3380</v>
      </c>
      <c r="E343" s="1">
        <v>3.0459499999999999</v>
      </c>
    </row>
    <row r="344" spans="4:5">
      <c r="D344" s="1">
        <v>3390</v>
      </c>
      <c r="E344" s="1">
        <v>3.0459499999999999</v>
      </c>
    </row>
    <row r="345" spans="4:5">
      <c r="D345" s="1">
        <v>3400</v>
      </c>
      <c r="E345" s="1">
        <v>4.2052699999999996</v>
      </c>
    </row>
    <row r="346" spans="4:5">
      <c r="D346" s="1">
        <v>3410</v>
      </c>
      <c r="E346" s="1">
        <v>4.2052699999999996</v>
      </c>
    </row>
    <row r="347" spans="4:5">
      <c r="D347" s="1">
        <v>3420</v>
      </c>
      <c r="E347" s="1">
        <v>3.4681500000000001</v>
      </c>
    </row>
    <row r="348" spans="4:5">
      <c r="D348" s="1">
        <v>3430</v>
      </c>
      <c r="E348" s="1">
        <v>3.4681500000000001</v>
      </c>
    </row>
    <row r="349" spans="4:5">
      <c r="D349" s="1">
        <v>3440</v>
      </c>
      <c r="E349" s="1">
        <v>3.86131</v>
      </c>
    </row>
    <row r="350" spans="4:5">
      <c r="D350" s="1">
        <v>3450</v>
      </c>
      <c r="E350" s="1">
        <v>3.86131</v>
      </c>
    </row>
    <row r="351" spans="4:5">
      <c r="D351" s="1">
        <v>3460</v>
      </c>
      <c r="E351" s="1">
        <v>3.5490499999999998</v>
      </c>
    </row>
    <row r="352" spans="4:5">
      <c r="D352" s="1">
        <v>3470</v>
      </c>
      <c r="E352" s="1">
        <v>3.5490499999999998</v>
      </c>
    </row>
    <row r="353" spans="4:5">
      <c r="D353" s="1">
        <v>3480</v>
      </c>
      <c r="E353" s="1">
        <v>4.1583500000000004</v>
      </c>
    </row>
    <row r="354" spans="4:5">
      <c r="D354" s="1">
        <v>3490</v>
      </c>
      <c r="E354" s="1">
        <v>4.1583500000000004</v>
      </c>
    </row>
    <row r="355" spans="4:5">
      <c r="D355" s="1">
        <v>3500</v>
      </c>
      <c r="E355" s="1">
        <v>4.2426700000000004</v>
      </c>
    </row>
    <row r="356" spans="4:5">
      <c r="D356" s="1">
        <v>3510</v>
      </c>
      <c r="E356" s="1">
        <v>4.2426700000000004</v>
      </c>
    </row>
    <row r="357" spans="4:5">
      <c r="D357" s="1">
        <v>3520</v>
      </c>
      <c r="E357" s="1">
        <v>3.7773400000000001</v>
      </c>
    </row>
    <row r="358" spans="4:5">
      <c r="D358" s="1">
        <v>3530</v>
      </c>
      <c r="E358" s="1">
        <v>3.7773400000000001</v>
      </c>
    </row>
    <row r="359" spans="4:5">
      <c r="D359" s="1">
        <v>3540</v>
      </c>
      <c r="E359" s="1">
        <v>3.4226800000000002</v>
      </c>
    </row>
    <row r="360" spans="4:5">
      <c r="D360" s="1">
        <v>3550</v>
      </c>
      <c r="E360" s="1">
        <v>3.4226800000000002</v>
      </c>
    </row>
    <row r="361" spans="4:5">
      <c r="D361" s="1">
        <v>3560</v>
      </c>
      <c r="E361" s="1">
        <v>4.2579399999999996</v>
      </c>
    </row>
    <row r="362" spans="4:5">
      <c r="D362" s="1">
        <v>3570</v>
      </c>
      <c r="E362" s="1">
        <v>4.2579399999999996</v>
      </c>
    </row>
    <row r="363" spans="4:5">
      <c r="D363" s="1">
        <v>3580</v>
      </c>
      <c r="E363" s="1">
        <v>3.7559100000000001</v>
      </c>
    </row>
    <row r="364" spans="4:5">
      <c r="D364" s="1">
        <v>3590</v>
      </c>
      <c r="E364" s="1">
        <v>3.7559100000000001</v>
      </c>
    </row>
    <row r="365" spans="4:5">
      <c r="D365" s="1">
        <v>3600</v>
      </c>
      <c r="E365" s="1">
        <v>3.3852099999999998</v>
      </c>
    </row>
    <row r="366" spans="4:5">
      <c r="D366" s="1">
        <v>3610</v>
      </c>
      <c r="E366" s="1">
        <v>3.3852099999999998</v>
      </c>
    </row>
    <row r="367" spans="4:5">
      <c r="D367" s="1">
        <v>3620</v>
      </c>
      <c r="E367" s="1">
        <v>4.1960600000000001</v>
      </c>
    </row>
    <row r="368" spans="4:5">
      <c r="D368" s="1">
        <v>3630</v>
      </c>
      <c r="E368" s="1">
        <v>4.1960600000000001</v>
      </c>
    </row>
    <row r="369" spans="4:5">
      <c r="D369" s="1">
        <v>3640</v>
      </c>
      <c r="E369" s="1">
        <v>3.30619</v>
      </c>
    </row>
    <row r="370" spans="4:5">
      <c r="D370" s="1">
        <v>3650</v>
      </c>
      <c r="E370" s="1">
        <v>3.30619</v>
      </c>
    </row>
    <row r="371" spans="4:5">
      <c r="D371" s="1">
        <v>3660</v>
      </c>
      <c r="E371" s="1">
        <v>4.1770300000000002</v>
      </c>
    </row>
    <row r="372" spans="4:5">
      <c r="D372" s="1">
        <v>3670</v>
      </c>
      <c r="E372" s="1">
        <v>4.1770300000000002</v>
      </c>
    </row>
    <row r="373" spans="4:5">
      <c r="D373" s="1">
        <v>3680</v>
      </c>
      <c r="E373" s="1">
        <v>3.1675900000000001</v>
      </c>
    </row>
    <row r="374" spans="4:5">
      <c r="D374" s="1">
        <v>3690</v>
      </c>
      <c r="E374" s="1">
        <v>3.1675900000000001</v>
      </c>
    </row>
    <row r="375" spans="4:5">
      <c r="D375" s="1">
        <v>3700</v>
      </c>
      <c r="E375" s="1">
        <v>3.4085700000000001</v>
      </c>
    </row>
    <row r="376" spans="4:5">
      <c r="D376" s="1">
        <v>3710</v>
      </c>
      <c r="E376" s="1">
        <v>3.4085700000000001</v>
      </c>
    </row>
    <row r="377" spans="4:5">
      <c r="D377" s="1">
        <v>3720</v>
      </c>
      <c r="E377" s="1">
        <v>4.0988800000000003</v>
      </c>
    </row>
    <row r="378" spans="4:5">
      <c r="D378" s="1">
        <v>3730</v>
      </c>
      <c r="E378" s="1">
        <v>4.0988800000000003</v>
      </c>
    </row>
    <row r="379" spans="4:5">
      <c r="D379" s="1">
        <v>3740</v>
      </c>
      <c r="E379" s="1">
        <v>4.1543999999999999</v>
      </c>
    </row>
    <row r="380" spans="4:5">
      <c r="D380" s="1">
        <v>3750</v>
      </c>
      <c r="E380" s="1">
        <v>4.1543999999999999</v>
      </c>
    </row>
    <row r="381" spans="4:5">
      <c r="D381" s="1">
        <v>3760</v>
      </c>
      <c r="E381" s="1">
        <v>3.9906899999999998</v>
      </c>
    </row>
    <row r="382" spans="4:5">
      <c r="D382" s="1">
        <v>3770</v>
      </c>
      <c r="E382" s="1">
        <v>3.9906899999999998</v>
      </c>
    </row>
    <row r="383" spans="4:5">
      <c r="D383" s="1">
        <v>3780</v>
      </c>
      <c r="E383" s="1">
        <v>3.54589</v>
      </c>
    </row>
    <row r="384" spans="4:5">
      <c r="D384" s="1">
        <v>3790</v>
      </c>
      <c r="E384" s="1">
        <v>3.54589</v>
      </c>
    </row>
    <row r="385" spans="4:5">
      <c r="D385" s="1">
        <v>3800</v>
      </c>
      <c r="E385" s="1">
        <v>4.2852499999999996</v>
      </c>
    </row>
    <row r="386" spans="4:5">
      <c r="D386" s="1">
        <v>3810</v>
      </c>
      <c r="E386" s="1">
        <v>4.2852499999999996</v>
      </c>
    </row>
    <row r="387" spans="4:5">
      <c r="D387" s="1">
        <v>3820</v>
      </c>
      <c r="E387" s="1">
        <v>3.6004399999999999</v>
      </c>
    </row>
    <row r="388" spans="4:5">
      <c r="D388" s="1">
        <v>3830</v>
      </c>
      <c r="E388" s="1">
        <v>3.6004399999999999</v>
      </c>
    </row>
    <row r="389" spans="4:5">
      <c r="D389" s="1">
        <v>3840</v>
      </c>
      <c r="E389" s="1">
        <v>4.2019299999999999</v>
      </c>
    </row>
    <row r="390" spans="4:5">
      <c r="D390" s="1">
        <v>3850</v>
      </c>
      <c r="E390" s="1">
        <v>4.2019299999999999</v>
      </c>
    </row>
    <row r="391" spans="4:5">
      <c r="D391" s="1">
        <v>3860</v>
      </c>
      <c r="E391" s="1">
        <v>3.4327399999999999</v>
      </c>
    </row>
    <row r="392" spans="4:5">
      <c r="D392" s="1">
        <v>3870</v>
      </c>
      <c r="E392" s="1">
        <v>3.4327399999999999</v>
      </c>
    </row>
    <row r="393" spans="4:5">
      <c r="D393" s="1">
        <v>3880</v>
      </c>
      <c r="E393" s="1">
        <v>4.1650499999999999</v>
      </c>
    </row>
    <row r="394" spans="4:5">
      <c r="D394" s="1">
        <v>3890</v>
      </c>
      <c r="E394" s="1">
        <v>4.1650499999999999</v>
      </c>
    </row>
    <row r="395" spans="4:5">
      <c r="D395" s="1">
        <v>3900</v>
      </c>
      <c r="E395" s="1">
        <v>3.54834</v>
      </c>
    </row>
    <row r="396" spans="4:5">
      <c r="D396" s="1">
        <v>3910</v>
      </c>
      <c r="E396" s="1">
        <v>3.54834</v>
      </c>
    </row>
    <row r="397" spans="4:5">
      <c r="D397" s="1">
        <v>3920</v>
      </c>
      <c r="E397" s="1">
        <v>4.0277700000000003</v>
      </c>
    </row>
    <row r="398" spans="4:5">
      <c r="D398" s="1">
        <v>3930</v>
      </c>
      <c r="E398" s="1">
        <v>4.0277700000000003</v>
      </c>
    </row>
    <row r="399" spans="4:5">
      <c r="D399" s="1">
        <v>3940</v>
      </c>
      <c r="E399" s="1">
        <v>3.81575</v>
      </c>
    </row>
    <row r="400" spans="4:5">
      <c r="D400" s="1">
        <v>3950</v>
      </c>
      <c r="E400" s="1">
        <v>3.81575</v>
      </c>
    </row>
    <row r="401" spans="4:5">
      <c r="D401" s="1">
        <v>3960</v>
      </c>
      <c r="E401" s="1">
        <v>3.7022699999999999</v>
      </c>
    </row>
    <row r="402" spans="4:5">
      <c r="D402" s="1">
        <v>3970</v>
      </c>
      <c r="E402" s="1">
        <v>3.7022699999999999</v>
      </c>
    </row>
    <row r="403" spans="4:5">
      <c r="D403" s="1">
        <v>3980</v>
      </c>
      <c r="E403" s="1">
        <v>4.2673100000000002</v>
      </c>
    </row>
    <row r="404" spans="4:5">
      <c r="D404" s="1">
        <v>3990</v>
      </c>
      <c r="E404" s="1">
        <v>4.2673100000000002</v>
      </c>
    </row>
    <row r="405" spans="4:5">
      <c r="D405" s="1">
        <v>4000</v>
      </c>
      <c r="E405" s="1">
        <v>4.2701399999999996</v>
      </c>
    </row>
    <row r="406" spans="4:5">
      <c r="D406" s="1">
        <v>4010</v>
      </c>
      <c r="E406" s="1">
        <v>4.2701399999999996</v>
      </c>
    </row>
    <row r="407" spans="4:5">
      <c r="D407" s="1">
        <v>4020</v>
      </c>
      <c r="E407" s="1">
        <v>3.6711399999999998</v>
      </c>
    </row>
    <row r="408" spans="4:5">
      <c r="D408" s="1">
        <v>4030</v>
      </c>
      <c r="E408" s="1">
        <v>3.6711399999999998</v>
      </c>
    </row>
    <row r="409" spans="4:5">
      <c r="D409" s="1">
        <v>4040</v>
      </c>
      <c r="E409" s="1">
        <v>3.7058499999999999</v>
      </c>
    </row>
    <row r="410" spans="4:5">
      <c r="D410" s="1">
        <v>4050</v>
      </c>
      <c r="E410" s="1">
        <v>3.7058499999999999</v>
      </c>
    </row>
    <row r="411" spans="4:5">
      <c r="D411" s="1">
        <v>4060</v>
      </c>
      <c r="E411" s="1">
        <v>3.5419999999999998</v>
      </c>
    </row>
    <row r="412" spans="4:5">
      <c r="D412" s="1">
        <v>4070</v>
      </c>
      <c r="E412" s="1">
        <v>3.5419999999999998</v>
      </c>
    </row>
    <row r="413" spans="4:5">
      <c r="D413" s="1">
        <v>4080</v>
      </c>
      <c r="E413" s="1">
        <v>4.4065399999999997</v>
      </c>
    </row>
    <row r="414" spans="4:5">
      <c r="D414" s="1">
        <v>4090</v>
      </c>
      <c r="E414" s="1">
        <v>4.4065399999999997</v>
      </c>
    </row>
    <row r="415" spans="4:5">
      <c r="D415" s="1">
        <v>4100</v>
      </c>
      <c r="E415" s="1">
        <v>3.8803999999999998</v>
      </c>
    </row>
    <row r="416" spans="4:5">
      <c r="D416" s="1">
        <v>4110</v>
      </c>
      <c r="E416" s="1">
        <v>3.8803999999999998</v>
      </c>
    </row>
    <row r="417" spans="4:5">
      <c r="D417" s="1">
        <v>4120</v>
      </c>
      <c r="E417" s="1">
        <v>3.24823</v>
      </c>
    </row>
    <row r="418" spans="4:5">
      <c r="D418" s="1">
        <v>4130</v>
      </c>
      <c r="E418" s="1">
        <v>3.24823</v>
      </c>
    </row>
    <row r="419" spans="4:5">
      <c r="D419" s="1">
        <v>4140</v>
      </c>
      <c r="E419" s="1">
        <v>3.6735600000000002</v>
      </c>
    </row>
    <row r="420" spans="4:5">
      <c r="D420" s="1">
        <v>4150</v>
      </c>
      <c r="E420" s="1">
        <v>3.6735600000000002</v>
      </c>
    </row>
    <row r="421" spans="4:5">
      <c r="D421" s="1">
        <v>4160</v>
      </c>
      <c r="E421" s="1">
        <v>4.0502399999999996</v>
      </c>
    </row>
    <row r="422" spans="4:5">
      <c r="D422" s="1">
        <v>4170</v>
      </c>
      <c r="E422" s="1">
        <v>4.0502399999999996</v>
      </c>
    </row>
    <row r="423" spans="4:5">
      <c r="D423" s="1">
        <v>4180</v>
      </c>
      <c r="E423" s="1">
        <v>3.3569399999999998</v>
      </c>
    </row>
    <row r="424" spans="4:5">
      <c r="D424" s="1">
        <v>4190</v>
      </c>
      <c r="E424" s="1">
        <v>3.3569399999999998</v>
      </c>
    </row>
    <row r="425" spans="4:5">
      <c r="D425" s="1">
        <v>4200</v>
      </c>
      <c r="E425" s="1">
        <v>4.3814799999999998</v>
      </c>
    </row>
    <row r="426" spans="4:5">
      <c r="D426" s="1">
        <v>4210</v>
      </c>
      <c r="E426" s="1">
        <v>4.3814799999999998</v>
      </c>
    </row>
    <row r="427" spans="4:5">
      <c r="D427" s="1">
        <v>4220</v>
      </c>
      <c r="E427" s="1">
        <v>4.0493100000000002</v>
      </c>
    </row>
    <row r="428" spans="4:5">
      <c r="D428" s="1">
        <v>4230</v>
      </c>
      <c r="E428" s="1">
        <v>4.0493100000000002</v>
      </c>
    </row>
    <row r="429" spans="4:5">
      <c r="D429" s="1">
        <v>4240</v>
      </c>
      <c r="E429" s="1">
        <v>3.6899799999999998</v>
      </c>
    </row>
    <row r="430" spans="4:5">
      <c r="D430" s="1">
        <v>4250</v>
      </c>
      <c r="E430" s="1">
        <v>3.6899799999999998</v>
      </c>
    </row>
    <row r="431" spans="4:5">
      <c r="D431" s="1">
        <v>4260</v>
      </c>
      <c r="E431" s="1">
        <v>4.2544300000000002</v>
      </c>
    </row>
    <row r="432" spans="4:5">
      <c r="D432" s="1">
        <v>4270</v>
      </c>
      <c r="E432" s="1">
        <v>4.2544300000000002</v>
      </c>
    </row>
    <row r="433" spans="4:5">
      <c r="D433" s="1">
        <v>4280</v>
      </c>
      <c r="E433" s="1">
        <v>4.1839000000000004</v>
      </c>
    </row>
    <row r="434" spans="4:5">
      <c r="D434" s="1">
        <v>4290</v>
      </c>
      <c r="E434" s="1">
        <v>4.1839000000000004</v>
      </c>
    </row>
    <row r="435" spans="4:5">
      <c r="D435" s="1">
        <v>4300</v>
      </c>
      <c r="E435" s="1">
        <v>4.06243</v>
      </c>
    </row>
    <row r="436" spans="4:5">
      <c r="D436" s="1">
        <v>4310</v>
      </c>
      <c r="E436" s="1">
        <v>4.06243</v>
      </c>
    </row>
    <row r="437" spans="4:5">
      <c r="D437" s="1">
        <v>4320</v>
      </c>
      <c r="E437" s="1">
        <v>3.2009300000000001</v>
      </c>
    </row>
    <row r="438" spans="4:5">
      <c r="D438" s="1">
        <v>4330</v>
      </c>
      <c r="E438" s="1">
        <v>3.2009300000000001</v>
      </c>
    </row>
    <row r="439" spans="4:5">
      <c r="D439" s="1">
        <v>4340</v>
      </c>
      <c r="E439" s="1">
        <v>3.6587700000000001</v>
      </c>
    </row>
    <row r="440" spans="4:5">
      <c r="D440" s="1">
        <v>4350</v>
      </c>
      <c r="E440" s="1">
        <v>3.6587700000000001</v>
      </c>
    </row>
    <row r="441" spans="4:5">
      <c r="D441" s="1">
        <v>4360</v>
      </c>
      <c r="E441" s="1">
        <v>3.1859999999999999</v>
      </c>
    </row>
    <row r="442" spans="4:5">
      <c r="D442" s="1">
        <v>4370</v>
      </c>
      <c r="E442" s="1">
        <v>3.1859999999999999</v>
      </c>
    </row>
    <row r="443" spans="4:5">
      <c r="D443" s="1">
        <v>4380</v>
      </c>
      <c r="E443" s="1">
        <v>3.6087799999999999</v>
      </c>
    </row>
    <row r="444" spans="4:5">
      <c r="D444" s="1">
        <v>4390</v>
      </c>
      <c r="E444" s="1">
        <v>3.6087799999999999</v>
      </c>
    </row>
    <row r="445" spans="4:5">
      <c r="D445" s="1">
        <v>4400</v>
      </c>
      <c r="E445" s="1">
        <v>3.30755</v>
      </c>
    </row>
    <row r="446" spans="4:5">
      <c r="D446" s="1">
        <v>4410</v>
      </c>
      <c r="E446" s="1">
        <v>3.30755</v>
      </c>
    </row>
    <row r="447" spans="4:5">
      <c r="D447" s="1">
        <v>4420</v>
      </c>
      <c r="E447" s="1">
        <v>3.2489400000000002</v>
      </c>
    </row>
    <row r="448" spans="4:5">
      <c r="D448" s="1">
        <v>4430</v>
      </c>
      <c r="E448" s="1">
        <v>3.2489400000000002</v>
      </c>
    </row>
    <row r="449" spans="4:5">
      <c r="D449" s="1">
        <v>4440</v>
      </c>
      <c r="E449" s="1">
        <v>4.2626600000000003</v>
      </c>
    </row>
    <row r="450" spans="4:5">
      <c r="D450" s="1">
        <v>4450</v>
      </c>
      <c r="E450" s="1">
        <v>4.2626600000000003</v>
      </c>
    </row>
    <row r="451" spans="4:5">
      <c r="D451" s="1">
        <v>4460</v>
      </c>
      <c r="E451" s="1">
        <v>4.2041599999999999</v>
      </c>
    </row>
    <row r="452" spans="4:5">
      <c r="D452" s="1">
        <v>4470</v>
      </c>
      <c r="E452" s="1">
        <v>4.2041599999999999</v>
      </c>
    </row>
    <row r="453" spans="4:5">
      <c r="D453" s="1">
        <v>4480</v>
      </c>
      <c r="E453" s="1">
        <v>4.2239000000000004</v>
      </c>
    </row>
    <row r="454" spans="4:5">
      <c r="D454" s="1">
        <v>4490</v>
      </c>
      <c r="E454" s="1">
        <v>4.2239000000000004</v>
      </c>
    </row>
    <row r="455" spans="4:5">
      <c r="D455" s="1">
        <v>4500</v>
      </c>
      <c r="E455" s="1">
        <v>3.5637400000000001</v>
      </c>
    </row>
    <row r="456" spans="4:5">
      <c r="D456" s="1">
        <v>4510</v>
      </c>
      <c r="E456" s="1">
        <v>3.5637400000000001</v>
      </c>
    </row>
    <row r="457" spans="4:5">
      <c r="D457" s="1">
        <v>4520</v>
      </c>
      <c r="E457" s="1">
        <v>3.7143600000000001</v>
      </c>
    </row>
    <row r="458" spans="4:5">
      <c r="D458" s="1">
        <v>4530</v>
      </c>
      <c r="E458" s="1">
        <v>3.7143600000000001</v>
      </c>
    </row>
    <row r="459" spans="4:5">
      <c r="D459" s="1">
        <v>4540</v>
      </c>
      <c r="E459" s="1">
        <v>4.23508</v>
      </c>
    </row>
    <row r="460" spans="4:5">
      <c r="D460" s="1">
        <v>4550</v>
      </c>
      <c r="E460" s="1">
        <v>4.23508</v>
      </c>
    </row>
    <row r="461" spans="4:5">
      <c r="D461" s="1">
        <v>4560</v>
      </c>
      <c r="E461" s="1">
        <v>3.44204</v>
      </c>
    </row>
    <row r="462" spans="4:5">
      <c r="D462" s="1">
        <v>4570</v>
      </c>
      <c r="E462" s="1">
        <v>3.44204</v>
      </c>
    </row>
    <row r="463" spans="4:5">
      <c r="D463" s="1">
        <v>4580</v>
      </c>
      <c r="E463" s="1">
        <v>3.8741099999999999</v>
      </c>
    </row>
    <row r="464" spans="4:5">
      <c r="D464" s="1">
        <v>4590</v>
      </c>
      <c r="E464" s="1">
        <v>3.8741099999999999</v>
      </c>
    </row>
    <row r="465" spans="4:5">
      <c r="D465" s="1">
        <v>4600</v>
      </c>
      <c r="E465" s="1">
        <v>3.9630999999999998</v>
      </c>
    </row>
    <row r="466" spans="4:5">
      <c r="D466" s="1">
        <v>4610</v>
      </c>
      <c r="E466" s="1">
        <v>3.9630999999999998</v>
      </c>
    </row>
    <row r="467" spans="4:5">
      <c r="D467" s="1">
        <v>4620</v>
      </c>
      <c r="E467" s="1">
        <v>3.9400499999999998</v>
      </c>
    </row>
    <row r="468" spans="4:5">
      <c r="D468" s="1">
        <v>4630</v>
      </c>
      <c r="E468" s="1">
        <v>3.9400499999999998</v>
      </c>
    </row>
    <row r="469" spans="4:5">
      <c r="D469" s="1">
        <v>4640</v>
      </c>
      <c r="E469" s="1">
        <v>4.1597900000000001</v>
      </c>
    </row>
    <row r="470" spans="4:5">
      <c r="D470" s="1">
        <v>4650</v>
      </c>
      <c r="E470" s="1">
        <v>4.1597900000000001</v>
      </c>
    </row>
    <row r="471" spans="4:5">
      <c r="D471" s="1">
        <v>4660</v>
      </c>
      <c r="E471" s="1">
        <v>3.8848199999999999</v>
      </c>
    </row>
    <row r="472" spans="4:5">
      <c r="D472" s="1">
        <v>4670</v>
      </c>
      <c r="E472" s="1">
        <v>3.8848199999999999</v>
      </c>
    </row>
    <row r="473" spans="4:5">
      <c r="D473" s="1">
        <v>4680</v>
      </c>
      <c r="E473" s="1">
        <v>4.3324199999999999</v>
      </c>
    </row>
    <row r="474" spans="4:5">
      <c r="D474" s="1">
        <v>4690</v>
      </c>
      <c r="E474" s="1">
        <v>4.3324199999999999</v>
      </c>
    </row>
    <row r="475" spans="4:5">
      <c r="D475" s="1">
        <v>4700</v>
      </c>
      <c r="E475" s="1">
        <v>3.73373</v>
      </c>
    </row>
    <row r="476" spans="4:5">
      <c r="D476" s="1">
        <v>4710</v>
      </c>
      <c r="E476" s="1">
        <v>3.73373</v>
      </c>
    </row>
    <row r="477" spans="4:5">
      <c r="D477" s="1">
        <v>4720</v>
      </c>
      <c r="E477" s="1">
        <v>3.85731</v>
      </c>
    </row>
    <row r="478" spans="4:5">
      <c r="D478" s="1">
        <v>4730</v>
      </c>
      <c r="E478" s="1">
        <v>3.85731</v>
      </c>
    </row>
    <row r="479" spans="4:5">
      <c r="D479" s="1">
        <v>4740</v>
      </c>
      <c r="E479" s="1">
        <v>3.7081900000000001</v>
      </c>
    </row>
    <row r="480" spans="4:5">
      <c r="D480" s="1">
        <v>4750</v>
      </c>
      <c r="E480" s="1">
        <v>3.7081900000000001</v>
      </c>
    </row>
    <row r="481" spans="4:5">
      <c r="D481" s="1">
        <v>4760</v>
      </c>
      <c r="E481" s="1">
        <v>3.70112</v>
      </c>
    </row>
    <row r="482" spans="4:5">
      <c r="D482" s="1">
        <v>4770</v>
      </c>
      <c r="E482" s="1">
        <v>3.70112</v>
      </c>
    </row>
    <row r="483" spans="4:5">
      <c r="D483" s="1">
        <v>4780</v>
      </c>
      <c r="E483" s="1">
        <v>3.9878399999999998</v>
      </c>
    </row>
    <row r="484" spans="4:5">
      <c r="D484" s="1">
        <v>4790</v>
      </c>
      <c r="E484" s="1">
        <v>3.9878399999999998</v>
      </c>
    </row>
    <row r="485" spans="4:5">
      <c r="D485" s="1">
        <v>4800</v>
      </c>
      <c r="E485" s="1">
        <v>4.1543099999999997</v>
      </c>
    </row>
    <row r="486" spans="4:5">
      <c r="D486" s="1">
        <v>4810</v>
      </c>
      <c r="E486" s="1">
        <v>4.1543099999999997</v>
      </c>
    </row>
    <row r="487" spans="4:5">
      <c r="D487" s="1">
        <v>4820</v>
      </c>
      <c r="E487" s="1">
        <v>3.8255699999999999</v>
      </c>
    </row>
    <row r="488" spans="4:5">
      <c r="D488" s="1">
        <v>4830</v>
      </c>
      <c r="E488" s="1">
        <v>3.8255699999999999</v>
      </c>
    </row>
    <row r="489" spans="4:5">
      <c r="D489" s="1">
        <v>4840</v>
      </c>
      <c r="E489" s="1">
        <v>3.5699399999999999</v>
      </c>
    </row>
    <row r="490" spans="4:5">
      <c r="D490" s="1">
        <v>4850</v>
      </c>
      <c r="E490" s="1">
        <v>3.5699399999999999</v>
      </c>
    </row>
    <row r="491" spans="4:5">
      <c r="D491" s="1">
        <v>4860</v>
      </c>
      <c r="E491" s="1">
        <v>3.6073499999999998</v>
      </c>
    </row>
    <row r="492" spans="4:5">
      <c r="D492" s="1">
        <v>4870</v>
      </c>
      <c r="E492" s="1">
        <v>3.6073499999999998</v>
      </c>
    </row>
    <row r="493" spans="4:5">
      <c r="D493" s="1">
        <v>4880</v>
      </c>
      <c r="E493" s="1">
        <v>3.7866200000000001</v>
      </c>
    </row>
    <row r="494" spans="4:5">
      <c r="D494" s="1">
        <v>4890</v>
      </c>
      <c r="E494" s="1">
        <v>3.7866200000000001</v>
      </c>
    </row>
    <row r="495" spans="4:5">
      <c r="D495" s="1">
        <v>4900</v>
      </c>
      <c r="E495" s="1">
        <v>3.1477400000000002</v>
      </c>
    </row>
    <row r="496" spans="4:5">
      <c r="D496" s="1">
        <v>4910</v>
      </c>
      <c r="E496" s="1">
        <v>3.1477400000000002</v>
      </c>
    </row>
    <row r="497" spans="4:5">
      <c r="D497" s="1">
        <v>4920</v>
      </c>
      <c r="E497" s="1">
        <v>4.1726299999999998</v>
      </c>
    </row>
    <row r="498" spans="4:5">
      <c r="D498" s="1">
        <v>4930</v>
      </c>
      <c r="E498" s="1">
        <v>4.1726299999999998</v>
      </c>
    </row>
    <row r="499" spans="4:5">
      <c r="D499" s="1">
        <v>4940</v>
      </c>
      <c r="E499" s="1">
        <v>4.2041000000000004</v>
      </c>
    </row>
    <row r="500" spans="4:5">
      <c r="D500" s="1">
        <v>4950</v>
      </c>
      <c r="E500" s="1">
        <v>4.2041000000000004</v>
      </c>
    </row>
    <row r="501" spans="4:5">
      <c r="D501" s="1">
        <v>4960</v>
      </c>
      <c r="E501" s="1">
        <v>3.4001299999999999</v>
      </c>
    </row>
    <row r="502" spans="4:5">
      <c r="D502" s="1">
        <v>4970</v>
      </c>
      <c r="E502" s="1">
        <v>3.4001299999999999</v>
      </c>
    </row>
    <row r="503" spans="4:5">
      <c r="D503" s="1">
        <v>4980</v>
      </c>
      <c r="E503" s="1">
        <v>4.16547</v>
      </c>
    </row>
    <row r="504" spans="4:5">
      <c r="D504" s="1">
        <v>4990</v>
      </c>
      <c r="E504" s="1">
        <v>4.16547</v>
      </c>
    </row>
    <row r="505" spans="4:5">
      <c r="D505" s="1">
        <v>5000</v>
      </c>
      <c r="E505" s="1">
        <v>3.85242</v>
      </c>
    </row>
    <row r="506" spans="4:5">
      <c r="D506" s="1">
        <v>5010</v>
      </c>
      <c r="E506" s="1">
        <v>3.85242</v>
      </c>
    </row>
    <row r="507" spans="4:5">
      <c r="D507" s="1">
        <v>5020</v>
      </c>
      <c r="E507" s="1">
        <v>3.92327</v>
      </c>
    </row>
    <row r="508" spans="4:5">
      <c r="D508" s="1">
        <v>5030</v>
      </c>
      <c r="E508" s="1">
        <v>3.92327</v>
      </c>
    </row>
    <row r="509" spans="4:5">
      <c r="D509" s="1">
        <v>5040</v>
      </c>
      <c r="E509" s="1">
        <v>3.7235299999999998</v>
      </c>
    </row>
    <row r="510" spans="4:5">
      <c r="D510" s="1">
        <v>5050</v>
      </c>
      <c r="E510" s="1">
        <v>3.7235299999999998</v>
      </c>
    </row>
    <row r="511" spans="4:5">
      <c r="D511" s="1">
        <v>5060</v>
      </c>
      <c r="E511" s="1">
        <v>3.4285100000000002</v>
      </c>
    </row>
    <row r="512" spans="4:5">
      <c r="D512" s="1">
        <v>5070</v>
      </c>
      <c r="E512" s="1">
        <v>3.4285100000000002</v>
      </c>
    </row>
    <row r="513" spans="4:5">
      <c r="D513" s="1">
        <v>5080</v>
      </c>
      <c r="E513" s="1">
        <v>3.6225900000000002</v>
      </c>
    </row>
    <row r="514" spans="4:5">
      <c r="D514" s="1">
        <v>5090</v>
      </c>
      <c r="E514" s="1">
        <v>3.6225900000000002</v>
      </c>
    </row>
    <row r="515" spans="4:5">
      <c r="D515" s="1">
        <v>5100</v>
      </c>
      <c r="E515" s="1">
        <v>3.80416</v>
      </c>
    </row>
    <row r="516" spans="4:5">
      <c r="D516" s="1">
        <v>5110</v>
      </c>
      <c r="E516" s="1">
        <v>3.80416</v>
      </c>
    </row>
    <row r="517" spans="4:5">
      <c r="D517" s="1">
        <v>5120</v>
      </c>
      <c r="E517" s="1">
        <v>3.75109</v>
      </c>
    </row>
    <row r="518" spans="4:5">
      <c r="D518" s="1">
        <v>5130</v>
      </c>
      <c r="E518" s="1">
        <v>3.75109</v>
      </c>
    </row>
    <row r="519" spans="4:5">
      <c r="D519" s="1">
        <v>5140</v>
      </c>
      <c r="E519" s="1">
        <v>3.5807600000000002</v>
      </c>
    </row>
    <row r="520" spans="4:5">
      <c r="D520" s="1">
        <v>5150</v>
      </c>
      <c r="E520" s="1">
        <v>3.5807600000000002</v>
      </c>
    </row>
    <row r="521" spans="4:5">
      <c r="D521" s="1">
        <v>5160</v>
      </c>
      <c r="E521" s="1">
        <v>3.7852399999999999</v>
      </c>
    </row>
    <row r="522" spans="4:5">
      <c r="D522" s="1">
        <v>5170</v>
      </c>
      <c r="E522" s="1">
        <v>3.7852399999999999</v>
      </c>
    </row>
    <row r="523" spans="4:5">
      <c r="D523" s="1">
        <v>5180</v>
      </c>
      <c r="E523" s="1">
        <v>3.4891899999999998</v>
      </c>
    </row>
    <row r="524" spans="4:5">
      <c r="D524" s="1">
        <v>5190</v>
      </c>
      <c r="E524" s="1">
        <v>3.4891899999999998</v>
      </c>
    </row>
    <row r="525" spans="4:5">
      <c r="D525" s="1">
        <v>5200</v>
      </c>
      <c r="E525" s="1">
        <v>3.6524299999999998</v>
      </c>
    </row>
    <row r="526" spans="4:5">
      <c r="D526" s="1">
        <v>5210</v>
      </c>
      <c r="E526" s="1">
        <v>3.6524299999999998</v>
      </c>
    </row>
    <row r="527" spans="4:5">
      <c r="D527" s="1">
        <v>5220</v>
      </c>
      <c r="E527" s="1">
        <v>3.8774000000000002</v>
      </c>
    </row>
    <row r="528" spans="4:5">
      <c r="D528" s="1">
        <v>5230</v>
      </c>
      <c r="E528" s="1">
        <v>3.8774000000000002</v>
      </c>
    </row>
    <row r="529" spans="4:5">
      <c r="D529" s="1">
        <v>5240</v>
      </c>
      <c r="E529" s="1">
        <v>3.4066800000000002</v>
      </c>
    </row>
    <row r="530" spans="4:5">
      <c r="D530" s="1">
        <v>5250</v>
      </c>
      <c r="E530" s="1">
        <v>3.4066800000000002</v>
      </c>
    </row>
    <row r="531" spans="4:5">
      <c r="D531" s="1">
        <v>5260</v>
      </c>
      <c r="E531" s="1">
        <v>3.5067300000000001</v>
      </c>
    </row>
    <row r="532" spans="4:5">
      <c r="D532" s="1">
        <v>5270</v>
      </c>
      <c r="E532" s="1">
        <v>3.5067300000000001</v>
      </c>
    </row>
    <row r="533" spans="4:5">
      <c r="D533" s="1">
        <v>5280</v>
      </c>
      <c r="E533" s="1">
        <v>3.52223</v>
      </c>
    </row>
    <row r="534" spans="4:5">
      <c r="D534" s="1">
        <v>5290</v>
      </c>
      <c r="E534" s="1">
        <v>3.52223</v>
      </c>
    </row>
    <row r="535" spans="4:5">
      <c r="D535" s="1">
        <v>5300</v>
      </c>
      <c r="E535" s="1">
        <v>3.8084600000000002</v>
      </c>
    </row>
    <row r="536" spans="4:5">
      <c r="D536" s="1">
        <v>5310</v>
      </c>
      <c r="E536" s="1">
        <v>3.8084600000000002</v>
      </c>
    </row>
    <row r="537" spans="4:5">
      <c r="D537" s="1">
        <v>5320</v>
      </c>
      <c r="E537" s="1">
        <v>4.13469</v>
      </c>
    </row>
    <row r="538" spans="4:5">
      <c r="D538" s="1">
        <v>5330</v>
      </c>
      <c r="E538" s="1">
        <v>4.13469</v>
      </c>
    </row>
    <row r="539" spans="4:5">
      <c r="D539" s="1">
        <v>5340</v>
      </c>
      <c r="E539" s="1">
        <v>3.5630799999999998</v>
      </c>
    </row>
    <row r="540" spans="4:5">
      <c r="D540" s="1">
        <v>5350</v>
      </c>
      <c r="E540" s="1">
        <v>3.5630799999999998</v>
      </c>
    </row>
    <row r="541" spans="4:5">
      <c r="D541" s="1">
        <v>5360</v>
      </c>
      <c r="E541" s="1">
        <v>3.7406600000000001</v>
      </c>
    </row>
    <row r="542" spans="4:5">
      <c r="D542" s="1">
        <v>5370</v>
      </c>
      <c r="E542" s="1">
        <v>3.7406600000000001</v>
      </c>
    </row>
    <row r="543" spans="4:5">
      <c r="D543" s="1">
        <v>5380</v>
      </c>
      <c r="E543" s="1">
        <v>3.4882399999999998</v>
      </c>
    </row>
    <row r="544" spans="4:5">
      <c r="D544" s="1">
        <v>5390</v>
      </c>
      <c r="E544" s="1">
        <v>3.4882399999999998</v>
      </c>
    </row>
    <row r="545" spans="4:5">
      <c r="D545" s="1">
        <v>5400</v>
      </c>
      <c r="E545" s="1">
        <v>3.9033899999999999</v>
      </c>
    </row>
    <row r="546" spans="4:5">
      <c r="D546" s="1">
        <v>5410</v>
      </c>
      <c r="E546" s="1">
        <v>3.9033899999999999</v>
      </c>
    </row>
    <row r="547" spans="4:5">
      <c r="D547" s="1">
        <v>5420</v>
      </c>
      <c r="E547" s="1">
        <v>4.1669600000000004</v>
      </c>
    </row>
    <row r="548" spans="4:5">
      <c r="D548" s="1">
        <v>5430</v>
      </c>
      <c r="E548" s="1">
        <v>4.1669600000000004</v>
      </c>
    </row>
    <row r="549" spans="4:5">
      <c r="D549" s="1">
        <v>5440</v>
      </c>
      <c r="E549" s="1">
        <v>4.2029500000000004</v>
      </c>
    </row>
    <row r="550" spans="4:5">
      <c r="D550" s="1">
        <v>5450</v>
      </c>
      <c r="E550" s="1">
        <v>4.2029500000000004</v>
      </c>
    </row>
    <row r="551" spans="4:5">
      <c r="D551" s="1">
        <v>5460</v>
      </c>
      <c r="E551" s="1">
        <v>3.6887500000000002</v>
      </c>
    </row>
    <row r="552" spans="4:5">
      <c r="D552" s="1">
        <v>5470</v>
      </c>
      <c r="E552" s="1">
        <v>3.6887500000000002</v>
      </c>
    </row>
    <row r="553" spans="4:5">
      <c r="D553" s="1">
        <v>5480</v>
      </c>
      <c r="E553" s="1">
        <v>3.3794300000000002</v>
      </c>
    </row>
    <row r="554" spans="4:5">
      <c r="D554" s="1">
        <v>5490</v>
      </c>
      <c r="E554" s="1">
        <v>3.3794300000000002</v>
      </c>
    </row>
    <row r="555" spans="4:5">
      <c r="D555" s="1">
        <v>5500</v>
      </c>
      <c r="E555" s="1">
        <v>3.4882</v>
      </c>
    </row>
    <row r="556" spans="4:5">
      <c r="D556" s="1">
        <v>5510</v>
      </c>
      <c r="E556" s="1">
        <v>3.4882</v>
      </c>
    </row>
    <row r="557" spans="4:5">
      <c r="D557" s="1">
        <v>5520</v>
      </c>
      <c r="E557" s="1">
        <v>3.7008800000000002</v>
      </c>
    </row>
    <row r="558" spans="4:5">
      <c r="D558" s="1">
        <v>5530</v>
      </c>
      <c r="E558" s="1">
        <v>3.7008800000000002</v>
      </c>
    </row>
    <row r="559" spans="4:5">
      <c r="D559" s="1">
        <v>5540</v>
      </c>
      <c r="E559" s="1">
        <v>4.1531900000000004</v>
      </c>
    </row>
    <row r="560" spans="4:5">
      <c r="D560" s="1">
        <v>5550</v>
      </c>
      <c r="E560" s="1">
        <v>4.1531900000000004</v>
      </c>
    </row>
    <row r="561" spans="4:5">
      <c r="D561" s="1">
        <v>5560</v>
      </c>
      <c r="E561" s="1">
        <v>3.5817100000000002</v>
      </c>
    </row>
    <row r="562" spans="4:5">
      <c r="D562" s="1">
        <v>5570</v>
      </c>
      <c r="E562" s="1">
        <v>3.5817100000000002</v>
      </c>
    </row>
    <row r="563" spans="4:5">
      <c r="D563" s="1">
        <v>5580</v>
      </c>
      <c r="E563" s="1">
        <v>3.6030899999999999</v>
      </c>
    </row>
    <row r="564" spans="4:5">
      <c r="D564" s="1">
        <v>5590</v>
      </c>
      <c r="E564" s="1">
        <v>3.6030899999999999</v>
      </c>
    </row>
    <row r="565" spans="4:5">
      <c r="D565" s="1">
        <v>5600</v>
      </c>
      <c r="E565" s="1">
        <v>3.70574</v>
      </c>
    </row>
    <row r="566" spans="4:5">
      <c r="D566" s="1">
        <v>5610</v>
      </c>
      <c r="E566" s="1">
        <v>3.70574</v>
      </c>
    </row>
    <row r="567" spans="4:5">
      <c r="D567" s="1">
        <v>5620</v>
      </c>
      <c r="E567" s="1">
        <v>4.0071300000000001</v>
      </c>
    </row>
    <row r="568" spans="4:5">
      <c r="D568" s="1">
        <v>5630</v>
      </c>
      <c r="E568" s="1">
        <v>4.0071300000000001</v>
      </c>
    </row>
    <row r="569" spans="4:5">
      <c r="D569" s="1">
        <v>5640</v>
      </c>
      <c r="E569" s="1">
        <v>4.1902999999999997</v>
      </c>
    </row>
    <row r="570" spans="4:5">
      <c r="D570" s="1">
        <v>5650</v>
      </c>
      <c r="E570" s="1">
        <v>4.1902999999999997</v>
      </c>
    </row>
    <row r="571" spans="4:5">
      <c r="D571" s="1">
        <v>5660</v>
      </c>
      <c r="E571" s="1">
        <v>3.3113899999999998</v>
      </c>
    </row>
    <row r="572" spans="4:5">
      <c r="D572" s="1">
        <v>5670</v>
      </c>
      <c r="E572" s="1">
        <v>3.3113899999999998</v>
      </c>
    </row>
    <row r="573" spans="4:5">
      <c r="D573" s="1">
        <v>5680</v>
      </c>
      <c r="E573" s="1">
        <v>3.9591699999999999</v>
      </c>
    </row>
    <row r="574" spans="4:5">
      <c r="D574" s="1">
        <v>5690</v>
      </c>
      <c r="E574" s="1">
        <v>3.9591699999999999</v>
      </c>
    </row>
    <row r="575" spans="4:5">
      <c r="D575" s="1">
        <v>5700</v>
      </c>
      <c r="E575" s="1">
        <v>3.7111200000000002</v>
      </c>
    </row>
    <row r="576" spans="4:5">
      <c r="D576" s="1">
        <v>5710</v>
      </c>
      <c r="E576" s="1">
        <v>3.7111200000000002</v>
      </c>
    </row>
    <row r="577" spans="4:5">
      <c r="D577" s="1">
        <v>5720</v>
      </c>
      <c r="E577" s="1">
        <v>3.30165</v>
      </c>
    </row>
    <row r="578" spans="4:5">
      <c r="D578" s="1">
        <v>5730</v>
      </c>
      <c r="E578" s="1">
        <v>3.30165</v>
      </c>
    </row>
    <row r="579" spans="4:5">
      <c r="D579" s="1">
        <v>5740</v>
      </c>
      <c r="E579" s="1">
        <v>4.0118299999999998</v>
      </c>
    </row>
    <row r="580" spans="4:5">
      <c r="D580" s="1">
        <v>5750</v>
      </c>
      <c r="E580" s="1">
        <v>4.0118299999999998</v>
      </c>
    </row>
    <row r="581" spans="4:5">
      <c r="D581" s="1">
        <v>5760</v>
      </c>
      <c r="E581" s="1">
        <v>3.5445799999999998</v>
      </c>
    </row>
    <row r="582" spans="4:5">
      <c r="D582" s="1">
        <v>5770</v>
      </c>
      <c r="E582" s="1">
        <v>3.5445799999999998</v>
      </c>
    </row>
    <row r="583" spans="4:5">
      <c r="D583" s="1">
        <v>5780</v>
      </c>
      <c r="E583" s="1">
        <v>4.0106200000000003</v>
      </c>
    </row>
    <row r="584" spans="4:5">
      <c r="D584" s="1">
        <v>5790</v>
      </c>
      <c r="E584" s="1">
        <v>4.0106200000000003</v>
      </c>
    </row>
    <row r="585" spans="4:5">
      <c r="D585" s="1">
        <v>5800</v>
      </c>
      <c r="E585" s="1">
        <v>4.3666499999999999</v>
      </c>
    </row>
    <row r="586" spans="4:5">
      <c r="D586" s="1">
        <v>5810</v>
      </c>
      <c r="E586" s="1">
        <v>4.3666499999999999</v>
      </c>
    </row>
    <row r="587" spans="4:5">
      <c r="D587" s="1">
        <v>5820</v>
      </c>
      <c r="E587" s="1">
        <v>4.1460699999999999</v>
      </c>
    </row>
    <row r="588" spans="4:5">
      <c r="D588" s="1">
        <v>5830</v>
      </c>
      <c r="E588" s="1">
        <v>4.1460699999999999</v>
      </c>
    </row>
    <row r="589" spans="4:5">
      <c r="D589" s="1">
        <v>5840</v>
      </c>
      <c r="E589" s="1">
        <v>3.5730300000000002</v>
      </c>
    </row>
    <row r="590" spans="4:5">
      <c r="D590" s="1">
        <v>5850</v>
      </c>
      <c r="E590" s="1">
        <v>3.5730300000000002</v>
      </c>
    </row>
    <row r="591" spans="4:5">
      <c r="D591" s="1">
        <v>5860</v>
      </c>
      <c r="E591" s="1">
        <v>3.7870699999999999</v>
      </c>
    </row>
    <row r="592" spans="4:5">
      <c r="D592" s="1">
        <v>5870</v>
      </c>
      <c r="E592" s="1">
        <v>3.7870699999999999</v>
      </c>
    </row>
    <row r="593" spans="4:5">
      <c r="D593" s="1">
        <v>5880</v>
      </c>
      <c r="E593" s="1">
        <v>3.3537400000000002</v>
      </c>
    </row>
    <row r="594" spans="4:5">
      <c r="D594" s="1">
        <v>5890</v>
      </c>
      <c r="E594" s="1">
        <v>3.3537400000000002</v>
      </c>
    </row>
    <row r="595" spans="4:5">
      <c r="D595" s="1">
        <v>5900</v>
      </c>
      <c r="E595" s="1">
        <v>3.6139600000000001</v>
      </c>
    </row>
    <row r="596" spans="4:5">
      <c r="D596" s="1">
        <v>5910</v>
      </c>
      <c r="E596" s="1">
        <v>3.6139600000000001</v>
      </c>
    </row>
    <row r="597" spans="4:5">
      <c r="D597" s="1">
        <v>5920</v>
      </c>
      <c r="E597" s="1">
        <v>4.22316</v>
      </c>
    </row>
    <row r="598" spans="4:5">
      <c r="D598" s="1">
        <v>5930</v>
      </c>
      <c r="E598" s="1">
        <v>4.22316</v>
      </c>
    </row>
    <row r="599" spans="4:5">
      <c r="D599" s="1">
        <v>5940</v>
      </c>
      <c r="E599" s="1">
        <v>4.2007899999999996</v>
      </c>
    </row>
    <row r="600" spans="4:5">
      <c r="D600" s="1">
        <v>5950</v>
      </c>
      <c r="E600" s="1">
        <v>4.2007899999999996</v>
      </c>
    </row>
    <row r="601" spans="4:5">
      <c r="D601" s="1">
        <v>5960</v>
      </c>
      <c r="E601" s="1">
        <v>3.8265400000000001</v>
      </c>
    </row>
    <row r="602" spans="4:5">
      <c r="D602" s="1">
        <v>5970</v>
      </c>
      <c r="E602" s="1">
        <v>3.8265400000000001</v>
      </c>
    </row>
    <row r="603" spans="4:5">
      <c r="D603" s="1">
        <v>5980</v>
      </c>
      <c r="E603" s="1">
        <v>3.30226</v>
      </c>
    </row>
    <row r="604" spans="4:5">
      <c r="D604" s="1">
        <v>5990</v>
      </c>
      <c r="E604" s="1">
        <v>3.30226</v>
      </c>
    </row>
    <row r="605" spans="4:5">
      <c r="D605" s="1">
        <v>6000</v>
      </c>
      <c r="E605" s="1">
        <v>3.4228800000000001</v>
      </c>
    </row>
    <row r="606" spans="4:5">
      <c r="D606" s="1">
        <v>6010</v>
      </c>
      <c r="E606" s="1">
        <v>3.4228800000000001</v>
      </c>
    </row>
    <row r="607" spans="4:5">
      <c r="D607" s="1">
        <v>6020</v>
      </c>
      <c r="E607" s="1">
        <v>3.5473699999999999</v>
      </c>
    </row>
    <row r="608" spans="4:5">
      <c r="D608" s="1">
        <v>6030</v>
      </c>
      <c r="E608" s="1">
        <v>3.5473699999999999</v>
      </c>
    </row>
    <row r="609" spans="4:5">
      <c r="D609" s="1">
        <v>6040</v>
      </c>
      <c r="E609" s="1">
        <v>3.8312900000000001</v>
      </c>
    </row>
    <row r="610" spans="4:5">
      <c r="D610" s="1">
        <v>6050</v>
      </c>
      <c r="E610" s="1">
        <v>3.8312900000000001</v>
      </c>
    </row>
    <row r="611" spans="4:5">
      <c r="D611" s="1">
        <v>6060</v>
      </c>
      <c r="E611" s="1">
        <v>4.1237199999999996</v>
      </c>
    </row>
    <row r="612" spans="4:5">
      <c r="D612" s="1">
        <v>6070</v>
      </c>
      <c r="E612" s="1">
        <v>4.1237199999999996</v>
      </c>
    </row>
    <row r="613" spans="4:5">
      <c r="D613" s="1">
        <v>6080</v>
      </c>
      <c r="E613" s="1">
        <v>3.5966800000000001</v>
      </c>
    </row>
    <row r="614" spans="4:5">
      <c r="D614" s="1">
        <v>6090</v>
      </c>
      <c r="E614" s="1">
        <v>3.5966800000000001</v>
      </c>
    </row>
    <row r="615" spans="4:5">
      <c r="D615" s="1">
        <v>6100</v>
      </c>
      <c r="E615" s="1">
        <v>3.3347199999999999</v>
      </c>
    </row>
    <row r="616" spans="4:5">
      <c r="D616" s="1">
        <v>6110</v>
      </c>
      <c r="E616" s="1">
        <v>3.3347199999999999</v>
      </c>
    </row>
    <row r="617" spans="4:5">
      <c r="D617" s="1">
        <v>6120</v>
      </c>
      <c r="E617" s="1">
        <v>3.6383899999999998</v>
      </c>
    </row>
    <row r="618" spans="4:5">
      <c r="D618" s="1">
        <v>6130</v>
      </c>
      <c r="E618" s="1">
        <v>3.6383899999999998</v>
      </c>
    </row>
    <row r="619" spans="4:5">
      <c r="D619" s="1">
        <v>6140</v>
      </c>
      <c r="E619" s="1">
        <v>3.9131399999999998</v>
      </c>
    </row>
    <row r="620" spans="4:5">
      <c r="D620" s="1">
        <v>6150</v>
      </c>
      <c r="E620" s="1">
        <v>3.9131399999999998</v>
      </c>
    </row>
    <row r="621" spans="4:5">
      <c r="D621" s="1">
        <v>6160</v>
      </c>
      <c r="E621" s="1">
        <v>3.5057499999999999</v>
      </c>
    </row>
    <row r="622" spans="4:5">
      <c r="D622" s="1">
        <v>6170</v>
      </c>
      <c r="E622" s="1">
        <v>3.5057499999999999</v>
      </c>
    </row>
    <row r="623" spans="4:5">
      <c r="D623" s="1">
        <v>6180</v>
      </c>
      <c r="E623" s="1">
        <v>3.9051200000000001</v>
      </c>
    </row>
    <row r="624" spans="4:5">
      <c r="D624" s="1">
        <v>6190</v>
      </c>
      <c r="E624" s="1">
        <v>3.9051200000000001</v>
      </c>
    </row>
    <row r="625" spans="4:5">
      <c r="D625" s="1">
        <v>6200</v>
      </c>
      <c r="E625" s="1">
        <v>3.9241700000000002</v>
      </c>
    </row>
    <row r="626" spans="4:5">
      <c r="D626" s="1">
        <v>6210</v>
      </c>
      <c r="E626" s="1">
        <v>3.9241700000000002</v>
      </c>
    </row>
    <row r="627" spans="4:5">
      <c r="D627" s="1">
        <v>6220</v>
      </c>
      <c r="E627" s="1">
        <v>3.5317599999999998</v>
      </c>
    </row>
    <row r="628" spans="4:5">
      <c r="D628" s="1">
        <v>6230</v>
      </c>
      <c r="E628" s="1">
        <v>3.5317599999999998</v>
      </c>
    </row>
    <row r="629" spans="4:5">
      <c r="D629" s="1">
        <v>6240</v>
      </c>
      <c r="E629" s="1">
        <v>4.11958</v>
      </c>
    </row>
    <row r="630" spans="4:5">
      <c r="D630" s="1">
        <v>6250</v>
      </c>
      <c r="E630" s="1">
        <v>4.11958</v>
      </c>
    </row>
    <row r="631" spans="4:5">
      <c r="D631" s="1">
        <v>6260</v>
      </c>
      <c r="E631" s="1">
        <v>3.7188699999999999</v>
      </c>
    </row>
    <row r="632" spans="4:5">
      <c r="D632" s="1">
        <v>6270</v>
      </c>
      <c r="E632" s="1">
        <v>3.7188699999999999</v>
      </c>
    </row>
    <row r="633" spans="4:5">
      <c r="D633" s="1">
        <v>6280</v>
      </c>
      <c r="E633" s="1">
        <v>4.0851100000000002</v>
      </c>
    </row>
    <row r="634" spans="4:5">
      <c r="D634" s="1">
        <v>6290</v>
      </c>
      <c r="E634" s="1">
        <v>4.0851100000000002</v>
      </c>
    </row>
    <row r="635" spans="4:5">
      <c r="D635" s="1">
        <v>6300</v>
      </c>
      <c r="E635" s="1">
        <v>3.2991700000000002</v>
      </c>
    </row>
    <row r="636" spans="4:5">
      <c r="D636" s="1">
        <v>6310</v>
      </c>
      <c r="E636" s="1">
        <v>3.2991700000000002</v>
      </c>
    </row>
    <row r="637" spans="4:5">
      <c r="D637" s="1">
        <v>6320</v>
      </c>
      <c r="E637" s="1">
        <v>3.8940600000000001</v>
      </c>
    </row>
    <row r="638" spans="4:5">
      <c r="D638" s="1">
        <v>6330</v>
      </c>
      <c r="E638" s="1">
        <v>3.8940600000000001</v>
      </c>
    </row>
    <row r="639" spans="4:5">
      <c r="D639" s="1">
        <v>6340</v>
      </c>
      <c r="E639" s="1">
        <v>4.04488</v>
      </c>
    </row>
    <row r="640" spans="4:5">
      <c r="D640" s="1">
        <v>6350</v>
      </c>
      <c r="E640" s="1">
        <v>4.04488</v>
      </c>
    </row>
    <row r="641" spans="4:5">
      <c r="D641" s="1">
        <v>6360</v>
      </c>
      <c r="E641" s="1">
        <v>3.9140600000000001</v>
      </c>
    </row>
    <row r="642" spans="4:5">
      <c r="D642" s="1">
        <v>6370</v>
      </c>
      <c r="E642" s="1">
        <v>3.9140600000000001</v>
      </c>
    </row>
    <row r="643" spans="4:5">
      <c r="D643" s="1">
        <v>6380</v>
      </c>
      <c r="E643" s="1">
        <v>4.0102099999999998</v>
      </c>
    </row>
    <row r="644" spans="4:5">
      <c r="D644" s="1">
        <v>6390</v>
      </c>
      <c r="E644" s="1">
        <v>4.0102099999999998</v>
      </c>
    </row>
    <row r="645" spans="4:5">
      <c r="D645" s="1">
        <v>6400</v>
      </c>
      <c r="E645" s="1">
        <v>3.53071</v>
      </c>
    </row>
    <row r="646" spans="4:5">
      <c r="D646" s="1">
        <v>6410</v>
      </c>
      <c r="E646" s="1">
        <v>3.53071</v>
      </c>
    </row>
    <row r="647" spans="4:5">
      <c r="D647" s="1">
        <v>6420</v>
      </c>
      <c r="E647" s="1">
        <v>3.7140200000000001</v>
      </c>
    </row>
    <row r="648" spans="4:5">
      <c r="D648" s="1">
        <v>6430</v>
      </c>
      <c r="E648" s="1">
        <v>3.7140200000000001</v>
      </c>
    </row>
    <row r="649" spans="4:5">
      <c r="D649" s="1">
        <v>6440</v>
      </c>
      <c r="E649" s="1">
        <v>3.5711499999999998</v>
      </c>
    </row>
    <row r="650" spans="4:5">
      <c r="D650" s="1">
        <v>6450</v>
      </c>
      <c r="E650" s="1">
        <v>3.5711499999999998</v>
      </c>
    </row>
    <row r="651" spans="4:5">
      <c r="D651" s="1">
        <v>6460</v>
      </c>
      <c r="E651" s="1">
        <v>4.0451800000000002</v>
      </c>
    </row>
    <row r="652" spans="4:5">
      <c r="D652" s="1">
        <v>6470</v>
      </c>
      <c r="E652" s="1">
        <v>4.0451800000000002</v>
      </c>
    </row>
    <row r="653" spans="4:5">
      <c r="D653" s="1">
        <v>6480</v>
      </c>
      <c r="E653" s="1">
        <v>4.0638100000000001</v>
      </c>
    </row>
    <row r="654" spans="4:5">
      <c r="D654" s="1">
        <v>6490</v>
      </c>
      <c r="E654" s="1">
        <v>4.0638100000000001</v>
      </c>
    </row>
    <row r="655" spans="4:5">
      <c r="D655" s="1">
        <v>6500</v>
      </c>
      <c r="E655" s="1">
        <v>4.11876</v>
      </c>
    </row>
    <row r="656" spans="4:5">
      <c r="D656" s="1">
        <v>6510</v>
      </c>
      <c r="E656" s="1">
        <v>4.11876</v>
      </c>
    </row>
    <row r="657" spans="4:5">
      <c r="D657" s="1">
        <v>6520</v>
      </c>
      <c r="E657" s="1">
        <v>4.1105</v>
      </c>
    </row>
    <row r="658" spans="4:5">
      <c r="D658" s="1">
        <v>6530</v>
      </c>
      <c r="E658" s="1">
        <v>4.1105</v>
      </c>
    </row>
    <row r="659" spans="4:5">
      <c r="D659" s="1">
        <v>6540</v>
      </c>
      <c r="E659" s="1">
        <v>3.9666700000000001</v>
      </c>
    </row>
    <row r="660" spans="4:5">
      <c r="D660" s="1">
        <v>6550</v>
      </c>
      <c r="E660" s="1">
        <v>3.9666700000000001</v>
      </c>
    </row>
    <row r="661" spans="4:5">
      <c r="D661" s="1">
        <v>6560</v>
      </c>
      <c r="E661" s="1">
        <v>3.5248499999999998</v>
      </c>
    </row>
    <row r="662" spans="4:5">
      <c r="D662" s="1">
        <v>6570</v>
      </c>
      <c r="E662" s="1">
        <v>3.5248499999999998</v>
      </c>
    </row>
    <row r="663" spans="4:5">
      <c r="D663" s="1">
        <v>6580</v>
      </c>
      <c r="E663" s="1">
        <v>4.07761</v>
      </c>
    </row>
    <row r="664" spans="4:5">
      <c r="D664" s="1">
        <v>6590</v>
      </c>
      <c r="E664" s="1">
        <v>4.07761</v>
      </c>
    </row>
    <row r="665" spans="4:5">
      <c r="D665" s="1">
        <v>6600</v>
      </c>
      <c r="E665" s="1">
        <v>3.7462200000000001</v>
      </c>
    </row>
    <row r="666" spans="4:5">
      <c r="D666" s="1">
        <v>6610</v>
      </c>
      <c r="E666" s="1">
        <v>3.7462200000000001</v>
      </c>
    </row>
    <row r="667" spans="4:5">
      <c r="D667" s="1">
        <v>6620</v>
      </c>
      <c r="E667" s="1">
        <v>4.0623500000000003</v>
      </c>
    </row>
    <row r="668" spans="4:5">
      <c r="D668" s="1">
        <v>6630</v>
      </c>
      <c r="E668" s="1">
        <v>4.0623500000000003</v>
      </c>
    </row>
    <row r="669" spans="4:5">
      <c r="D669" s="1">
        <v>6640</v>
      </c>
      <c r="E669" s="1">
        <v>3.8288099999999998</v>
      </c>
    </row>
    <row r="670" spans="4:5">
      <c r="D670" s="1">
        <v>6650</v>
      </c>
      <c r="E670" s="1">
        <v>3.8288099999999998</v>
      </c>
    </row>
    <row r="671" spans="4:5">
      <c r="D671" s="1">
        <v>6660</v>
      </c>
      <c r="E671" s="1">
        <v>3.2590400000000002</v>
      </c>
    </row>
    <row r="672" spans="4:5">
      <c r="D672" s="1">
        <v>6670</v>
      </c>
      <c r="E672" s="1">
        <v>3.2590400000000002</v>
      </c>
    </row>
    <row r="673" spans="4:5">
      <c r="D673" s="1">
        <v>6680</v>
      </c>
      <c r="E673" s="1">
        <v>3.8124099999999999</v>
      </c>
    </row>
    <row r="674" spans="4:5">
      <c r="D674" s="1">
        <v>6690</v>
      </c>
      <c r="E674" s="1">
        <v>3.8124099999999999</v>
      </c>
    </row>
    <row r="675" spans="4:5">
      <c r="D675" s="1">
        <v>6700</v>
      </c>
      <c r="E675" s="1">
        <v>3.4146200000000002</v>
      </c>
    </row>
    <row r="676" spans="4:5">
      <c r="D676" s="1">
        <v>6710</v>
      </c>
      <c r="E676" s="1">
        <v>3.4146200000000002</v>
      </c>
    </row>
    <row r="677" spans="4:5">
      <c r="D677" s="1">
        <v>6720</v>
      </c>
      <c r="E677" s="1">
        <v>3.5922200000000002</v>
      </c>
    </row>
    <row r="678" spans="4:5">
      <c r="D678" s="1">
        <v>6730</v>
      </c>
      <c r="E678" s="1">
        <v>3.5922200000000002</v>
      </c>
    </row>
    <row r="679" spans="4:5">
      <c r="D679" s="1">
        <v>6740</v>
      </c>
      <c r="E679" s="1">
        <v>3.5764399999999998</v>
      </c>
    </row>
    <row r="680" spans="4:5">
      <c r="D680" s="1">
        <v>6750</v>
      </c>
      <c r="E680" s="1">
        <v>3.5764399999999998</v>
      </c>
    </row>
    <row r="681" spans="4:5">
      <c r="D681" s="1">
        <v>6760</v>
      </c>
      <c r="E681" s="1">
        <v>4.41235</v>
      </c>
    </row>
    <row r="682" spans="4:5">
      <c r="D682" s="1">
        <v>6770</v>
      </c>
      <c r="E682" s="1">
        <v>4.41235</v>
      </c>
    </row>
    <row r="683" spans="4:5">
      <c r="D683" s="1">
        <v>6780</v>
      </c>
      <c r="E683" s="1">
        <v>3.5158399999999999</v>
      </c>
    </row>
    <row r="684" spans="4:5">
      <c r="D684" s="1">
        <v>6790</v>
      </c>
      <c r="E684" s="1">
        <v>3.5158399999999999</v>
      </c>
    </row>
    <row r="685" spans="4:5">
      <c r="D685" s="1">
        <v>6800</v>
      </c>
      <c r="E685" s="1">
        <v>3.6835300000000002</v>
      </c>
    </row>
    <row r="686" spans="4:5">
      <c r="D686" s="1">
        <v>6810</v>
      </c>
      <c r="E686" s="1">
        <v>3.6835300000000002</v>
      </c>
    </row>
    <row r="687" spans="4:5">
      <c r="D687" s="1">
        <v>6820</v>
      </c>
      <c r="E687" s="1">
        <v>4.4005000000000001</v>
      </c>
    </row>
    <row r="688" spans="4:5">
      <c r="D688" s="1">
        <v>6830</v>
      </c>
      <c r="E688" s="1">
        <v>4.4005000000000001</v>
      </c>
    </row>
    <row r="689" spans="4:5">
      <c r="D689" s="1">
        <v>6840</v>
      </c>
      <c r="E689" s="1">
        <v>3.2409400000000002</v>
      </c>
    </row>
    <row r="690" spans="4:5">
      <c r="D690" s="1">
        <v>6850</v>
      </c>
      <c r="E690" s="1">
        <v>3.2409400000000002</v>
      </c>
    </row>
    <row r="691" spans="4:5">
      <c r="D691" s="1">
        <v>6860</v>
      </c>
      <c r="E691" s="1">
        <v>3.8471099999999998</v>
      </c>
    </row>
    <row r="692" spans="4:5">
      <c r="D692" s="1">
        <v>6870</v>
      </c>
      <c r="E692" s="1">
        <v>3.8471099999999998</v>
      </c>
    </row>
    <row r="693" spans="4:5">
      <c r="D693" s="1">
        <v>6880</v>
      </c>
      <c r="E693" s="1">
        <v>4.1760799999999998</v>
      </c>
    </row>
    <row r="694" spans="4:5">
      <c r="D694" s="1">
        <v>6890</v>
      </c>
      <c r="E694" s="1">
        <v>4.1760799999999998</v>
      </c>
    </row>
    <row r="695" spans="4:5">
      <c r="D695" s="1">
        <v>6900</v>
      </c>
      <c r="E695" s="1">
        <v>3.6660300000000001</v>
      </c>
    </row>
    <row r="696" spans="4:5">
      <c r="D696" s="1">
        <v>6910</v>
      </c>
      <c r="E696" s="1">
        <v>3.6660300000000001</v>
      </c>
    </row>
    <row r="697" spans="4:5">
      <c r="D697" s="1">
        <v>6920</v>
      </c>
      <c r="E697" s="1">
        <v>3.88741</v>
      </c>
    </row>
    <row r="698" spans="4:5">
      <c r="D698" s="1">
        <v>6930</v>
      </c>
      <c r="E698" s="1">
        <v>3.88741</v>
      </c>
    </row>
    <row r="699" spans="4:5">
      <c r="D699" s="1">
        <v>6940</v>
      </c>
      <c r="E699" s="1">
        <v>3.6947899999999998</v>
      </c>
    </row>
    <row r="700" spans="4:5">
      <c r="D700" s="1">
        <v>6950</v>
      </c>
      <c r="E700" s="1">
        <v>3.6947899999999998</v>
      </c>
    </row>
    <row r="701" spans="4:5">
      <c r="D701" s="1">
        <v>6960</v>
      </c>
      <c r="E701" s="1">
        <v>3.97932</v>
      </c>
    </row>
    <row r="702" spans="4:5">
      <c r="D702" s="1">
        <v>6970</v>
      </c>
      <c r="E702" s="1">
        <v>3.97932</v>
      </c>
    </row>
    <row r="703" spans="4:5">
      <c r="D703" s="1">
        <v>6980</v>
      </c>
      <c r="E703" s="1">
        <v>3.3208099999999998</v>
      </c>
    </row>
    <row r="704" spans="4:5">
      <c r="D704" s="1">
        <v>6990</v>
      </c>
      <c r="E704" s="1">
        <v>3.3208099999999998</v>
      </c>
    </row>
    <row r="705" spans="4:5">
      <c r="D705" s="1">
        <v>7000</v>
      </c>
      <c r="E705" s="1">
        <v>3.89263</v>
      </c>
    </row>
    <row r="706" spans="4:5">
      <c r="D706" s="1">
        <v>7010</v>
      </c>
      <c r="E706" s="1">
        <v>3.89263</v>
      </c>
    </row>
    <row r="707" spans="4:5">
      <c r="D707" s="1">
        <v>7020</v>
      </c>
      <c r="E707" s="1">
        <v>4.2399100000000001</v>
      </c>
    </row>
    <row r="708" spans="4:5">
      <c r="D708" s="1">
        <v>7030</v>
      </c>
      <c r="E708" s="1">
        <v>4.2399100000000001</v>
      </c>
    </row>
    <row r="709" spans="4:5">
      <c r="D709" s="1">
        <v>7040</v>
      </c>
      <c r="E709" s="1">
        <v>4.4546599999999996</v>
      </c>
    </row>
    <row r="710" spans="4:5">
      <c r="D710" s="1">
        <v>7050</v>
      </c>
      <c r="E710" s="1">
        <v>4.4546599999999996</v>
      </c>
    </row>
    <row r="711" spans="4:5">
      <c r="D711" s="1">
        <v>7060</v>
      </c>
      <c r="E711" s="1">
        <v>3.3145199999999999</v>
      </c>
    </row>
    <row r="712" spans="4:5">
      <c r="D712" s="1">
        <v>7070</v>
      </c>
      <c r="E712" s="1">
        <v>3.3145199999999999</v>
      </c>
    </row>
    <row r="713" spans="4:5">
      <c r="D713" s="1">
        <v>7080</v>
      </c>
      <c r="E713" s="1">
        <v>3.2958500000000002</v>
      </c>
    </row>
    <row r="714" spans="4:5">
      <c r="D714" s="1">
        <v>7090</v>
      </c>
      <c r="E714" s="1">
        <v>3.2958500000000002</v>
      </c>
    </row>
    <row r="715" spans="4:5">
      <c r="D715" s="1">
        <v>7100</v>
      </c>
      <c r="E715" s="1">
        <v>3.8760699999999999</v>
      </c>
    </row>
    <row r="716" spans="4:5">
      <c r="D716" s="1">
        <v>7110</v>
      </c>
      <c r="E716" s="1">
        <v>3.8760699999999999</v>
      </c>
    </row>
    <row r="717" spans="4:5">
      <c r="D717" s="1">
        <v>7120</v>
      </c>
      <c r="E717" s="1">
        <v>3.6316000000000002</v>
      </c>
    </row>
    <row r="718" spans="4:5">
      <c r="D718" s="1">
        <v>7130</v>
      </c>
      <c r="E718" s="1">
        <v>3.6316000000000002</v>
      </c>
    </row>
    <row r="719" spans="4:5">
      <c r="D719" s="1">
        <v>7140</v>
      </c>
      <c r="E719" s="1">
        <v>4.0170199999999996</v>
      </c>
    </row>
    <row r="720" spans="4:5">
      <c r="D720" s="1">
        <v>7150</v>
      </c>
      <c r="E720" s="1">
        <v>4.0170199999999996</v>
      </c>
    </row>
    <row r="721" spans="4:5">
      <c r="D721" s="1">
        <v>7160</v>
      </c>
      <c r="E721" s="1">
        <v>3.5540099999999999</v>
      </c>
    </row>
    <row r="722" spans="4:5">
      <c r="D722" s="1">
        <v>7170</v>
      </c>
      <c r="E722" s="1">
        <v>3.5540099999999999</v>
      </c>
    </row>
    <row r="723" spans="4:5">
      <c r="D723" s="1">
        <v>7180</v>
      </c>
      <c r="E723" s="1">
        <v>4.1111700000000004</v>
      </c>
    </row>
    <row r="724" spans="4:5">
      <c r="D724" s="1">
        <v>7190</v>
      </c>
      <c r="E724" s="1">
        <v>4.1111700000000004</v>
      </c>
    </row>
    <row r="725" spans="4:5">
      <c r="D725" s="1">
        <v>7200</v>
      </c>
      <c r="E725" s="1">
        <v>3.6951399999999999</v>
      </c>
    </row>
    <row r="726" spans="4:5">
      <c r="D726" s="1">
        <v>7210</v>
      </c>
      <c r="E726" s="1">
        <v>3.6951399999999999</v>
      </c>
    </row>
    <row r="727" spans="4:5">
      <c r="D727" s="1">
        <v>7220</v>
      </c>
      <c r="E727" s="1">
        <v>4.1514600000000002</v>
      </c>
    </row>
    <row r="728" spans="4:5">
      <c r="D728" s="1">
        <v>7230</v>
      </c>
      <c r="E728" s="1">
        <v>4.1514600000000002</v>
      </c>
    </row>
    <row r="729" spans="4:5">
      <c r="D729" s="1">
        <v>7240</v>
      </c>
      <c r="E729" s="1">
        <v>4.0015299999999998</v>
      </c>
    </row>
    <row r="730" spans="4:5">
      <c r="D730" s="1">
        <v>7250</v>
      </c>
      <c r="E730" s="1">
        <v>4.0015299999999998</v>
      </c>
    </row>
    <row r="731" spans="4:5">
      <c r="D731" s="1">
        <v>7260</v>
      </c>
      <c r="E731" s="1">
        <v>3.7277800000000001</v>
      </c>
    </row>
    <row r="732" spans="4:5">
      <c r="D732" s="1">
        <v>7270</v>
      </c>
      <c r="E732" s="1">
        <v>3.7277800000000001</v>
      </c>
    </row>
    <row r="733" spans="4:5">
      <c r="D733" s="1">
        <v>7280</v>
      </c>
      <c r="E733" s="1">
        <v>3.9241799999999998</v>
      </c>
    </row>
    <row r="734" spans="4:5">
      <c r="D734" s="1">
        <v>7290</v>
      </c>
      <c r="E734" s="1">
        <v>3.9241799999999998</v>
      </c>
    </row>
    <row r="735" spans="4:5">
      <c r="D735" s="1">
        <v>7300</v>
      </c>
      <c r="E735" s="1">
        <v>4.1971299999999996</v>
      </c>
    </row>
    <row r="736" spans="4:5">
      <c r="D736" s="1">
        <v>7310</v>
      </c>
      <c r="E736" s="1">
        <v>4.1971299999999996</v>
      </c>
    </row>
    <row r="737" spans="4:5">
      <c r="D737" s="1">
        <v>7320</v>
      </c>
      <c r="E737" s="1">
        <v>3.2336299999999998</v>
      </c>
    </row>
    <row r="738" spans="4:5">
      <c r="D738" s="1">
        <v>7330</v>
      </c>
      <c r="E738" s="1">
        <v>3.2336299999999998</v>
      </c>
    </row>
    <row r="739" spans="4:5">
      <c r="D739" s="1">
        <v>7340</v>
      </c>
      <c r="E739" s="1">
        <v>4.3901700000000003</v>
      </c>
    </row>
    <row r="740" spans="4:5">
      <c r="D740" s="1">
        <v>7350</v>
      </c>
      <c r="E740" s="1">
        <v>4.3901700000000003</v>
      </c>
    </row>
    <row r="741" spans="4:5">
      <c r="D741" s="1">
        <v>7360</v>
      </c>
      <c r="E741" s="1">
        <v>4.0129900000000003</v>
      </c>
    </row>
    <row r="742" spans="4:5">
      <c r="D742" s="1">
        <v>7370</v>
      </c>
      <c r="E742" s="1">
        <v>4.0129900000000003</v>
      </c>
    </row>
    <row r="743" spans="4:5">
      <c r="D743" s="1">
        <v>7380</v>
      </c>
      <c r="E743" s="1">
        <v>3.0405799999999998</v>
      </c>
    </row>
    <row r="744" spans="4:5">
      <c r="D744" s="1">
        <v>7390</v>
      </c>
      <c r="E744" s="1">
        <v>3.0405799999999998</v>
      </c>
    </row>
    <row r="745" spans="4:5">
      <c r="D745" s="1">
        <v>7400</v>
      </c>
      <c r="E745" s="1">
        <v>3.8411499999999998</v>
      </c>
    </row>
    <row r="746" spans="4:5">
      <c r="D746" s="1">
        <v>7410</v>
      </c>
      <c r="E746" s="1">
        <v>3.8411499999999998</v>
      </c>
    </row>
    <row r="747" spans="4:5">
      <c r="D747" s="1">
        <v>7420</v>
      </c>
      <c r="E747" s="1">
        <v>4.1868100000000004</v>
      </c>
    </row>
    <row r="748" spans="4:5">
      <c r="D748" s="1">
        <v>7430</v>
      </c>
      <c r="E748" s="1">
        <v>4.1868100000000004</v>
      </c>
    </row>
    <row r="749" spans="4:5">
      <c r="D749" s="1">
        <v>7440</v>
      </c>
      <c r="E749" s="1">
        <v>3.4449000000000001</v>
      </c>
    </row>
    <row r="750" spans="4:5">
      <c r="D750" s="1">
        <v>7450</v>
      </c>
      <c r="E750" s="1">
        <v>3.4449000000000001</v>
      </c>
    </row>
    <row r="751" spans="4:5">
      <c r="D751" s="1">
        <v>7460</v>
      </c>
      <c r="E751" s="1">
        <v>3.7598199999999999</v>
      </c>
    </row>
    <row r="752" spans="4:5">
      <c r="D752" s="1">
        <v>7470</v>
      </c>
      <c r="E752" s="1">
        <v>3.7598199999999999</v>
      </c>
    </row>
    <row r="753" spans="4:5">
      <c r="D753" s="1">
        <v>7480</v>
      </c>
      <c r="E753" s="1">
        <v>3.5714700000000001</v>
      </c>
    </row>
    <row r="754" spans="4:5">
      <c r="D754" s="1">
        <v>7490</v>
      </c>
      <c r="E754" s="1">
        <v>3.5714700000000001</v>
      </c>
    </row>
    <row r="755" spans="4:5">
      <c r="D755" s="1">
        <v>7500</v>
      </c>
      <c r="E755" s="1">
        <v>4.2665899999999999</v>
      </c>
    </row>
    <row r="756" spans="4:5">
      <c r="D756" s="1">
        <v>7510</v>
      </c>
      <c r="E756" s="1">
        <v>4.2665899999999999</v>
      </c>
    </row>
    <row r="757" spans="4:5">
      <c r="D757" s="1">
        <v>7520</v>
      </c>
      <c r="E757" s="1">
        <v>3.6981799999999998</v>
      </c>
    </row>
    <row r="758" spans="4:5">
      <c r="D758" s="1">
        <v>7530</v>
      </c>
      <c r="E758" s="1">
        <v>3.6981799999999998</v>
      </c>
    </row>
    <row r="759" spans="4:5">
      <c r="D759" s="1">
        <v>7540</v>
      </c>
      <c r="E759" s="1">
        <v>3.9732099999999999</v>
      </c>
    </row>
    <row r="760" spans="4:5">
      <c r="D760" s="1">
        <v>7550</v>
      </c>
      <c r="E760" s="1">
        <v>3.9732099999999999</v>
      </c>
    </row>
    <row r="761" spans="4:5">
      <c r="D761" s="1">
        <v>7560</v>
      </c>
      <c r="E761" s="1">
        <v>3.76058</v>
      </c>
    </row>
    <row r="762" spans="4:5">
      <c r="D762" s="1">
        <v>7570</v>
      </c>
      <c r="E762" s="1">
        <v>3.76058</v>
      </c>
    </row>
    <row r="763" spans="4:5">
      <c r="D763" s="1">
        <v>7580</v>
      </c>
      <c r="E763" s="1">
        <v>3.6088399999999998</v>
      </c>
    </row>
    <row r="764" spans="4:5">
      <c r="D764" s="1">
        <v>7590</v>
      </c>
      <c r="E764" s="1">
        <v>3.6088399999999998</v>
      </c>
    </row>
    <row r="765" spans="4:5">
      <c r="D765" s="1">
        <v>7600</v>
      </c>
      <c r="E765" s="1">
        <v>3.7171500000000002</v>
      </c>
    </row>
    <row r="766" spans="4:5">
      <c r="D766" s="1">
        <v>7610</v>
      </c>
      <c r="E766" s="1">
        <v>3.7171500000000002</v>
      </c>
    </row>
    <row r="767" spans="4:5">
      <c r="D767" s="1">
        <v>7620</v>
      </c>
      <c r="E767" s="1">
        <v>4.1147400000000003</v>
      </c>
    </row>
    <row r="768" spans="4:5">
      <c r="D768" s="1">
        <v>7630</v>
      </c>
      <c r="E768" s="1">
        <v>4.1147400000000003</v>
      </c>
    </row>
    <row r="769" spans="4:5">
      <c r="D769" s="1">
        <v>7640</v>
      </c>
      <c r="E769" s="1">
        <v>4.0989599999999999</v>
      </c>
    </row>
    <row r="770" spans="4:5">
      <c r="D770" s="1">
        <v>7650</v>
      </c>
      <c r="E770" s="1">
        <v>4.0989599999999999</v>
      </c>
    </row>
    <row r="771" spans="4:5">
      <c r="D771" s="1">
        <v>7660</v>
      </c>
      <c r="E771" s="1">
        <v>4.07606</v>
      </c>
    </row>
    <row r="772" spans="4:5">
      <c r="D772" s="1">
        <v>7670</v>
      </c>
      <c r="E772" s="1">
        <v>4.07606</v>
      </c>
    </row>
    <row r="773" spans="4:5">
      <c r="D773" s="1">
        <v>7680</v>
      </c>
      <c r="E773" s="1">
        <v>3.8130199999999999</v>
      </c>
    </row>
    <row r="774" spans="4:5">
      <c r="D774" s="1">
        <v>7690</v>
      </c>
      <c r="E774" s="1">
        <v>3.8130199999999999</v>
      </c>
    </row>
    <row r="775" spans="4:5">
      <c r="D775" s="1">
        <v>7700</v>
      </c>
      <c r="E775" s="1">
        <v>4.0998400000000004</v>
      </c>
    </row>
    <row r="776" spans="4:5">
      <c r="D776" s="1">
        <v>7710</v>
      </c>
      <c r="E776" s="1">
        <v>4.0998400000000004</v>
      </c>
    </row>
    <row r="777" spans="4:5">
      <c r="D777" s="1">
        <v>7720</v>
      </c>
      <c r="E777" s="1">
        <v>4.1845699999999999</v>
      </c>
    </row>
    <row r="778" spans="4:5">
      <c r="D778" s="1">
        <v>7730</v>
      </c>
      <c r="E778" s="1">
        <v>4.1845699999999999</v>
      </c>
    </row>
    <row r="779" spans="4:5">
      <c r="D779" s="1">
        <v>7740</v>
      </c>
      <c r="E779" s="1">
        <v>3.81867</v>
      </c>
    </row>
    <row r="780" spans="4:5">
      <c r="D780" s="1">
        <v>7750</v>
      </c>
      <c r="E780" s="1">
        <v>3.81867</v>
      </c>
    </row>
    <row r="781" spans="4:5">
      <c r="D781" s="1">
        <v>7760</v>
      </c>
      <c r="E781" s="1">
        <v>3.9971999999999999</v>
      </c>
    </row>
    <row r="782" spans="4:5">
      <c r="D782" s="1">
        <v>7770</v>
      </c>
      <c r="E782" s="1">
        <v>3.9971999999999999</v>
      </c>
    </row>
    <row r="783" spans="4:5">
      <c r="D783" s="1">
        <v>7780</v>
      </c>
      <c r="E783" s="1">
        <v>3.9557799999999999</v>
      </c>
    </row>
    <row r="784" spans="4:5">
      <c r="D784" s="1">
        <v>7790</v>
      </c>
      <c r="E784" s="1">
        <v>3.9557799999999999</v>
      </c>
    </row>
    <row r="785" spans="4:5">
      <c r="D785" s="1">
        <v>7800</v>
      </c>
      <c r="E785" s="1">
        <v>3.8633099999999998</v>
      </c>
    </row>
    <row r="786" spans="4:5">
      <c r="D786" s="1">
        <v>7810</v>
      </c>
      <c r="E786" s="1">
        <v>3.8633099999999998</v>
      </c>
    </row>
    <row r="787" spans="4:5">
      <c r="D787" s="1">
        <v>7820</v>
      </c>
      <c r="E787" s="1">
        <v>4.0872900000000003</v>
      </c>
    </row>
    <row r="788" spans="4:5">
      <c r="D788" s="1">
        <v>7830</v>
      </c>
      <c r="E788" s="1">
        <v>4.0872900000000003</v>
      </c>
    </row>
    <row r="789" spans="4:5">
      <c r="D789" s="1">
        <v>7840</v>
      </c>
      <c r="E789" s="1">
        <v>3.62229</v>
      </c>
    </row>
    <row r="790" spans="4:5">
      <c r="D790" s="1">
        <v>7850</v>
      </c>
      <c r="E790" s="1">
        <v>3.62229</v>
      </c>
    </row>
    <row r="791" spans="4:5">
      <c r="D791" s="1">
        <v>7860</v>
      </c>
      <c r="E791" s="1">
        <v>3.7630400000000002</v>
      </c>
    </row>
    <row r="792" spans="4:5">
      <c r="D792" s="1">
        <v>7870</v>
      </c>
      <c r="E792" s="1">
        <v>3.7630400000000002</v>
      </c>
    </row>
    <row r="793" spans="4:5">
      <c r="D793" s="1">
        <v>7880</v>
      </c>
      <c r="E793" s="1">
        <v>3.8786800000000001</v>
      </c>
    </row>
    <row r="794" spans="4:5">
      <c r="D794" s="1">
        <v>7890</v>
      </c>
      <c r="E794" s="1">
        <v>3.8786800000000001</v>
      </c>
    </row>
    <row r="795" spans="4:5">
      <c r="D795" s="1">
        <v>7900</v>
      </c>
      <c r="E795" s="1">
        <v>4.0346200000000003</v>
      </c>
    </row>
    <row r="796" spans="4:5">
      <c r="D796" s="1">
        <v>7910</v>
      </c>
      <c r="E796" s="1">
        <v>4.0346200000000003</v>
      </c>
    </row>
    <row r="797" spans="4:5">
      <c r="D797" s="1">
        <v>7920</v>
      </c>
      <c r="E797" s="1">
        <v>4.0756600000000001</v>
      </c>
    </row>
    <row r="798" spans="4:5">
      <c r="D798" s="1">
        <v>7930</v>
      </c>
      <c r="E798" s="1">
        <v>4.0756600000000001</v>
      </c>
    </row>
    <row r="799" spans="4:5">
      <c r="D799" s="1">
        <v>7940</v>
      </c>
      <c r="E799" s="1">
        <v>4.08371</v>
      </c>
    </row>
    <row r="800" spans="4:5">
      <c r="D800" s="1">
        <v>7950</v>
      </c>
      <c r="E800" s="1">
        <v>4.08371</v>
      </c>
    </row>
    <row r="801" spans="4:5">
      <c r="D801" s="1">
        <v>7960</v>
      </c>
      <c r="E801" s="1">
        <v>3.7805200000000001</v>
      </c>
    </row>
    <row r="802" spans="4:5">
      <c r="D802" s="1">
        <v>7970</v>
      </c>
      <c r="E802" s="1">
        <v>3.7805200000000001</v>
      </c>
    </row>
    <row r="803" spans="4:5">
      <c r="D803" s="1">
        <v>7980</v>
      </c>
      <c r="E803" s="1">
        <v>4.06243</v>
      </c>
    </row>
    <row r="804" spans="4:5">
      <c r="D804" s="1">
        <v>7990</v>
      </c>
      <c r="E804" s="1">
        <v>4.06243</v>
      </c>
    </row>
    <row r="805" spans="4:5">
      <c r="D805" s="1">
        <v>8000</v>
      </c>
      <c r="E805" s="1">
        <v>4.0919499999999998</v>
      </c>
    </row>
    <row r="806" spans="4:5">
      <c r="D806" s="1">
        <v>8010</v>
      </c>
      <c r="E806" s="1">
        <v>4.0919499999999998</v>
      </c>
    </row>
    <row r="807" spans="4:5">
      <c r="D807" s="1">
        <v>8020</v>
      </c>
      <c r="E807" s="1">
        <v>3.7751000000000001</v>
      </c>
    </row>
    <row r="808" spans="4:5">
      <c r="D808" s="1">
        <v>8030</v>
      </c>
      <c r="E808" s="1">
        <v>3.7751000000000001</v>
      </c>
    </row>
    <row r="809" spans="4:5">
      <c r="D809" s="1">
        <v>8040</v>
      </c>
      <c r="E809" s="1">
        <v>3.7679499999999999</v>
      </c>
    </row>
    <row r="810" spans="4:5">
      <c r="D810" s="1">
        <v>8050</v>
      </c>
      <c r="E810" s="1">
        <v>3.7679499999999999</v>
      </c>
    </row>
    <row r="811" spans="4:5">
      <c r="D811" s="1">
        <v>8060</v>
      </c>
      <c r="E811" s="1">
        <v>4.0105199999999996</v>
      </c>
    </row>
    <row r="812" spans="4:5">
      <c r="D812" s="1">
        <v>8070</v>
      </c>
      <c r="E812" s="1">
        <v>4.0105199999999996</v>
      </c>
    </row>
    <row r="813" spans="4:5">
      <c r="D813" s="1">
        <v>8080</v>
      </c>
      <c r="E813" s="1">
        <v>3.88314</v>
      </c>
    </row>
    <row r="814" spans="4:5">
      <c r="D814" s="1">
        <v>8090</v>
      </c>
      <c r="E814" s="1">
        <v>3.88314</v>
      </c>
    </row>
    <row r="815" spans="4:5">
      <c r="D815" s="1">
        <v>8100</v>
      </c>
      <c r="E815" s="1">
        <v>3.9912700000000001</v>
      </c>
    </row>
    <row r="816" spans="4:5">
      <c r="D816" s="1">
        <v>8110</v>
      </c>
      <c r="E816" s="1">
        <v>3.9912700000000001</v>
      </c>
    </row>
    <row r="817" spans="4:5">
      <c r="D817" s="1">
        <v>8120</v>
      </c>
      <c r="E817" s="1">
        <v>3.93262</v>
      </c>
    </row>
    <row r="818" spans="4:5">
      <c r="D818" s="1">
        <v>8130</v>
      </c>
      <c r="E818" s="1">
        <v>3.93262</v>
      </c>
    </row>
    <row r="819" spans="4:5">
      <c r="D819" s="1">
        <v>8140</v>
      </c>
      <c r="E819" s="1">
        <v>3.7947799999999998</v>
      </c>
    </row>
    <row r="820" spans="4:5">
      <c r="D820" s="1">
        <v>8150</v>
      </c>
      <c r="E820" s="1">
        <v>3.7947799999999998</v>
      </c>
    </row>
    <row r="821" spans="4:5">
      <c r="D821" s="1">
        <v>8160</v>
      </c>
      <c r="E821" s="1">
        <v>3.9657499999999999</v>
      </c>
    </row>
    <row r="822" spans="4:5">
      <c r="D822" s="1">
        <v>8170</v>
      </c>
      <c r="E822" s="1">
        <v>3.9657499999999999</v>
      </c>
    </row>
    <row r="823" spans="4:5">
      <c r="D823" s="1">
        <v>8180</v>
      </c>
      <c r="E823" s="1">
        <v>4.0916699999999997</v>
      </c>
    </row>
    <row r="824" spans="4:5">
      <c r="D824" s="1">
        <v>8190</v>
      </c>
      <c r="E824" s="1">
        <v>4.0916699999999997</v>
      </c>
    </row>
    <row r="825" spans="4:5">
      <c r="D825" s="1">
        <v>8200</v>
      </c>
      <c r="E825" s="1">
        <v>3.5253800000000002</v>
      </c>
    </row>
    <row r="826" spans="4:5">
      <c r="D826" s="1">
        <v>8210</v>
      </c>
      <c r="E826" s="1">
        <v>3.5253800000000002</v>
      </c>
    </row>
    <row r="827" spans="4:5">
      <c r="D827" s="1">
        <v>8220</v>
      </c>
      <c r="E827" s="1">
        <v>4.1055799999999998</v>
      </c>
    </row>
    <row r="828" spans="4:5">
      <c r="D828" s="1">
        <v>8230</v>
      </c>
      <c r="E828" s="1">
        <v>4.1055799999999998</v>
      </c>
    </row>
    <row r="829" spans="4:5">
      <c r="D829" s="1">
        <v>8240</v>
      </c>
      <c r="E829" s="1">
        <v>3.8984000000000001</v>
      </c>
    </row>
    <row r="830" spans="4:5">
      <c r="D830" s="1">
        <v>8250</v>
      </c>
      <c r="E830" s="1">
        <v>3.8984000000000001</v>
      </c>
    </row>
    <row r="831" spans="4:5">
      <c r="D831" s="1">
        <v>8260</v>
      </c>
      <c r="E831" s="1">
        <v>4.1655499999999996</v>
      </c>
    </row>
    <row r="832" spans="4:5">
      <c r="D832" s="1">
        <v>8270</v>
      </c>
      <c r="E832" s="1">
        <v>4.1655499999999996</v>
      </c>
    </row>
    <row r="833" spans="4:5">
      <c r="D833" s="1">
        <v>8280</v>
      </c>
      <c r="E833" s="1">
        <v>4.1000699999999997</v>
      </c>
    </row>
    <row r="834" spans="4:5">
      <c r="D834" s="1">
        <v>8290</v>
      </c>
      <c r="E834" s="1">
        <v>4.1000699999999997</v>
      </c>
    </row>
    <row r="835" spans="4:5">
      <c r="D835" s="1">
        <v>8300</v>
      </c>
      <c r="E835" s="1">
        <v>3.9270700000000001</v>
      </c>
    </row>
    <row r="836" spans="4:5">
      <c r="D836" s="1">
        <v>8310</v>
      </c>
      <c r="E836" s="1">
        <v>3.9270700000000001</v>
      </c>
    </row>
    <row r="837" spans="4:5">
      <c r="D837" s="1">
        <v>8320</v>
      </c>
      <c r="E837" s="1">
        <v>3.8403299999999998</v>
      </c>
    </row>
    <row r="838" spans="4:5">
      <c r="D838" s="1">
        <v>8330</v>
      </c>
      <c r="E838" s="1">
        <v>3.8403299999999998</v>
      </c>
    </row>
    <row r="839" spans="4:5">
      <c r="D839" s="1">
        <v>8340</v>
      </c>
      <c r="E839" s="1">
        <v>4.0535500000000004</v>
      </c>
    </row>
    <row r="840" spans="4:5">
      <c r="D840" s="1">
        <v>8350</v>
      </c>
      <c r="E840" s="1">
        <v>4.0535500000000004</v>
      </c>
    </row>
    <row r="841" spans="4:5">
      <c r="D841" s="1">
        <v>8360</v>
      </c>
      <c r="E841" s="1">
        <v>3.9404599999999999</v>
      </c>
    </row>
    <row r="842" spans="4:5">
      <c r="D842" s="1">
        <v>8370</v>
      </c>
      <c r="E842" s="1">
        <v>3.9404599999999999</v>
      </c>
    </row>
    <row r="843" spans="4:5">
      <c r="D843" s="1">
        <v>8380</v>
      </c>
      <c r="E843" s="1">
        <v>3.7856100000000001</v>
      </c>
    </row>
    <row r="844" spans="4:5">
      <c r="D844" s="1">
        <v>8390</v>
      </c>
      <c r="E844" s="1">
        <v>3.7856100000000001</v>
      </c>
    </row>
    <row r="845" spans="4:5">
      <c r="D845" s="1">
        <v>8400</v>
      </c>
      <c r="E845" s="1">
        <v>3.5945200000000002</v>
      </c>
    </row>
    <row r="846" spans="4:5">
      <c r="D846" s="1">
        <v>8410</v>
      </c>
      <c r="E846" s="1">
        <v>3.5945200000000002</v>
      </c>
    </row>
    <row r="847" spans="4:5">
      <c r="D847" s="1">
        <v>8420</v>
      </c>
      <c r="E847" s="1">
        <v>4.1070599999999997</v>
      </c>
    </row>
    <row r="848" spans="4:5">
      <c r="D848" s="1">
        <v>8430</v>
      </c>
      <c r="E848" s="1">
        <v>4.1070599999999997</v>
      </c>
    </row>
    <row r="849" spans="4:5">
      <c r="D849" s="1">
        <v>8440</v>
      </c>
      <c r="E849" s="1">
        <v>3.8309099999999998</v>
      </c>
    </row>
    <row r="850" spans="4:5">
      <c r="D850" s="1">
        <v>8450</v>
      </c>
      <c r="E850" s="1">
        <v>3.8309099999999998</v>
      </c>
    </row>
    <row r="851" spans="4:5">
      <c r="D851" s="1">
        <v>8460</v>
      </c>
      <c r="E851" s="1">
        <v>3.9604599999999999</v>
      </c>
    </row>
    <row r="852" spans="4:5">
      <c r="D852" s="1">
        <v>8470</v>
      </c>
      <c r="E852" s="1">
        <v>3.9604599999999999</v>
      </c>
    </row>
    <row r="853" spans="4:5">
      <c r="D853" s="1">
        <v>8480</v>
      </c>
      <c r="E853" s="1">
        <v>3.81257</v>
      </c>
    </row>
    <row r="854" spans="4:5">
      <c r="D854" s="1">
        <v>8490</v>
      </c>
      <c r="E854" s="1">
        <v>3.81257</v>
      </c>
    </row>
    <row r="855" spans="4:5">
      <c r="D855" s="1">
        <v>8500</v>
      </c>
      <c r="E855" s="1">
        <v>3.7311299999999998</v>
      </c>
    </row>
    <row r="856" spans="4:5">
      <c r="D856" s="1">
        <v>8510</v>
      </c>
      <c r="E856" s="1">
        <v>3.7311299999999998</v>
      </c>
    </row>
    <row r="857" spans="4:5">
      <c r="D857" s="1">
        <v>8520</v>
      </c>
      <c r="E857" s="1">
        <v>4.1453600000000002</v>
      </c>
    </row>
    <row r="858" spans="4:5">
      <c r="D858" s="1">
        <v>8530</v>
      </c>
      <c r="E858" s="1">
        <v>4.1453600000000002</v>
      </c>
    </row>
    <row r="859" spans="4:5">
      <c r="D859" s="1">
        <v>8540</v>
      </c>
      <c r="E859" s="1">
        <v>4.1457300000000004</v>
      </c>
    </row>
    <row r="860" spans="4:5">
      <c r="D860" s="1">
        <v>8550</v>
      </c>
      <c r="E860" s="1">
        <v>4.1457300000000004</v>
      </c>
    </row>
    <row r="861" spans="4:5">
      <c r="D861" s="1">
        <v>8560</v>
      </c>
      <c r="E861" s="1">
        <v>3.8387500000000001</v>
      </c>
    </row>
    <row r="862" spans="4:5">
      <c r="D862" s="1">
        <v>8570</v>
      </c>
      <c r="E862" s="1">
        <v>3.8387500000000001</v>
      </c>
    </row>
    <row r="863" spans="4:5">
      <c r="D863" s="1">
        <v>8580</v>
      </c>
      <c r="E863" s="1">
        <v>3.5534599999999998</v>
      </c>
    </row>
    <row r="864" spans="4:5">
      <c r="D864" s="1">
        <v>8590</v>
      </c>
      <c r="E864" s="1">
        <v>3.5534599999999998</v>
      </c>
    </row>
    <row r="865" spans="4:5">
      <c r="D865" s="1">
        <v>8600</v>
      </c>
      <c r="E865" s="1">
        <v>3.9865499999999998</v>
      </c>
    </row>
    <row r="866" spans="4:5">
      <c r="D866" s="1">
        <v>8610</v>
      </c>
      <c r="E866" s="1">
        <v>3.9865499999999998</v>
      </c>
    </row>
    <row r="867" spans="4:5">
      <c r="D867" s="1">
        <v>8620</v>
      </c>
      <c r="E867" s="1">
        <v>3.3017599999999998</v>
      </c>
    </row>
    <row r="868" spans="4:5">
      <c r="D868" s="1">
        <v>8630</v>
      </c>
      <c r="E868" s="1">
        <v>3.3017599999999998</v>
      </c>
    </row>
    <row r="869" spans="4:5">
      <c r="D869" s="1">
        <v>8640</v>
      </c>
      <c r="E869" s="1">
        <v>3.8693</v>
      </c>
    </row>
    <row r="870" spans="4:5">
      <c r="D870" s="1">
        <v>8650</v>
      </c>
      <c r="E870" s="1">
        <v>3.8693</v>
      </c>
    </row>
    <row r="871" spans="4:5">
      <c r="D871" s="1">
        <v>8660</v>
      </c>
      <c r="E871" s="1">
        <v>3.9254199999999999</v>
      </c>
    </row>
    <row r="872" spans="4:5">
      <c r="D872" s="1">
        <v>8670</v>
      </c>
      <c r="E872" s="1">
        <v>3.9254199999999999</v>
      </c>
    </row>
    <row r="873" spans="4:5">
      <c r="D873" s="1">
        <v>8680</v>
      </c>
      <c r="E873" s="1">
        <v>4.2655099999999999</v>
      </c>
    </row>
    <row r="874" spans="4:5">
      <c r="D874" s="1">
        <v>8690</v>
      </c>
      <c r="E874" s="1">
        <v>4.2655099999999999</v>
      </c>
    </row>
    <row r="875" spans="4:5">
      <c r="D875" s="1">
        <v>8700</v>
      </c>
      <c r="E875" s="1">
        <v>4.3228299999999997</v>
      </c>
    </row>
    <row r="876" spans="4:5">
      <c r="D876" s="1">
        <v>8710</v>
      </c>
      <c r="E876" s="1">
        <v>4.3228299999999997</v>
      </c>
    </row>
    <row r="877" spans="4:5">
      <c r="D877" s="1">
        <v>8720</v>
      </c>
      <c r="E877" s="1">
        <v>4.31928</v>
      </c>
    </row>
    <row r="878" spans="4:5">
      <c r="D878" s="1">
        <v>8730</v>
      </c>
      <c r="E878" s="1">
        <v>4.31928</v>
      </c>
    </row>
    <row r="879" spans="4:5">
      <c r="D879" s="1">
        <v>8740</v>
      </c>
      <c r="E879" s="1">
        <v>3.5102000000000002</v>
      </c>
    </row>
    <row r="880" spans="4:5">
      <c r="D880" s="1">
        <v>8750</v>
      </c>
      <c r="E880" s="1">
        <v>3.5102000000000002</v>
      </c>
    </row>
    <row r="881" spans="4:5">
      <c r="D881" s="1">
        <v>8760</v>
      </c>
      <c r="E881" s="1">
        <v>4.1138000000000003</v>
      </c>
    </row>
    <row r="882" spans="4:5">
      <c r="D882" s="1">
        <v>8770</v>
      </c>
      <c r="E882" s="1">
        <v>4.1138000000000003</v>
      </c>
    </row>
    <row r="883" spans="4:5">
      <c r="D883" s="1">
        <v>8780</v>
      </c>
      <c r="E883" s="1">
        <v>3.29481</v>
      </c>
    </row>
    <row r="884" spans="4:5">
      <c r="D884" s="1">
        <v>8790</v>
      </c>
      <c r="E884" s="1">
        <v>3.29481</v>
      </c>
    </row>
    <row r="885" spans="4:5">
      <c r="D885" s="1">
        <v>8800</v>
      </c>
      <c r="E885" s="1">
        <v>3.8426300000000002</v>
      </c>
    </row>
    <row r="886" spans="4:5">
      <c r="D886" s="1">
        <v>8810</v>
      </c>
      <c r="E886" s="1">
        <v>3.8426300000000002</v>
      </c>
    </row>
    <row r="887" spans="4:5">
      <c r="D887" s="1">
        <v>8820</v>
      </c>
      <c r="E887" s="1">
        <v>3.70601</v>
      </c>
    </row>
    <row r="888" spans="4:5">
      <c r="D888" s="1">
        <v>8830</v>
      </c>
      <c r="E888" s="1">
        <v>3.70601</v>
      </c>
    </row>
    <row r="889" spans="4:5">
      <c r="D889" s="1">
        <v>8840</v>
      </c>
      <c r="E889" s="1">
        <v>4.0865900000000002</v>
      </c>
    </row>
    <row r="890" spans="4:5">
      <c r="D890" s="1">
        <v>8850</v>
      </c>
      <c r="E890" s="1">
        <v>4.0865900000000002</v>
      </c>
    </row>
    <row r="891" spans="4:5">
      <c r="D891" s="1">
        <v>8860</v>
      </c>
      <c r="E891" s="1">
        <v>3.6735600000000002</v>
      </c>
    </row>
    <row r="892" spans="4:5">
      <c r="D892" s="1">
        <v>8870</v>
      </c>
      <c r="E892" s="1">
        <v>3.6735600000000002</v>
      </c>
    </row>
    <row r="893" spans="4:5">
      <c r="D893" s="1">
        <v>8880</v>
      </c>
      <c r="E893" s="1">
        <v>4.18628</v>
      </c>
    </row>
    <row r="894" spans="4:5">
      <c r="D894" s="1">
        <v>8890</v>
      </c>
      <c r="E894" s="1">
        <v>4.18628</v>
      </c>
    </row>
    <row r="895" spans="4:5">
      <c r="D895" s="1">
        <v>8900</v>
      </c>
      <c r="E895" s="1">
        <v>3.8682300000000001</v>
      </c>
    </row>
    <row r="896" spans="4:5">
      <c r="D896" s="1">
        <v>8910</v>
      </c>
      <c r="E896" s="1">
        <v>3.8682300000000001</v>
      </c>
    </row>
    <row r="897" spans="4:5">
      <c r="D897" s="1">
        <v>8920</v>
      </c>
      <c r="E897" s="1">
        <v>4.0697000000000001</v>
      </c>
    </row>
    <row r="898" spans="4:5">
      <c r="D898" s="1">
        <v>8930</v>
      </c>
      <c r="E898" s="1">
        <v>4.0697000000000001</v>
      </c>
    </row>
    <row r="899" spans="4:5">
      <c r="D899" s="1">
        <v>8940</v>
      </c>
      <c r="E899" s="1">
        <v>3.6970700000000001</v>
      </c>
    </row>
    <row r="900" spans="4:5">
      <c r="D900" s="1">
        <v>8950</v>
      </c>
      <c r="E900" s="1">
        <v>3.6970700000000001</v>
      </c>
    </row>
    <row r="901" spans="4:5">
      <c r="D901" s="1">
        <v>8960</v>
      </c>
      <c r="E901" s="1">
        <v>3.99153</v>
      </c>
    </row>
    <row r="902" spans="4:5">
      <c r="D902" s="1">
        <v>8970</v>
      </c>
      <c r="E902" s="1">
        <v>3.99153</v>
      </c>
    </row>
    <row r="903" spans="4:5">
      <c r="D903" s="1">
        <v>8980</v>
      </c>
      <c r="E903" s="1">
        <v>4.3090599999999997</v>
      </c>
    </row>
    <row r="904" spans="4:5">
      <c r="D904" s="1">
        <v>8990</v>
      </c>
      <c r="E904" s="1">
        <v>4.3090599999999997</v>
      </c>
    </row>
    <row r="905" spans="4:5">
      <c r="D905" s="1">
        <v>9000</v>
      </c>
      <c r="E905" s="1">
        <v>3.8152300000000001</v>
      </c>
    </row>
    <row r="906" spans="4:5">
      <c r="D906" s="1">
        <v>9010</v>
      </c>
      <c r="E906" s="1">
        <v>3.8152300000000001</v>
      </c>
    </row>
    <row r="907" spans="4:5">
      <c r="D907" s="1">
        <v>9020</v>
      </c>
      <c r="E907" s="1">
        <v>3.8997000000000002</v>
      </c>
    </row>
    <row r="908" spans="4:5">
      <c r="D908" s="1">
        <v>9030</v>
      </c>
      <c r="E908" s="1">
        <v>3.8997000000000002</v>
      </c>
    </row>
    <row r="909" spans="4:5">
      <c r="D909" s="1">
        <v>9040</v>
      </c>
      <c r="E909" s="1">
        <v>4.0579900000000002</v>
      </c>
    </row>
    <row r="910" spans="4:5">
      <c r="D910" s="1">
        <v>9050</v>
      </c>
      <c r="E910" s="1">
        <v>4.0579900000000002</v>
      </c>
    </row>
    <row r="911" spans="4:5">
      <c r="D911" s="1">
        <v>9060</v>
      </c>
      <c r="E911" s="1">
        <v>3.8546299999999998</v>
      </c>
    </row>
    <row r="912" spans="4:5">
      <c r="D912" s="1">
        <v>9070</v>
      </c>
      <c r="E912" s="1">
        <v>3.8546299999999998</v>
      </c>
    </row>
    <row r="913" spans="4:5">
      <c r="D913" s="1">
        <v>9080</v>
      </c>
      <c r="E913" s="1">
        <v>4.1045299999999996</v>
      </c>
    </row>
    <row r="914" spans="4:5">
      <c r="D914" s="1">
        <v>9090</v>
      </c>
      <c r="E914" s="1">
        <v>4.1045299999999996</v>
      </c>
    </row>
    <row r="915" spans="4:5">
      <c r="D915" s="1">
        <v>9100</v>
      </c>
      <c r="E915" s="1">
        <v>4.0568099999999996</v>
      </c>
    </row>
    <row r="916" spans="4:5">
      <c r="D916" s="1">
        <v>9110</v>
      </c>
      <c r="E916" s="1">
        <v>4.0568099999999996</v>
      </c>
    </row>
    <row r="917" spans="4:5">
      <c r="D917" s="1">
        <v>9120</v>
      </c>
      <c r="E917" s="1">
        <v>3.7515499999999999</v>
      </c>
    </row>
    <row r="918" spans="4:5">
      <c r="D918" s="1">
        <v>9130</v>
      </c>
      <c r="E918" s="1">
        <v>3.7515499999999999</v>
      </c>
    </row>
    <row r="919" spans="4:5">
      <c r="D919" s="1">
        <v>9140</v>
      </c>
      <c r="E919" s="1">
        <v>3.7401200000000001</v>
      </c>
    </row>
    <row r="920" spans="4:5">
      <c r="D920" s="1">
        <v>9150</v>
      </c>
      <c r="E920" s="1">
        <v>3.7401200000000001</v>
      </c>
    </row>
    <row r="921" spans="4:5">
      <c r="D921" s="1">
        <v>9160</v>
      </c>
      <c r="E921" s="1">
        <v>3.9910899999999998</v>
      </c>
    </row>
    <row r="922" spans="4:5">
      <c r="D922" s="1">
        <v>9170</v>
      </c>
      <c r="E922" s="1">
        <v>3.9910899999999998</v>
      </c>
    </row>
    <row r="923" spans="4:5">
      <c r="D923" s="1">
        <v>9180</v>
      </c>
      <c r="E923" s="1">
        <v>4.0097300000000002</v>
      </c>
    </row>
    <row r="924" spans="4:5">
      <c r="D924" s="1">
        <v>9190</v>
      </c>
      <c r="E924" s="1">
        <v>4.0097300000000002</v>
      </c>
    </row>
    <row r="925" spans="4:5">
      <c r="D925" s="1">
        <v>9200</v>
      </c>
      <c r="E925" s="1">
        <v>3.83921</v>
      </c>
    </row>
    <row r="926" spans="4:5">
      <c r="D926" s="1">
        <v>9210</v>
      </c>
      <c r="E926" s="1">
        <v>3.83921</v>
      </c>
    </row>
    <row r="927" spans="4:5">
      <c r="D927" s="1">
        <v>9220</v>
      </c>
      <c r="E927" s="1">
        <v>3.85419</v>
      </c>
    </row>
    <row r="928" spans="4:5">
      <c r="D928" s="1">
        <v>9230</v>
      </c>
      <c r="E928" s="1">
        <v>3.85419</v>
      </c>
    </row>
    <row r="929" spans="4:5">
      <c r="D929" s="1">
        <v>9240</v>
      </c>
      <c r="E929" s="1">
        <v>4.0646800000000001</v>
      </c>
    </row>
    <row r="930" spans="4:5">
      <c r="D930" s="1">
        <v>9250</v>
      </c>
      <c r="E930" s="1">
        <v>4.0646800000000001</v>
      </c>
    </row>
    <row r="931" spans="4:5">
      <c r="D931" s="1">
        <v>9260</v>
      </c>
      <c r="E931" s="1">
        <v>3.61341</v>
      </c>
    </row>
    <row r="932" spans="4:5">
      <c r="D932" s="1">
        <v>9270</v>
      </c>
      <c r="E932" s="1">
        <v>3.61341</v>
      </c>
    </row>
    <row r="933" spans="4:5">
      <c r="D933" s="1">
        <v>9280</v>
      </c>
      <c r="E933" s="1">
        <v>3.88287</v>
      </c>
    </row>
    <row r="934" spans="4:5">
      <c r="D934" s="1">
        <v>9290</v>
      </c>
      <c r="E934" s="1">
        <v>3.88287</v>
      </c>
    </row>
    <row r="935" spans="4:5">
      <c r="D935" s="1">
        <v>9300</v>
      </c>
      <c r="E935" s="1">
        <v>3.90802</v>
      </c>
    </row>
    <row r="936" spans="4:5">
      <c r="D936" s="1">
        <v>9310</v>
      </c>
      <c r="E936" s="1">
        <v>3.90802</v>
      </c>
    </row>
    <row r="937" spans="4:5">
      <c r="D937" s="1">
        <v>9320</v>
      </c>
      <c r="E937" s="1">
        <v>3.64249</v>
      </c>
    </row>
    <row r="938" spans="4:5">
      <c r="D938" s="1">
        <v>9330</v>
      </c>
      <c r="E938" s="1">
        <v>3.64249</v>
      </c>
    </row>
    <row r="939" spans="4:5">
      <c r="D939" s="1">
        <v>9340</v>
      </c>
      <c r="E939" s="1">
        <v>3.5136099999999999</v>
      </c>
    </row>
    <row r="940" spans="4:5">
      <c r="D940" s="1">
        <v>9350</v>
      </c>
      <c r="E940" s="1">
        <v>3.5136099999999999</v>
      </c>
    </row>
    <row r="941" spans="4:5">
      <c r="D941" s="1">
        <v>9360</v>
      </c>
      <c r="E941" s="1">
        <v>3.9721700000000002</v>
      </c>
    </row>
    <row r="942" spans="4:5">
      <c r="D942" s="1">
        <v>9370</v>
      </c>
      <c r="E942" s="1">
        <v>3.9721700000000002</v>
      </c>
    </row>
    <row r="943" spans="4:5">
      <c r="D943" s="1">
        <v>9380</v>
      </c>
      <c r="E943" s="1">
        <v>4.0367899999999999</v>
      </c>
    </row>
    <row r="944" spans="4:5">
      <c r="D944" s="1">
        <v>9390</v>
      </c>
      <c r="E944" s="1">
        <v>4.0367899999999999</v>
      </c>
    </row>
    <row r="945" spans="4:5">
      <c r="D945" s="1">
        <v>9400</v>
      </c>
      <c r="E945" s="1">
        <v>4.0726100000000001</v>
      </c>
    </row>
    <row r="946" spans="4:5">
      <c r="D946" s="1">
        <v>9410</v>
      </c>
      <c r="E946" s="1">
        <v>4.0726100000000001</v>
      </c>
    </row>
    <row r="947" spans="4:5">
      <c r="D947" s="1">
        <v>9420</v>
      </c>
      <c r="E947" s="1">
        <v>4.0718199999999998</v>
      </c>
    </row>
    <row r="948" spans="4:5">
      <c r="D948" s="1">
        <v>9430</v>
      </c>
      <c r="E948" s="1">
        <v>4.0718199999999998</v>
      </c>
    </row>
    <row r="949" spans="4:5">
      <c r="D949" s="1">
        <v>9440</v>
      </c>
      <c r="E949" s="1">
        <v>3.6724999999999999</v>
      </c>
    </row>
    <row r="950" spans="4:5">
      <c r="D950" s="1">
        <v>9450</v>
      </c>
      <c r="E950" s="1">
        <v>3.6724999999999999</v>
      </c>
    </row>
    <row r="951" spans="4:5">
      <c r="D951" s="1">
        <v>9460</v>
      </c>
      <c r="E951" s="1">
        <v>4.2128100000000002</v>
      </c>
    </row>
    <row r="952" spans="4:5">
      <c r="D952" s="1">
        <v>9470</v>
      </c>
      <c r="E952" s="1">
        <v>4.2128100000000002</v>
      </c>
    </row>
    <row r="953" spans="4:5">
      <c r="D953" s="1">
        <v>9480</v>
      </c>
      <c r="E953" s="1">
        <v>4.1448299999999998</v>
      </c>
    </row>
    <row r="954" spans="4:5">
      <c r="D954" s="1">
        <v>9490</v>
      </c>
      <c r="E954" s="1">
        <v>4.1448299999999998</v>
      </c>
    </row>
    <row r="955" spans="4:5">
      <c r="D955" s="1">
        <v>9500</v>
      </c>
      <c r="E955" s="1">
        <v>3.8680599999999998</v>
      </c>
    </row>
    <row r="956" spans="4:5">
      <c r="D956" s="1">
        <v>9510</v>
      </c>
      <c r="E956" s="1">
        <v>3.8680599999999998</v>
      </c>
    </row>
    <row r="957" spans="4:5">
      <c r="D957" s="1">
        <v>9520</v>
      </c>
      <c r="E957" s="1">
        <v>4.0236799999999997</v>
      </c>
    </row>
    <row r="958" spans="4:5">
      <c r="D958" s="1">
        <v>9530</v>
      </c>
      <c r="E958" s="1">
        <v>4.0236799999999997</v>
      </c>
    </row>
    <row r="959" spans="4:5">
      <c r="D959" s="1">
        <v>9540</v>
      </c>
      <c r="E959" s="1">
        <v>4.2177600000000002</v>
      </c>
    </row>
    <row r="960" spans="4:5">
      <c r="D960" s="1">
        <v>9550</v>
      </c>
      <c r="E960" s="1">
        <v>4.2177600000000002</v>
      </c>
    </row>
    <row r="961" spans="4:5">
      <c r="D961" s="1">
        <v>9560</v>
      </c>
      <c r="E961" s="1">
        <v>4.2185100000000002</v>
      </c>
    </row>
    <row r="962" spans="4:5">
      <c r="D962" s="1">
        <v>9570</v>
      </c>
      <c r="E962" s="1">
        <v>4.2185100000000002</v>
      </c>
    </row>
    <row r="963" spans="4:5">
      <c r="D963" s="1">
        <v>9580</v>
      </c>
      <c r="E963" s="1">
        <v>3.7524999999999999</v>
      </c>
    </row>
    <row r="964" spans="4:5">
      <c r="D964" s="1">
        <v>9590</v>
      </c>
      <c r="E964" s="1">
        <v>3.7524999999999999</v>
      </c>
    </row>
    <row r="965" spans="4:5">
      <c r="D965" s="1">
        <v>9600</v>
      </c>
      <c r="E965" s="1">
        <v>3.65544</v>
      </c>
    </row>
    <row r="966" spans="4:5">
      <c r="D966" s="1">
        <v>9610</v>
      </c>
      <c r="E966" s="1">
        <v>3.65544</v>
      </c>
    </row>
    <row r="967" spans="4:5">
      <c r="D967" s="1">
        <v>9620</v>
      </c>
      <c r="E967" s="1">
        <v>4.3885500000000004</v>
      </c>
    </row>
    <row r="968" spans="4:5">
      <c r="D968" s="1">
        <v>9630</v>
      </c>
      <c r="E968" s="1">
        <v>4.3885500000000004</v>
      </c>
    </row>
    <row r="969" spans="4:5">
      <c r="D969" s="1">
        <v>9640</v>
      </c>
      <c r="E969" s="1">
        <v>3.9530599999999998</v>
      </c>
    </row>
    <row r="970" spans="4:5">
      <c r="D970" s="1">
        <v>9650</v>
      </c>
      <c r="E970" s="1">
        <v>3.9530599999999998</v>
      </c>
    </row>
    <row r="971" spans="4:5">
      <c r="D971" s="1">
        <v>9660</v>
      </c>
      <c r="E971" s="1">
        <v>3.5586000000000002</v>
      </c>
    </row>
    <row r="972" spans="4:5">
      <c r="D972" s="1">
        <v>9670</v>
      </c>
      <c r="E972" s="1">
        <v>3.5586000000000002</v>
      </c>
    </row>
    <row r="973" spans="4:5">
      <c r="D973" s="1">
        <v>9680</v>
      </c>
      <c r="E973" s="1">
        <v>3.9321600000000001</v>
      </c>
    </row>
    <row r="974" spans="4:5">
      <c r="D974" s="1">
        <v>9690</v>
      </c>
      <c r="E974" s="1">
        <v>3.9321600000000001</v>
      </c>
    </row>
    <row r="975" spans="4:5">
      <c r="D975" s="1">
        <v>9700</v>
      </c>
      <c r="E975" s="1">
        <v>3.6003799999999999</v>
      </c>
    </row>
    <row r="976" spans="4:5">
      <c r="D976" s="1">
        <v>9710</v>
      </c>
      <c r="E976" s="1">
        <v>3.6003799999999999</v>
      </c>
    </row>
    <row r="977" spans="4:5">
      <c r="D977" s="1">
        <v>9720</v>
      </c>
      <c r="E977" s="1">
        <v>3.9335499999999999</v>
      </c>
    </row>
    <row r="978" spans="4:5">
      <c r="D978" s="1">
        <v>9730</v>
      </c>
      <c r="E978" s="1">
        <v>3.9335499999999999</v>
      </c>
    </row>
    <row r="979" spans="4:5">
      <c r="D979" s="1">
        <v>9740</v>
      </c>
      <c r="E979" s="1">
        <v>3.5926900000000002</v>
      </c>
    </row>
    <row r="980" spans="4:5">
      <c r="D980" s="1">
        <v>9750</v>
      </c>
      <c r="E980" s="1">
        <v>3.5926900000000002</v>
      </c>
    </row>
    <row r="981" spans="4:5">
      <c r="D981" s="1">
        <v>9760</v>
      </c>
      <c r="E981" s="1">
        <v>3.5739800000000002</v>
      </c>
    </row>
    <row r="982" spans="4:5">
      <c r="D982" s="1">
        <v>9770</v>
      </c>
      <c r="E982" s="1">
        <v>3.5739800000000002</v>
      </c>
    </row>
    <row r="983" spans="4:5">
      <c r="D983" s="1">
        <v>9780</v>
      </c>
      <c r="E983" s="1">
        <v>3.5680499999999999</v>
      </c>
    </row>
    <row r="984" spans="4:5">
      <c r="D984" s="1">
        <v>9790</v>
      </c>
      <c r="E984" s="1">
        <v>3.5680499999999999</v>
      </c>
    </row>
    <row r="985" spans="4:5">
      <c r="D985" s="1">
        <v>9800</v>
      </c>
      <c r="E985" s="1">
        <v>3.8196500000000002</v>
      </c>
    </row>
    <row r="986" spans="4:5">
      <c r="D986" s="1">
        <v>9810</v>
      </c>
      <c r="E986" s="1">
        <v>3.8196500000000002</v>
      </c>
    </row>
    <row r="987" spans="4:5">
      <c r="D987" s="1">
        <v>9820</v>
      </c>
      <c r="E987" s="1">
        <v>3.69808</v>
      </c>
    </row>
    <row r="988" spans="4:5">
      <c r="D988" s="1">
        <v>9830</v>
      </c>
      <c r="E988" s="1">
        <v>3.69808</v>
      </c>
    </row>
    <row r="989" spans="4:5">
      <c r="D989" s="1">
        <v>9840</v>
      </c>
      <c r="E989" s="1">
        <v>4.1388499999999997</v>
      </c>
    </row>
    <row r="990" spans="4:5">
      <c r="D990" s="1">
        <v>9850</v>
      </c>
      <c r="E990" s="1">
        <v>4.1388499999999997</v>
      </c>
    </row>
    <row r="991" spans="4:5">
      <c r="D991" s="1">
        <v>9860</v>
      </c>
      <c r="E991" s="1">
        <v>3.9093</v>
      </c>
    </row>
    <row r="992" spans="4:5">
      <c r="D992" s="1">
        <v>9870</v>
      </c>
      <c r="E992" s="1">
        <v>3.9093</v>
      </c>
    </row>
    <row r="993" spans="4:5">
      <c r="D993" s="1">
        <v>9880</v>
      </c>
      <c r="E993" s="1">
        <v>4.2449399999999997</v>
      </c>
    </row>
    <row r="994" spans="4:5">
      <c r="D994" s="1">
        <v>9890</v>
      </c>
      <c r="E994" s="1">
        <v>4.2449399999999997</v>
      </c>
    </row>
    <row r="995" spans="4:5">
      <c r="D995" s="1">
        <v>9900</v>
      </c>
      <c r="E995" s="1">
        <v>3.81907</v>
      </c>
    </row>
    <row r="996" spans="4:5">
      <c r="D996" s="1">
        <v>9910</v>
      </c>
      <c r="E996" s="1">
        <v>3.81907</v>
      </c>
    </row>
    <row r="997" spans="4:5">
      <c r="D997" s="1">
        <v>9920</v>
      </c>
      <c r="E997" s="1">
        <v>3.86165</v>
      </c>
    </row>
    <row r="998" spans="4:5">
      <c r="D998" s="1">
        <v>9930</v>
      </c>
      <c r="E998" s="1">
        <v>3.86165</v>
      </c>
    </row>
    <row r="999" spans="4:5">
      <c r="D999" s="1">
        <v>9940</v>
      </c>
      <c r="E999" s="1">
        <v>3.86896</v>
      </c>
    </row>
    <row r="1000" spans="4:5">
      <c r="D1000" s="1">
        <v>9950</v>
      </c>
      <c r="E1000" s="1">
        <v>3.86896</v>
      </c>
    </row>
    <row r="1001" spans="4:5">
      <c r="D1001" s="1">
        <v>9960</v>
      </c>
      <c r="E1001" s="1">
        <v>3.9188800000000001</v>
      </c>
    </row>
    <row r="1002" spans="4:5">
      <c r="D1002" s="1">
        <v>9970</v>
      </c>
      <c r="E1002" s="1">
        <v>3.9188800000000001</v>
      </c>
    </row>
    <row r="1003" spans="4:5">
      <c r="D1003" s="1">
        <v>9980</v>
      </c>
      <c r="E1003" s="1">
        <v>3.9276399999999998</v>
      </c>
    </row>
    <row r="1004" spans="4:5">
      <c r="D1004" s="1">
        <v>9990</v>
      </c>
      <c r="E1004" s="1">
        <v>3.9276399999999998</v>
      </c>
    </row>
    <row r="1005" spans="4:5">
      <c r="D1005" s="1">
        <v>10000</v>
      </c>
      <c r="E1005" s="1">
        <v>3.4689100000000002</v>
      </c>
    </row>
    <row r="1006" spans="4:5">
      <c r="D1006" s="1">
        <v>10010</v>
      </c>
      <c r="E1006" s="1">
        <v>3.4689100000000002</v>
      </c>
    </row>
    <row r="1007" spans="4:5">
      <c r="D1007" s="1">
        <v>10020</v>
      </c>
      <c r="E1007" s="1">
        <v>3.4361299999999999</v>
      </c>
    </row>
    <row r="1008" spans="4:5">
      <c r="D1008" s="1">
        <v>10030</v>
      </c>
      <c r="E1008" s="1">
        <v>3.4361299999999999</v>
      </c>
    </row>
    <row r="1009" spans="4:5">
      <c r="D1009" s="1">
        <v>10040</v>
      </c>
      <c r="E1009" s="1">
        <v>3.5876100000000002</v>
      </c>
    </row>
    <row r="1010" spans="4:5">
      <c r="D1010" s="1">
        <v>10050</v>
      </c>
      <c r="E1010" s="1">
        <v>3.5876100000000002</v>
      </c>
    </row>
    <row r="1011" spans="4:5">
      <c r="D1011" s="1">
        <v>10060</v>
      </c>
      <c r="E1011" s="1">
        <v>4.0232099999999997</v>
      </c>
    </row>
    <row r="1012" spans="4:5">
      <c r="D1012" s="1">
        <v>10070</v>
      </c>
      <c r="E1012" s="1">
        <v>4.0232099999999997</v>
      </c>
    </row>
    <row r="1013" spans="4:5">
      <c r="D1013" s="1">
        <v>10080</v>
      </c>
      <c r="E1013" s="1">
        <v>4.2062999999999997</v>
      </c>
    </row>
    <row r="1014" spans="4:5">
      <c r="D1014" s="1">
        <v>10090</v>
      </c>
      <c r="E1014" s="1">
        <v>4.2062999999999997</v>
      </c>
    </row>
    <row r="1015" spans="4:5">
      <c r="D1015" s="1">
        <v>10100</v>
      </c>
      <c r="E1015" s="1">
        <v>3.5017399999999999</v>
      </c>
    </row>
    <row r="1016" spans="4:5">
      <c r="D1016" s="1">
        <v>10110</v>
      </c>
      <c r="E1016" s="1">
        <v>3.5017399999999999</v>
      </c>
    </row>
    <row r="1017" spans="4:5">
      <c r="D1017" s="1">
        <v>10120</v>
      </c>
      <c r="E1017" s="1">
        <v>3.66242</v>
      </c>
    </row>
    <row r="1018" spans="4:5">
      <c r="D1018" s="1">
        <v>10130</v>
      </c>
      <c r="E1018" s="1">
        <v>3.66242</v>
      </c>
    </row>
    <row r="1019" spans="4:5">
      <c r="D1019" s="1">
        <v>10140</v>
      </c>
      <c r="E1019" s="1">
        <v>3.97682</v>
      </c>
    </row>
    <row r="1020" spans="4:5">
      <c r="D1020" s="1">
        <v>10150</v>
      </c>
      <c r="E1020" s="1">
        <v>3.97682</v>
      </c>
    </row>
    <row r="1021" spans="4:5">
      <c r="D1021" s="1">
        <v>10160</v>
      </c>
      <c r="E1021" s="1">
        <v>3.59198</v>
      </c>
    </row>
    <row r="1022" spans="4:5">
      <c r="D1022" s="1">
        <v>10170</v>
      </c>
      <c r="E1022" s="1">
        <v>3.59198</v>
      </c>
    </row>
    <row r="1023" spans="4:5">
      <c r="D1023" s="1">
        <v>10180</v>
      </c>
      <c r="E1023" s="1">
        <v>4.0661500000000004</v>
      </c>
    </row>
    <row r="1024" spans="4:5">
      <c r="D1024" s="1">
        <v>10190</v>
      </c>
      <c r="E1024" s="1">
        <v>4.0661500000000004</v>
      </c>
    </row>
    <row r="1025" spans="4:5">
      <c r="D1025" s="1">
        <v>10200</v>
      </c>
      <c r="E1025" s="1">
        <v>3.26166</v>
      </c>
    </row>
    <row r="1026" spans="4:5">
      <c r="D1026" s="1">
        <v>10210</v>
      </c>
      <c r="E1026" s="1">
        <v>3.26166</v>
      </c>
    </row>
    <row r="1027" spans="4:5">
      <c r="D1027" s="1">
        <v>10220</v>
      </c>
      <c r="E1027" s="1">
        <v>3.98204</v>
      </c>
    </row>
    <row r="1028" spans="4:5">
      <c r="D1028" s="1">
        <v>10230</v>
      </c>
      <c r="E1028" s="1">
        <v>3.98204</v>
      </c>
    </row>
    <row r="1029" spans="4:5">
      <c r="D1029" s="1">
        <v>10240</v>
      </c>
      <c r="E1029" s="1">
        <v>3.9243199999999998</v>
      </c>
    </row>
    <row r="1030" spans="4:5">
      <c r="D1030" s="1">
        <v>10250</v>
      </c>
      <c r="E1030" s="1">
        <v>3.9243199999999998</v>
      </c>
    </row>
    <row r="1031" spans="4:5">
      <c r="D1031" s="1">
        <v>10260</v>
      </c>
      <c r="E1031" s="1">
        <v>3.3910200000000001</v>
      </c>
    </row>
    <row r="1032" spans="4:5">
      <c r="D1032" s="1">
        <v>10270</v>
      </c>
      <c r="E1032" s="1">
        <v>3.3910200000000001</v>
      </c>
    </row>
    <row r="1033" spans="4:5">
      <c r="D1033" s="1">
        <v>10280</v>
      </c>
      <c r="E1033" s="1">
        <v>4.2245999999999997</v>
      </c>
    </row>
    <row r="1034" spans="4:5">
      <c r="D1034" s="1">
        <v>10290</v>
      </c>
      <c r="E1034" s="1">
        <v>4.2245999999999997</v>
      </c>
    </row>
    <row r="1035" spans="4:5">
      <c r="D1035" s="1">
        <v>10300</v>
      </c>
      <c r="E1035" s="1">
        <v>3.5532599999999999</v>
      </c>
    </row>
    <row r="1036" spans="4:5">
      <c r="D1036" s="1">
        <v>10310</v>
      </c>
      <c r="E1036" s="1">
        <v>3.5532599999999999</v>
      </c>
    </row>
    <row r="1037" spans="4:5">
      <c r="D1037" s="1">
        <v>10320</v>
      </c>
      <c r="E1037" s="1">
        <v>3.6644100000000002</v>
      </c>
    </row>
    <row r="1038" spans="4:5">
      <c r="D1038" s="1">
        <v>10330</v>
      </c>
      <c r="E1038" s="1">
        <v>3.6644100000000002</v>
      </c>
    </row>
    <row r="1039" spans="4:5">
      <c r="D1039" s="1">
        <v>10340</v>
      </c>
      <c r="E1039" s="1">
        <v>3.74743</v>
      </c>
    </row>
    <row r="1040" spans="4:5">
      <c r="D1040" s="1">
        <v>10350</v>
      </c>
      <c r="E1040" s="1">
        <v>3.74743</v>
      </c>
    </row>
    <row r="1041" spans="4:5">
      <c r="D1041" s="1">
        <v>10360</v>
      </c>
      <c r="E1041" s="1">
        <v>3.76857</v>
      </c>
    </row>
    <row r="1042" spans="4:5">
      <c r="D1042" s="1">
        <v>10370</v>
      </c>
      <c r="E1042" s="1">
        <v>3.76857</v>
      </c>
    </row>
    <row r="1043" spans="4:5">
      <c r="D1043" s="1">
        <v>10380</v>
      </c>
      <c r="E1043" s="1">
        <v>4.0612000000000004</v>
      </c>
    </row>
    <row r="1044" spans="4:5">
      <c r="D1044" s="1">
        <v>10390</v>
      </c>
      <c r="E1044" s="1">
        <v>4.0612000000000004</v>
      </c>
    </row>
    <row r="1045" spans="4:5">
      <c r="D1045" s="1">
        <v>10400</v>
      </c>
      <c r="E1045" s="1">
        <v>3.5869800000000001</v>
      </c>
    </row>
    <row r="1046" spans="4:5">
      <c r="D1046" s="1">
        <v>10410</v>
      </c>
      <c r="E1046" s="1">
        <v>3.5869800000000001</v>
      </c>
    </row>
    <row r="1047" spans="4:5">
      <c r="D1047" s="1">
        <v>10420</v>
      </c>
      <c r="E1047" s="1">
        <v>3.7510500000000002</v>
      </c>
    </row>
    <row r="1048" spans="4:5">
      <c r="D1048" s="1">
        <v>10430</v>
      </c>
      <c r="E1048" s="1">
        <v>3.7510500000000002</v>
      </c>
    </row>
    <row r="1049" spans="4:5">
      <c r="D1049" s="1">
        <v>10440</v>
      </c>
      <c r="E1049" s="1">
        <v>3.7399800000000001</v>
      </c>
    </row>
    <row r="1050" spans="4:5">
      <c r="D1050" s="1">
        <v>10450</v>
      </c>
      <c r="E1050" s="1">
        <v>3.7399800000000001</v>
      </c>
    </row>
    <row r="1051" spans="4:5">
      <c r="D1051" s="1">
        <v>10460</v>
      </c>
      <c r="E1051" s="1">
        <v>3.8351500000000001</v>
      </c>
    </row>
    <row r="1052" spans="4:5">
      <c r="D1052" s="1">
        <v>10470</v>
      </c>
      <c r="E1052" s="1">
        <v>3.8351500000000001</v>
      </c>
    </row>
    <row r="1053" spans="4:5">
      <c r="D1053" s="1">
        <v>10480</v>
      </c>
      <c r="E1053" s="1">
        <v>3.7145999999999999</v>
      </c>
    </row>
    <row r="1054" spans="4:5">
      <c r="D1054" s="1">
        <v>10490</v>
      </c>
      <c r="E1054" s="1">
        <v>3.7145999999999999</v>
      </c>
    </row>
    <row r="1055" spans="4:5">
      <c r="D1055" s="1">
        <v>10500</v>
      </c>
      <c r="E1055" s="1">
        <v>3.7850600000000001</v>
      </c>
    </row>
    <row r="1056" spans="4:5">
      <c r="D1056" s="1">
        <v>10510</v>
      </c>
      <c r="E1056" s="1">
        <v>3.7850600000000001</v>
      </c>
    </row>
    <row r="1057" spans="4:5">
      <c r="D1057" s="1">
        <v>10520</v>
      </c>
      <c r="E1057" s="1">
        <v>3.5638000000000001</v>
      </c>
    </row>
    <row r="1058" spans="4:5">
      <c r="D1058" s="1">
        <v>10530</v>
      </c>
      <c r="E1058" s="1">
        <v>3.5638000000000001</v>
      </c>
    </row>
    <row r="1059" spans="4:5">
      <c r="D1059" s="1">
        <v>10540</v>
      </c>
      <c r="E1059" s="1">
        <v>3.2879200000000002</v>
      </c>
    </row>
    <row r="1060" spans="4:5">
      <c r="D1060" s="1">
        <v>10550</v>
      </c>
      <c r="E1060" s="1">
        <v>3.2879200000000002</v>
      </c>
    </row>
    <row r="1061" spans="4:5">
      <c r="D1061" s="1">
        <v>10560</v>
      </c>
      <c r="E1061" s="1">
        <v>3.6878299999999999</v>
      </c>
    </row>
    <row r="1062" spans="4:5">
      <c r="D1062" s="1">
        <v>10570</v>
      </c>
      <c r="E1062" s="1">
        <v>3.6878299999999999</v>
      </c>
    </row>
    <row r="1063" spans="4:5">
      <c r="D1063" s="1">
        <v>10580</v>
      </c>
      <c r="E1063" s="1">
        <v>3.86713</v>
      </c>
    </row>
    <row r="1064" spans="4:5">
      <c r="D1064" s="1">
        <v>10590</v>
      </c>
      <c r="E1064" s="1">
        <v>3.86713</v>
      </c>
    </row>
    <row r="1065" spans="4:5">
      <c r="D1065" s="1">
        <v>10600</v>
      </c>
      <c r="E1065" s="1">
        <v>3.8153999999999999</v>
      </c>
    </row>
    <row r="1066" spans="4:5">
      <c r="D1066" s="1">
        <v>10610</v>
      </c>
      <c r="E1066" s="1">
        <v>3.8153999999999999</v>
      </c>
    </row>
    <row r="1067" spans="4:5">
      <c r="D1067" s="1">
        <v>10620</v>
      </c>
      <c r="E1067" s="1">
        <v>3.62113</v>
      </c>
    </row>
    <row r="1068" spans="4:5">
      <c r="D1068" s="1">
        <v>10630</v>
      </c>
      <c r="E1068" s="1">
        <v>3.62113</v>
      </c>
    </row>
    <row r="1069" spans="4:5">
      <c r="D1069" s="1">
        <v>10640</v>
      </c>
      <c r="E1069" s="1">
        <v>4.2453399999999997</v>
      </c>
    </row>
    <row r="1070" spans="4:5">
      <c r="D1070" s="1">
        <v>10650</v>
      </c>
      <c r="E1070" s="1">
        <v>4.2453399999999997</v>
      </c>
    </row>
    <row r="1071" spans="4:5">
      <c r="D1071" s="1">
        <v>10660</v>
      </c>
      <c r="E1071" s="1">
        <v>3.50698</v>
      </c>
    </row>
    <row r="1072" spans="4:5">
      <c r="D1072" s="1">
        <v>10670</v>
      </c>
      <c r="E1072" s="1">
        <v>3.50698</v>
      </c>
    </row>
    <row r="1073" spans="4:5">
      <c r="D1073" s="1">
        <v>10680</v>
      </c>
      <c r="E1073" s="1">
        <v>3.46719</v>
      </c>
    </row>
    <row r="1074" spans="4:5">
      <c r="D1074" s="1">
        <v>10690</v>
      </c>
      <c r="E1074" s="1">
        <v>3.46719</v>
      </c>
    </row>
    <row r="1075" spans="4:5">
      <c r="D1075" s="1">
        <v>10700</v>
      </c>
      <c r="E1075" s="1">
        <v>3.2632599999999998</v>
      </c>
    </row>
    <row r="1076" spans="4:5">
      <c r="D1076" s="1">
        <v>10710</v>
      </c>
      <c r="E1076" s="1">
        <v>3.2632599999999998</v>
      </c>
    </row>
    <row r="1077" spans="4:5">
      <c r="D1077" s="1">
        <v>10720</v>
      </c>
      <c r="E1077" s="1">
        <v>3.9741900000000001</v>
      </c>
    </row>
    <row r="1078" spans="4:5">
      <c r="D1078" s="1">
        <v>10730</v>
      </c>
      <c r="E1078" s="1">
        <v>3.9741900000000001</v>
      </c>
    </row>
    <row r="1079" spans="4:5">
      <c r="D1079" s="1">
        <v>10740</v>
      </c>
      <c r="E1079" s="1">
        <v>3.9976600000000002</v>
      </c>
    </row>
    <row r="1080" spans="4:5">
      <c r="D1080" s="1">
        <v>10750</v>
      </c>
      <c r="E1080" s="1">
        <v>3.9976600000000002</v>
      </c>
    </row>
    <row r="1081" spans="4:5">
      <c r="D1081" s="1">
        <v>10760</v>
      </c>
      <c r="E1081" s="1">
        <v>3.6989200000000002</v>
      </c>
    </row>
    <row r="1082" spans="4:5">
      <c r="D1082" s="1">
        <v>10770</v>
      </c>
      <c r="E1082" s="1">
        <v>3.6989200000000002</v>
      </c>
    </row>
    <row r="1083" spans="4:5">
      <c r="D1083" s="1">
        <v>10780</v>
      </c>
      <c r="E1083" s="1">
        <v>3.5337399999999999</v>
      </c>
    </row>
    <row r="1084" spans="4:5">
      <c r="D1084" s="1">
        <v>10790</v>
      </c>
      <c r="E1084" s="1">
        <v>3.5337399999999999</v>
      </c>
    </row>
    <row r="1085" spans="4:5">
      <c r="D1085" s="1">
        <v>10800</v>
      </c>
      <c r="E1085" s="1">
        <v>3.6654900000000001</v>
      </c>
    </row>
    <row r="1086" spans="4:5">
      <c r="D1086" s="1">
        <v>10810</v>
      </c>
      <c r="E1086" s="1">
        <v>3.6654900000000001</v>
      </c>
    </row>
    <row r="1087" spans="4:5">
      <c r="D1087" s="1">
        <v>10820</v>
      </c>
      <c r="E1087" s="1">
        <v>3.98624</v>
      </c>
    </row>
    <row r="1088" spans="4:5">
      <c r="D1088" s="1">
        <v>10830</v>
      </c>
      <c r="E1088" s="1">
        <v>3.98624</v>
      </c>
    </row>
    <row r="1089" spans="4:5">
      <c r="D1089" s="1">
        <v>10840</v>
      </c>
      <c r="E1089" s="1">
        <v>4.1709899999999998</v>
      </c>
    </row>
    <row r="1090" spans="4:5">
      <c r="D1090" s="1">
        <v>10850</v>
      </c>
      <c r="E1090" s="1">
        <v>4.1709899999999998</v>
      </c>
    </row>
    <row r="1091" spans="4:5">
      <c r="D1091" s="1">
        <v>10860</v>
      </c>
      <c r="E1091" s="1">
        <v>3.6882799999999998</v>
      </c>
    </row>
    <row r="1092" spans="4:5">
      <c r="D1092" s="1">
        <v>10870</v>
      </c>
      <c r="E1092" s="1">
        <v>3.6882799999999998</v>
      </c>
    </row>
    <row r="1093" spans="4:5">
      <c r="D1093" s="1">
        <v>10880</v>
      </c>
      <c r="E1093" s="1">
        <v>4.1596099999999998</v>
      </c>
    </row>
    <row r="1094" spans="4:5">
      <c r="D1094" s="1">
        <v>10890</v>
      </c>
      <c r="E1094" s="1">
        <v>4.1596099999999998</v>
      </c>
    </row>
    <row r="1095" spans="4:5">
      <c r="D1095" s="1">
        <v>10900</v>
      </c>
      <c r="E1095" s="1">
        <v>4.1487800000000004</v>
      </c>
    </row>
    <row r="1096" spans="4:5">
      <c r="D1096" s="1">
        <v>10910</v>
      </c>
      <c r="E1096" s="1">
        <v>4.1487800000000004</v>
      </c>
    </row>
    <row r="1097" spans="4:5">
      <c r="D1097" s="1">
        <v>10920</v>
      </c>
      <c r="E1097" s="1">
        <v>4.1947400000000004</v>
      </c>
    </row>
    <row r="1098" spans="4:5">
      <c r="D1098" s="1">
        <v>10930</v>
      </c>
      <c r="E1098" s="1">
        <v>4.1947400000000004</v>
      </c>
    </row>
    <row r="1099" spans="4:5">
      <c r="D1099" s="1">
        <v>10940</v>
      </c>
      <c r="E1099" s="1">
        <v>3.7668499999999998</v>
      </c>
    </row>
    <row r="1100" spans="4:5">
      <c r="D1100" s="1">
        <v>10950</v>
      </c>
      <c r="E1100" s="1">
        <v>3.7668499999999998</v>
      </c>
    </row>
    <row r="1101" spans="4:5">
      <c r="D1101" s="1">
        <v>10960</v>
      </c>
      <c r="E1101" s="1">
        <v>3.6878500000000001</v>
      </c>
    </row>
    <row r="1102" spans="4:5">
      <c r="D1102" s="1">
        <v>10970</v>
      </c>
      <c r="E1102" s="1">
        <v>3.6878500000000001</v>
      </c>
    </row>
    <row r="1103" spans="4:5">
      <c r="D1103" s="1">
        <v>10980</v>
      </c>
      <c r="E1103" s="1">
        <v>3.9010799999999999</v>
      </c>
    </row>
    <row r="1104" spans="4:5">
      <c r="D1104" s="1">
        <v>10990</v>
      </c>
      <c r="E1104" s="1">
        <v>3.9010799999999999</v>
      </c>
    </row>
    <row r="1105" spans="4:5">
      <c r="D1105" s="1">
        <v>11000</v>
      </c>
      <c r="E1105" s="1">
        <v>4.1263300000000003</v>
      </c>
    </row>
    <row r="1106" spans="4:5">
      <c r="D1106" s="1">
        <v>11010</v>
      </c>
      <c r="E1106" s="1">
        <v>4.1263300000000003</v>
      </c>
    </row>
    <row r="1107" spans="4:5">
      <c r="D1107" s="1">
        <v>11020</v>
      </c>
      <c r="E1107" s="1">
        <v>4.3346400000000003</v>
      </c>
    </row>
    <row r="1108" spans="4:5">
      <c r="D1108" s="1">
        <v>11030</v>
      </c>
      <c r="E1108" s="1">
        <v>4.3346400000000003</v>
      </c>
    </row>
    <row r="1109" spans="4:5">
      <c r="D1109" s="1">
        <v>11040</v>
      </c>
      <c r="E1109" s="1">
        <v>3.6890299999999998</v>
      </c>
    </row>
    <row r="1110" spans="4:5">
      <c r="D1110" s="1">
        <v>11050</v>
      </c>
      <c r="E1110" s="1">
        <v>3.6890299999999998</v>
      </c>
    </row>
    <row r="1111" spans="4:5">
      <c r="D1111" s="1">
        <v>11060</v>
      </c>
      <c r="E1111" s="1">
        <v>3.7141700000000002</v>
      </c>
    </row>
    <row r="1112" spans="4:5">
      <c r="D1112" s="1">
        <v>11070</v>
      </c>
      <c r="E1112" s="1">
        <v>3.7141700000000002</v>
      </c>
    </row>
    <row r="1113" spans="4:5">
      <c r="D1113" s="1">
        <v>11080</v>
      </c>
      <c r="E1113" s="1">
        <v>3.8841600000000001</v>
      </c>
    </row>
    <row r="1114" spans="4:5">
      <c r="D1114" s="1">
        <v>11090</v>
      </c>
      <c r="E1114" s="1">
        <v>3.8841600000000001</v>
      </c>
    </row>
    <row r="1115" spans="4:5">
      <c r="D1115" s="1">
        <v>11100</v>
      </c>
      <c r="E1115" s="1">
        <v>3.9215399999999998</v>
      </c>
    </row>
    <row r="1116" spans="4:5">
      <c r="D1116" s="1">
        <v>11110</v>
      </c>
      <c r="E1116" s="1">
        <v>3.9215399999999998</v>
      </c>
    </row>
    <row r="1117" spans="4:5">
      <c r="D1117" s="1">
        <v>11120</v>
      </c>
      <c r="E1117" s="1">
        <v>3.4032300000000002</v>
      </c>
    </row>
    <row r="1118" spans="4:5">
      <c r="D1118" s="1">
        <v>11130</v>
      </c>
      <c r="E1118" s="1">
        <v>3.4032300000000002</v>
      </c>
    </row>
    <row r="1119" spans="4:5">
      <c r="D1119" s="1">
        <v>11140</v>
      </c>
      <c r="E1119" s="1">
        <v>3.6614200000000001</v>
      </c>
    </row>
    <row r="1120" spans="4:5">
      <c r="D1120" s="1">
        <v>11150</v>
      </c>
      <c r="E1120" s="1">
        <v>3.6614200000000001</v>
      </c>
    </row>
    <row r="1121" spans="4:5">
      <c r="D1121" s="1">
        <v>11160</v>
      </c>
      <c r="E1121" s="1">
        <v>4.0908199999999999</v>
      </c>
    </row>
    <row r="1122" spans="4:5">
      <c r="D1122" s="1">
        <v>11170</v>
      </c>
      <c r="E1122" s="1">
        <v>4.0908199999999999</v>
      </c>
    </row>
    <row r="1123" spans="4:5">
      <c r="D1123" s="1">
        <v>11180</v>
      </c>
      <c r="E1123" s="1">
        <v>3.7984900000000001</v>
      </c>
    </row>
    <row r="1124" spans="4:5">
      <c r="D1124" s="1">
        <v>11190</v>
      </c>
      <c r="E1124" s="1">
        <v>3.7984900000000001</v>
      </c>
    </row>
    <row r="1125" spans="4:5">
      <c r="D1125" s="1">
        <v>11200</v>
      </c>
      <c r="E1125" s="1">
        <v>3.67211</v>
      </c>
    </row>
    <row r="1126" spans="4:5">
      <c r="D1126" s="1">
        <v>11210</v>
      </c>
      <c r="E1126" s="1">
        <v>3.67211</v>
      </c>
    </row>
    <row r="1127" spans="4:5">
      <c r="D1127" s="1">
        <v>11220</v>
      </c>
      <c r="E1127" s="1">
        <v>3.61381</v>
      </c>
    </row>
    <row r="1128" spans="4:5">
      <c r="D1128" s="1">
        <v>11230</v>
      </c>
      <c r="E1128" s="1">
        <v>3.61381</v>
      </c>
    </row>
    <row r="1129" spans="4:5">
      <c r="D1129" s="1">
        <v>11240</v>
      </c>
      <c r="E1129" s="1">
        <v>3.7946</v>
      </c>
    </row>
    <row r="1130" spans="4:5">
      <c r="D1130" s="1">
        <v>11250</v>
      </c>
      <c r="E1130" s="1">
        <v>3.7946</v>
      </c>
    </row>
    <row r="1131" spans="4:5">
      <c r="D1131" s="1">
        <v>11260</v>
      </c>
      <c r="E1131" s="1">
        <v>3.7707199999999998</v>
      </c>
    </row>
    <row r="1132" spans="4:5">
      <c r="D1132" s="1">
        <v>11270</v>
      </c>
      <c r="E1132" s="1">
        <v>3.7707199999999998</v>
      </c>
    </row>
    <row r="1133" spans="4:5">
      <c r="D1133" s="1">
        <v>11280</v>
      </c>
      <c r="E1133" s="1">
        <v>3.9108499999999999</v>
      </c>
    </row>
    <row r="1134" spans="4:5">
      <c r="D1134" s="1">
        <v>11290</v>
      </c>
      <c r="E1134" s="1">
        <v>3.9108499999999999</v>
      </c>
    </row>
    <row r="1135" spans="4:5">
      <c r="D1135" s="1">
        <v>11300</v>
      </c>
      <c r="E1135" s="1">
        <v>3.72533</v>
      </c>
    </row>
    <row r="1136" spans="4:5">
      <c r="D1136" s="1">
        <v>11310</v>
      </c>
      <c r="E1136" s="1">
        <v>3.72533</v>
      </c>
    </row>
    <row r="1137" spans="4:5">
      <c r="D1137" s="1">
        <v>11320</v>
      </c>
      <c r="E1137" s="1">
        <v>4.1293199999999999</v>
      </c>
    </row>
    <row r="1138" spans="4:5">
      <c r="D1138" s="1">
        <v>11330</v>
      </c>
      <c r="E1138" s="1">
        <v>4.1293199999999999</v>
      </c>
    </row>
    <row r="1139" spans="4:5">
      <c r="D1139" s="1">
        <v>11340</v>
      </c>
      <c r="E1139" s="1">
        <v>3.32125</v>
      </c>
    </row>
    <row r="1140" spans="4:5">
      <c r="D1140" s="1">
        <v>11350</v>
      </c>
      <c r="E1140" s="1">
        <v>3.32125</v>
      </c>
    </row>
    <row r="1141" spans="4:5">
      <c r="D1141" s="1">
        <v>11360</v>
      </c>
      <c r="E1141" s="1">
        <v>3.72715</v>
      </c>
    </row>
    <row r="1142" spans="4:5">
      <c r="D1142" s="1">
        <v>11370</v>
      </c>
      <c r="E1142" s="1">
        <v>3.72715</v>
      </c>
    </row>
    <row r="1143" spans="4:5">
      <c r="D1143" s="1">
        <v>11380</v>
      </c>
      <c r="E1143" s="1">
        <v>3.7220399999999998</v>
      </c>
    </row>
    <row r="1144" spans="4:5">
      <c r="D1144" s="1">
        <v>11390</v>
      </c>
      <c r="E1144" s="1">
        <v>3.7220399999999998</v>
      </c>
    </row>
    <row r="1145" spans="4:5">
      <c r="D1145" s="1">
        <v>11400</v>
      </c>
      <c r="E1145" s="1">
        <v>3.8694199999999999</v>
      </c>
    </row>
    <row r="1146" spans="4:5">
      <c r="D1146" s="1">
        <v>11410</v>
      </c>
      <c r="E1146" s="1">
        <v>3.8694199999999999</v>
      </c>
    </row>
    <row r="1147" spans="4:5">
      <c r="D1147" s="1">
        <v>11420</v>
      </c>
      <c r="E1147" s="1">
        <v>4.36768</v>
      </c>
    </row>
    <row r="1148" spans="4:5">
      <c r="D1148" s="1">
        <v>11430</v>
      </c>
      <c r="E1148" s="1">
        <v>4.36768</v>
      </c>
    </row>
    <row r="1149" spans="4:5">
      <c r="D1149" s="1">
        <v>11440</v>
      </c>
      <c r="E1149" s="1">
        <v>3.7353700000000001</v>
      </c>
    </row>
    <row r="1150" spans="4:5">
      <c r="D1150" s="1">
        <v>11450</v>
      </c>
      <c r="E1150" s="1">
        <v>3.7353700000000001</v>
      </c>
    </row>
    <row r="1151" spans="4:5">
      <c r="D1151" s="1">
        <v>11460</v>
      </c>
      <c r="E1151" s="1">
        <v>3.9432299999999998</v>
      </c>
    </row>
    <row r="1152" spans="4:5">
      <c r="D1152" s="1">
        <v>11470</v>
      </c>
      <c r="E1152" s="1">
        <v>3.9432299999999998</v>
      </c>
    </row>
    <row r="1153" spans="4:5">
      <c r="D1153" s="1">
        <v>11480</v>
      </c>
      <c r="E1153" s="1">
        <v>3.7381500000000001</v>
      </c>
    </row>
    <row r="1154" spans="4:5">
      <c r="D1154" s="1">
        <v>11490</v>
      </c>
      <c r="E1154" s="1">
        <v>3.7381500000000001</v>
      </c>
    </row>
    <row r="1155" spans="4:5">
      <c r="D1155" s="1">
        <v>11500</v>
      </c>
      <c r="E1155" s="1">
        <v>4.0551199999999996</v>
      </c>
    </row>
    <row r="1156" spans="4:5">
      <c r="D1156" s="1">
        <v>11510</v>
      </c>
      <c r="E1156" s="1">
        <v>4.0551199999999996</v>
      </c>
    </row>
    <row r="1157" spans="4:5">
      <c r="D1157" s="1">
        <v>11520</v>
      </c>
      <c r="E1157" s="1">
        <v>3.6442100000000002</v>
      </c>
    </row>
    <row r="1158" spans="4:5">
      <c r="D1158" s="1">
        <v>11530</v>
      </c>
      <c r="E1158" s="1">
        <v>3.6442100000000002</v>
      </c>
    </row>
    <row r="1159" spans="4:5">
      <c r="D1159" s="1">
        <v>11540</v>
      </c>
      <c r="E1159" s="1">
        <v>3.7348300000000001</v>
      </c>
    </row>
    <row r="1160" spans="4:5">
      <c r="D1160" s="1">
        <v>11550</v>
      </c>
      <c r="E1160" s="1">
        <v>3.7348300000000001</v>
      </c>
    </row>
    <row r="1161" spans="4:5">
      <c r="D1161" s="1">
        <v>11560</v>
      </c>
      <c r="E1161" s="1">
        <v>3.6938900000000001</v>
      </c>
    </row>
    <row r="1162" spans="4:5">
      <c r="D1162" s="1">
        <v>11570</v>
      </c>
      <c r="E1162" s="1">
        <v>3.6938900000000001</v>
      </c>
    </row>
    <row r="1163" spans="4:5">
      <c r="D1163" s="1">
        <v>11580</v>
      </c>
      <c r="E1163" s="1">
        <v>3.94333</v>
      </c>
    </row>
    <row r="1164" spans="4:5">
      <c r="D1164" s="1">
        <v>11590</v>
      </c>
      <c r="E1164" s="1">
        <v>3.94333</v>
      </c>
    </row>
    <row r="1165" spans="4:5">
      <c r="D1165" s="1">
        <v>11600</v>
      </c>
      <c r="E1165" s="1">
        <v>3.37195</v>
      </c>
    </row>
    <row r="1166" spans="4:5">
      <c r="D1166" s="1">
        <v>11610</v>
      </c>
      <c r="E1166" s="1">
        <v>3.37195</v>
      </c>
    </row>
    <row r="1167" spans="4:5">
      <c r="D1167" s="1">
        <v>11620</v>
      </c>
      <c r="E1167" s="1">
        <v>3.9129700000000001</v>
      </c>
    </row>
    <row r="1168" spans="4:5">
      <c r="D1168" s="1">
        <v>11630</v>
      </c>
      <c r="E1168" s="1">
        <v>3.9129700000000001</v>
      </c>
    </row>
    <row r="1169" spans="4:5">
      <c r="D1169" s="1">
        <v>11640</v>
      </c>
      <c r="E1169" s="1">
        <v>3.9767399999999999</v>
      </c>
    </row>
    <row r="1170" spans="4:5">
      <c r="D1170" s="1">
        <v>11650</v>
      </c>
      <c r="E1170" s="1">
        <v>3.9767399999999999</v>
      </c>
    </row>
    <row r="1171" spans="4:5">
      <c r="D1171" s="1">
        <v>11660</v>
      </c>
      <c r="E1171" s="1">
        <v>3.3391299999999999</v>
      </c>
    </row>
    <row r="1172" spans="4:5">
      <c r="D1172" s="1">
        <v>11670</v>
      </c>
      <c r="E1172" s="1">
        <v>3.3391299999999999</v>
      </c>
    </row>
    <row r="1173" spans="4:5">
      <c r="D1173" s="1">
        <v>11680</v>
      </c>
      <c r="E1173" s="1">
        <v>4.0103200000000001</v>
      </c>
    </row>
    <row r="1174" spans="4:5">
      <c r="D1174" s="1">
        <v>11690</v>
      </c>
      <c r="E1174" s="1">
        <v>4.0103200000000001</v>
      </c>
    </row>
    <row r="1175" spans="4:5">
      <c r="D1175" s="1">
        <v>11700</v>
      </c>
      <c r="E1175" s="1">
        <v>4.0334899999999996</v>
      </c>
    </row>
    <row r="1176" spans="4:5">
      <c r="D1176" s="1">
        <v>11710</v>
      </c>
      <c r="E1176" s="1">
        <v>4.0334899999999996</v>
      </c>
    </row>
    <row r="1177" spans="4:5">
      <c r="D1177" s="1">
        <v>11720</v>
      </c>
      <c r="E1177" s="1">
        <v>3.4611100000000001</v>
      </c>
    </row>
    <row r="1178" spans="4:5">
      <c r="D1178" s="1">
        <v>11730</v>
      </c>
      <c r="E1178" s="1">
        <v>3.4611100000000001</v>
      </c>
    </row>
    <row r="1179" spans="4:5">
      <c r="D1179" s="1">
        <v>11740</v>
      </c>
      <c r="E1179" s="1">
        <v>3.4646499999999998</v>
      </c>
    </row>
    <row r="1180" spans="4:5">
      <c r="D1180" s="1">
        <v>11750</v>
      </c>
      <c r="E1180" s="1">
        <v>3.4646499999999998</v>
      </c>
    </row>
    <row r="1181" spans="4:5">
      <c r="D1181" s="1">
        <v>11760</v>
      </c>
      <c r="E1181" s="1">
        <v>3.9342199999999998</v>
      </c>
    </row>
    <row r="1182" spans="4:5">
      <c r="D1182" s="1">
        <v>11770</v>
      </c>
      <c r="E1182" s="1">
        <v>3.9342199999999998</v>
      </c>
    </row>
    <row r="1183" spans="4:5">
      <c r="D1183" s="1">
        <v>11780</v>
      </c>
      <c r="E1183" s="1">
        <v>3.9177</v>
      </c>
    </row>
    <row r="1184" spans="4:5">
      <c r="D1184" s="1">
        <v>11790</v>
      </c>
      <c r="E1184" s="1">
        <v>3.9177</v>
      </c>
    </row>
    <row r="1185" spans="4:5">
      <c r="D1185" s="1">
        <v>11800</v>
      </c>
      <c r="E1185" s="1">
        <v>3.5777399999999999</v>
      </c>
    </row>
    <row r="1186" spans="4:5">
      <c r="D1186" s="1">
        <v>11810</v>
      </c>
      <c r="E1186" s="1">
        <v>3.5777399999999999</v>
      </c>
    </row>
    <row r="1187" spans="4:5">
      <c r="D1187" s="1">
        <v>11820</v>
      </c>
      <c r="E1187" s="1">
        <v>4.0727200000000003</v>
      </c>
    </row>
    <row r="1188" spans="4:5">
      <c r="D1188" s="1">
        <v>11830</v>
      </c>
      <c r="E1188" s="1">
        <v>4.0727200000000003</v>
      </c>
    </row>
    <row r="1189" spans="4:5">
      <c r="D1189" s="1">
        <v>11840</v>
      </c>
      <c r="E1189" s="1">
        <v>4.06738</v>
      </c>
    </row>
    <row r="1190" spans="4:5">
      <c r="D1190" s="1">
        <v>11850</v>
      </c>
      <c r="E1190" s="1">
        <v>4.06738</v>
      </c>
    </row>
    <row r="1191" spans="4:5">
      <c r="D1191" s="1">
        <v>11860</v>
      </c>
      <c r="E1191" s="1">
        <v>3.5395099999999999</v>
      </c>
    </row>
    <row r="1192" spans="4:5">
      <c r="D1192" s="1">
        <v>11870</v>
      </c>
      <c r="E1192" s="1">
        <v>3.5395099999999999</v>
      </c>
    </row>
    <row r="1193" spans="4:5">
      <c r="D1193" s="1">
        <v>11880</v>
      </c>
      <c r="E1193" s="1">
        <v>3.9211</v>
      </c>
    </row>
    <row r="1194" spans="4:5">
      <c r="D1194" s="1">
        <v>11890</v>
      </c>
      <c r="E1194" s="1">
        <v>3.9211</v>
      </c>
    </row>
    <row r="1195" spans="4:5">
      <c r="D1195" s="1">
        <v>11900</v>
      </c>
      <c r="E1195" s="1">
        <v>3.85317</v>
      </c>
    </row>
    <row r="1196" spans="4:5">
      <c r="D1196" s="1">
        <v>11910</v>
      </c>
      <c r="E1196" s="1">
        <v>3.85317</v>
      </c>
    </row>
    <row r="1197" spans="4:5">
      <c r="D1197" s="1">
        <v>11920</v>
      </c>
      <c r="E1197" s="1">
        <v>3.3853300000000002</v>
      </c>
    </row>
    <row r="1198" spans="4:5">
      <c r="D1198" s="1">
        <v>11930</v>
      </c>
      <c r="E1198" s="1">
        <v>3.3853300000000002</v>
      </c>
    </row>
    <row r="1199" spans="4:5">
      <c r="D1199" s="1">
        <v>11940</v>
      </c>
      <c r="E1199" s="1">
        <v>3.9068100000000001</v>
      </c>
    </row>
    <row r="1200" spans="4:5">
      <c r="D1200" s="1">
        <v>11950</v>
      </c>
      <c r="E1200" s="1">
        <v>3.9068100000000001</v>
      </c>
    </row>
    <row r="1201" spans="4:5">
      <c r="D1201" s="1">
        <v>11960</v>
      </c>
      <c r="E1201" s="1">
        <v>3.4936400000000001</v>
      </c>
    </row>
    <row r="1202" spans="4:5">
      <c r="D1202" s="1">
        <v>11970</v>
      </c>
      <c r="E1202" s="1">
        <v>3.4936400000000001</v>
      </c>
    </row>
    <row r="1203" spans="4:5">
      <c r="D1203" s="1">
        <v>11980</v>
      </c>
      <c r="E1203" s="1">
        <v>3.4019900000000001</v>
      </c>
    </row>
    <row r="1204" spans="4:5">
      <c r="D1204" s="1">
        <v>11990</v>
      </c>
      <c r="E1204" s="1">
        <v>3.4019900000000001</v>
      </c>
    </row>
    <row r="1205" spans="4:5">
      <c r="D1205" s="1">
        <v>12000</v>
      </c>
      <c r="E1205" s="1">
        <v>3.49641</v>
      </c>
    </row>
    <row r="1206" spans="4:5">
      <c r="D1206" s="1">
        <v>12010</v>
      </c>
      <c r="E1206" s="1">
        <v>3.49641</v>
      </c>
    </row>
    <row r="1207" spans="4:5">
      <c r="D1207" s="1">
        <v>12020</v>
      </c>
      <c r="E1207" s="1">
        <v>3.7685599999999999</v>
      </c>
    </row>
    <row r="1208" spans="4:5">
      <c r="D1208" s="1">
        <v>12030</v>
      </c>
      <c r="E1208" s="1">
        <v>3.7685599999999999</v>
      </c>
    </row>
    <row r="1209" spans="4:5">
      <c r="D1209" s="1">
        <v>12040</v>
      </c>
      <c r="E1209" s="1">
        <v>4.0780200000000004</v>
      </c>
    </row>
    <row r="1210" spans="4:5">
      <c r="D1210" s="1">
        <v>12050</v>
      </c>
      <c r="E1210" s="1">
        <v>4.0780200000000004</v>
      </c>
    </row>
    <row r="1211" spans="4:5">
      <c r="D1211" s="1">
        <v>12060</v>
      </c>
      <c r="E1211" s="1">
        <v>3.5591200000000001</v>
      </c>
    </row>
    <row r="1212" spans="4:5">
      <c r="D1212" s="1">
        <v>12070</v>
      </c>
      <c r="E1212" s="1">
        <v>3.5591200000000001</v>
      </c>
    </row>
    <row r="1213" spans="4:5">
      <c r="D1213" s="1">
        <v>12080</v>
      </c>
      <c r="E1213" s="1">
        <v>3.6429100000000001</v>
      </c>
    </row>
    <row r="1214" spans="4:5">
      <c r="D1214" s="1">
        <v>12090</v>
      </c>
      <c r="E1214" s="1">
        <v>3.6429100000000001</v>
      </c>
    </row>
    <row r="1215" spans="4:5">
      <c r="D1215" s="1">
        <v>12100</v>
      </c>
      <c r="E1215" s="1">
        <v>3.9645899999999998</v>
      </c>
    </row>
    <row r="1216" spans="4:5">
      <c r="D1216" s="1">
        <v>12110</v>
      </c>
      <c r="E1216" s="1">
        <v>3.9645899999999998</v>
      </c>
    </row>
    <row r="1217" spans="4:5">
      <c r="D1217" s="1">
        <v>12120</v>
      </c>
      <c r="E1217" s="1">
        <v>3.3589600000000002</v>
      </c>
    </row>
    <row r="1218" spans="4:5">
      <c r="D1218" s="1">
        <v>12130</v>
      </c>
      <c r="E1218" s="1">
        <v>3.3589600000000002</v>
      </c>
    </row>
    <row r="1219" spans="4:5">
      <c r="D1219" s="1">
        <v>12140</v>
      </c>
      <c r="E1219" s="1">
        <v>4.02677</v>
      </c>
    </row>
    <row r="1220" spans="4:5">
      <c r="D1220" s="1">
        <v>12150</v>
      </c>
      <c r="E1220" s="1">
        <v>4.02677</v>
      </c>
    </row>
    <row r="1221" spans="4:5">
      <c r="D1221" s="1">
        <v>12160</v>
      </c>
      <c r="E1221" s="1">
        <v>3.7552599999999998</v>
      </c>
    </row>
    <row r="1222" spans="4:5">
      <c r="D1222" s="1">
        <v>12170</v>
      </c>
      <c r="E1222" s="1">
        <v>3.7552599999999998</v>
      </c>
    </row>
    <row r="1223" spans="4:5">
      <c r="D1223" s="1">
        <v>12180</v>
      </c>
      <c r="E1223" s="1">
        <v>3.8996499999999998</v>
      </c>
    </row>
    <row r="1224" spans="4:5">
      <c r="D1224" s="1">
        <v>12190</v>
      </c>
      <c r="E1224" s="1">
        <v>3.8996499999999998</v>
      </c>
    </row>
    <row r="1225" spans="4:5">
      <c r="D1225" s="1">
        <v>12200</v>
      </c>
      <c r="E1225" s="1">
        <v>3.43519</v>
      </c>
    </row>
    <row r="1226" spans="4:5">
      <c r="D1226" s="1">
        <v>12210</v>
      </c>
      <c r="E1226" s="1">
        <v>3.43519</v>
      </c>
    </row>
    <row r="1227" spans="4:5">
      <c r="D1227" s="1">
        <v>12220</v>
      </c>
      <c r="E1227" s="1">
        <v>3.9530699999999999</v>
      </c>
    </row>
    <row r="1228" spans="4:5">
      <c r="D1228" s="1">
        <v>12230</v>
      </c>
      <c r="E1228" s="1">
        <v>3.9530699999999999</v>
      </c>
    </row>
    <row r="1229" spans="4:5">
      <c r="D1229" s="1">
        <v>12240</v>
      </c>
      <c r="E1229" s="1">
        <v>3.9644499999999998</v>
      </c>
    </row>
    <row r="1230" spans="4:5">
      <c r="D1230" s="1">
        <v>12250</v>
      </c>
      <c r="E1230" s="1">
        <v>3.9644499999999998</v>
      </c>
    </row>
    <row r="1231" spans="4:5">
      <c r="D1231" s="1">
        <v>12260</v>
      </c>
      <c r="E1231" s="1">
        <v>3.9546800000000002</v>
      </c>
    </row>
    <row r="1232" spans="4:5">
      <c r="D1232" s="1">
        <v>12270</v>
      </c>
      <c r="E1232" s="1">
        <v>3.9546800000000002</v>
      </c>
    </row>
    <row r="1233" spans="4:5">
      <c r="D1233" s="1">
        <v>12280</v>
      </c>
      <c r="E1233" s="1">
        <v>3.7395200000000002</v>
      </c>
    </row>
    <row r="1234" spans="4:5">
      <c r="D1234" s="1">
        <v>12290</v>
      </c>
      <c r="E1234" s="1">
        <v>3.7395200000000002</v>
      </c>
    </row>
    <row r="1235" spans="4:5">
      <c r="D1235" s="1">
        <v>12300</v>
      </c>
      <c r="E1235" s="1">
        <v>3.9607800000000002</v>
      </c>
    </row>
    <row r="1236" spans="4:5">
      <c r="D1236" s="1">
        <v>12310</v>
      </c>
      <c r="E1236" s="1">
        <v>3.9607800000000002</v>
      </c>
    </row>
    <row r="1237" spans="4:5">
      <c r="D1237" s="1">
        <v>12320</v>
      </c>
      <c r="E1237" s="1">
        <v>3.83162</v>
      </c>
    </row>
    <row r="1238" spans="4:5">
      <c r="D1238" s="1">
        <v>12330</v>
      </c>
      <c r="E1238" s="1">
        <v>3.83162</v>
      </c>
    </row>
    <row r="1239" spans="4:5">
      <c r="D1239" s="1">
        <v>12340</v>
      </c>
      <c r="E1239" s="1">
        <v>3.88829</v>
      </c>
    </row>
    <row r="1240" spans="4:5">
      <c r="D1240" s="1">
        <v>12350</v>
      </c>
      <c r="E1240" s="1">
        <v>3.88829</v>
      </c>
    </row>
    <row r="1241" spans="4:5">
      <c r="D1241" s="1">
        <v>12360</v>
      </c>
      <c r="E1241" s="1">
        <v>3.8997600000000001</v>
      </c>
    </row>
    <row r="1242" spans="4:5">
      <c r="D1242" s="1">
        <v>12370</v>
      </c>
      <c r="E1242" s="1">
        <v>3.8997600000000001</v>
      </c>
    </row>
    <row r="1243" spans="4:5">
      <c r="D1243" s="1">
        <v>12380</v>
      </c>
      <c r="E1243" s="1">
        <v>3.4889700000000001</v>
      </c>
    </row>
    <row r="1244" spans="4:5">
      <c r="D1244" s="1">
        <v>12390</v>
      </c>
      <c r="E1244" s="1">
        <v>3.4889700000000001</v>
      </c>
    </row>
    <row r="1245" spans="4:5">
      <c r="D1245" s="1">
        <v>12400</v>
      </c>
      <c r="E1245" s="1">
        <v>3.8887100000000001</v>
      </c>
    </row>
    <row r="1246" spans="4:5">
      <c r="D1246" s="1">
        <v>12410</v>
      </c>
      <c r="E1246" s="1">
        <v>3.8887100000000001</v>
      </c>
    </row>
    <row r="1247" spans="4:5">
      <c r="D1247" s="1">
        <v>12420</v>
      </c>
      <c r="E1247" s="1">
        <v>4.0380700000000003</v>
      </c>
    </row>
    <row r="1248" spans="4:5">
      <c r="D1248" s="1">
        <v>12430</v>
      </c>
      <c r="E1248" s="1">
        <v>4.0380700000000003</v>
      </c>
    </row>
    <row r="1249" spans="4:5">
      <c r="D1249" s="1">
        <v>12440</v>
      </c>
      <c r="E1249" s="1">
        <v>3.3856099999999998</v>
      </c>
    </row>
    <row r="1250" spans="4:5">
      <c r="D1250" s="1">
        <v>12450</v>
      </c>
      <c r="E1250" s="1">
        <v>3.3856099999999998</v>
      </c>
    </row>
    <row r="1251" spans="4:5">
      <c r="D1251" s="1">
        <v>12460</v>
      </c>
      <c r="E1251" s="1">
        <v>3.7301099999999998</v>
      </c>
    </row>
    <row r="1252" spans="4:5">
      <c r="D1252" s="1">
        <v>12470</v>
      </c>
      <c r="E1252" s="1">
        <v>3.7301099999999998</v>
      </c>
    </row>
    <row r="1253" spans="4:5">
      <c r="D1253" s="1">
        <v>12480</v>
      </c>
      <c r="E1253" s="1">
        <v>3.43268</v>
      </c>
    </row>
    <row r="1254" spans="4:5">
      <c r="D1254" s="1">
        <v>12490</v>
      </c>
      <c r="E1254" s="1">
        <v>3.43268</v>
      </c>
    </row>
    <row r="1255" spans="4:5">
      <c r="D1255" s="1">
        <v>12500</v>
      </c>
      <c r="E1255" s="1">
        <v>3.3407100000000001</v>
      </c>
    </row>
    <row r="1256" spans="4:5">
      <c r="D1256" s="1">
        <v>12510</v>
      </c>
      <c r="E1256" s="1">
        <v>3.3407100000000001</v>
      </c>
    </row>
    <row r="1257" spans="4:5">
      <c r="D1257" s="1">
        <v>12520</v>
      </c>
      <c r="E1257" s="1">
        <v>3.33047</v>
      </c>
    </row>
    <row r="1258" spans="4:5">
      <c r="D1258" s="1">
        <v>12530</v>
      </c>
      <c r="E1258" s="1">
        <v>3.33047</v>
      </c>
    </row>
    <row r="1259" spans="4:5">
      <c r="D1259" s="1">
        <v>12540</v>
      </c>
      <c r="E1259" s="1">
        <v>3.2761</v>
      </c>
    </row>
    <row r="1260" spans="4:5">
      <c r="D1260" s="1">
        <v>12550</v>
      </c>
      <c r="E1260" s="1">
        <v>3.2761</v>
      </c>
    </row>
    <row r="1261" spans="4:5">
      <c r="D1261" s="1">
        <v>12560</v>
      </c>
      <c r="E1261" s="1">
        <v>3.6743399999999999</v>
      </c>
    </row>
    <row r="1262" spans="4:5">
      <c r="D1262" s="1">
        <v>12570</v>
      </c>
      <c r="E1262" s="1">
        <v>3.6743399999999999</v>
      </c>
    </row>
    <row r="1263" spans="4:5">
      <c r="D1263" s="1">
        <v>12580</v>
      </c>
      <c r="E1263" s="1">
        <v>3.5412699999999999</v>
      </c>
    </row>
    <row r="1264" spans="4:5">
      <c r="D1264" s="1">
        <v>12590</v>
      </c>
      <c r="E1264" s="1">
        <v>3.5412699999999999</v>
      </c>
    </row>
    <row r="1265" spans="4:5">
      <c r="D1265" s="1">
        <v>12600</v>
      </c>
      <c r="E1265" s="1">
        <v>3.8008099999999998</v>
      </c>
    </row>
    <row r="1266" spans="4:5">
      <c r="D1266" s="1">
        <v>12610</v>
      </c>
      <c r="E1266" s="1">
        <v>3.8008099999999998</v>
      </c>
    </row>
    <row r="1267" spans="4:5">
      <c r="D1267" s="1">
        <v>12620</v>
      </c>
      <c r="E1267" s="1">
        <v>3.8653900000000001</v>
      </c>
    </row>
    <row r="1268" spans="4:5">
      <c r="D1268" s="1">
        <v>12630</v>
      </c>
      <c r="E1268" s="1">
        <v>3.8653900000000001</v>
      </c>
    </row>
    <row r="1269" spans="4:5">
      <c r="D1269" s="1">
        <v>12640</v>
      </c>
      <c r="E1269" s="1">
        <v>3.7751899999999998</v>
      </c>
    </row>
    <row r="1270" spans="4:5">
      <c r="D1270" s="1">
        <v>12650</v>
      </c>
      <c r="E1270" s="1">
        <v>3.7751899999999998</v>
      </c>
    </row>
    <row r="1271" spans="4:5">
      <c r="D1271" s="1">
        <v>12660</v>
      </c>
      <c r="E1271" s="1">
        <v>3.5893600000000001</v>
      </c>
    </row>
    <row r="1272" spans="4:5">
      <c r="D1272" s="1">
        <v>12670</v>
      </c>
      <c r="E1272" s="1">
        <v>3.5893600000000001</v>
      </c>
    </row>
    <row r="1273" spans="4:5">
      <c r="D1273" s="1">
        <v>12680</v>
      </c>
      <c r="E1273" s="1">
        <v>3.7732100000000002</v>
      </c>
    </row>
    <row r="1274" spans="4:5">
      <c r="D1274" s="1">
        <v>12690</v>
      </c>
      <c r="E1274" s="1">
        <v>3.7732100000000002</v>
      </c>
    </row>
    <row r="1275" spans="4:5">
      <c r="D1275" s="1">
        <v>12700</v>
      </c>
      <c r="E1275" s="1">
        <v>4.0417800000000002</v>
      </c>
    </row>
    <row r="1276" spans="4:5">
      <c r="D1276" s="1">
        <v>12710</v>
      </c>
      <c r="E1276" s="1">
        <v>4.0417800000000002</v>
      </c>
    </row>
    <row r="1277" spans="4:5">
      <c r="D1277" s="1">
        <v>12720</v>
      </c>
      <c r="E1277" s="1">
        <v>4.1345999999999998</v>
      </c>
    </row>
    <row r="1278" spans="4:5">
      <c r="D1278" s="1">
        <v>12730</v>
      </c>
      <c r="E1278" s="1">
        <v>4.1345999999999998</v>
      </c>
    </row>
    <row r="1279" spans="4:5">
      <c r="D1279" s="1">
        <v>12740</v>
      </c>
      <c r="E1279" s="1">
        <v>3.6743199999999998</v>
      </c>
    </row>
    <row r="1280" spans="4:5">
      <c r="D1280" s="1">
        <v>12750</v>
      </c>
      <c r="E1280" s="1">
        <v>3.6743199999999998</v>
      </c>
    </row>
    <row r="1281" spans="4:5">
      <c r="D1281" s="1">
        <v>12760</v>
      </c>
      <c r="E1281" s="1">
        <v>3.6140699999999999</v>
      </c>
    </row>
    <row r="1282" spans="4:5">
      <c r="D1282" s="1">
        <v>12770</v>
      </c>
      <c r="E1282" s="1">
        <v>3.6140699999999999</v>
      </c>
    </row>
    <row r="1283" spans="4:5">
      <c r="D1283" s="1">
        <v>12780</v>
      </c>
      <c r="E1283" s="1">
        <v>4.1298199999999996</v>
      </c>
    </row>
    <row r="1284" spans="4:5">
      <c r="D1284" s="1">
        <v>12790</v>
      </c>
      <c r="E1284" s="1">
        <v>4.1298199999999996</v>
      </c>
    </row>
    <row r="1285" spans="4:5">
      <c r="D1285" s="1">
        <v>12800</v>
      </c>
      <c r="E1285" s="1">
        <v>4.14168</v>
      </c>
    </row>
    <row r="1286" spans="4:5">
      <c r="D1286" s="1">
        <v>12810</v>
      </c>
      <c r="E1286" s="1">
        <v>4.14168</v>
      </c>
    </row>
    <row r="1287" spans="4:5">
      <c r="D1287" s="1">
        <v>12820</v>
      </c>
      <c r="E1287" s="1">
        <v>4.0512800000000002</v>
      </c>
    </row>
    <row r="1288" spans="4:5">
      <c r="D1288" s="1">
        <v>12830</v>
      </c>
      <c r="E1288" s="1">
        <v>4.0512800000000002</v>
      </c>
    </row>
    <row r="1289" spans="4:5">
      <c r="D1289" s="1">
        <v>12840</v>
      </c>
      <c r="E1289" s="1">
        <v>3.7220200000000001</v>
      </c>
    </row>
    <row r="1290" spans="4:5">
      <c r="D1290" s="1">
        <v>12850</v>
      </c>
      <c r="E1290" s="1">
        <v>3.7220200000000001</v>
      </c>
    </row>
    <row r="1291" spans="4:5">
      <c r="D1291" s="1">
        <v>12860</v>
      </c>
      <c r="E1291" s="1">
        <v>3.6580599999999999</v>
      </c>
    </row>
    <row r="1292" spans="4:5">
      <c r="D1292" s="1">
        <v>12870</v>
      </c>
      <c r="E1292" s="1">
        <v>3.6580599999999999</v>
      </c>
    </row>
    <row r="1293" spans="4:5">
      <c r="D1293" s="1">
        <v>12880</v>
      </c>
      <c r="E1293" s="1">
        <v>3.95641</v>
      </c>
    </row>
    <row r="1294" spans="4:5">
      <c r="D1294" s="1">
        <v>12890</v>
      </c>
      <c r="E1294" s="1">
        <v>3.95641</v>
      </c>
    </row>
    <row r="1295" spans="4:5">
      <c r="D1295" s="1">
        <v>12900</v>
      </c>
      <c r="E1295" s="1">
        <v>3.6340300000000001</v>
      </c>
    </row>
    <row r="1296" spans="4:5">
      <c r="D1296" s="1">
        <v>12910</v>
      </c>
      <c r="E1296" s="1">
        <v>3.6340300000000001</v>
      </c>
    </row>
    <row r="1297" spans="4:5">
      <c r="D1297" s="1">
        <v>12920</v>
      </c>
      <c r="E1297" s="1">
        <v>4.0002500000000003</v>
      </c>
    </row>
    <row r="1298" spans="4:5">
      <c r="D1298" s="1">
        <v>12930</v>
      </c>
      <c r="E1298" s="1">
        <v>4.0002500000000003</v>
      </c>
    </row>
    <row r="1299" spans="4:5">
      <c r="D1299" s="1">
        <v>12940</v>
      </c>
      <c r="E1299" s="1">
        <v>3.99444</v>
      </c>
    </row>
    <row r="1300" spans="4:5">
      <c r="D1300" s="1">
        <v>12950</v>
      </c>
      <c r="E1300" s="1">
        <v>3.99444</v>
      </c>
    </row>
    <row r="1301" spans="4:5">
      <c r="D1301" s="1">
        <v>12960</v>
      </c>
      <c r="E1301" s="1">
        <v>4.0041900000000004</v>
      </c>
    </row>
    <row r="1302" spans="4:5">
      <c r="D1302" s="1">
        <v>12970</v>
      </c>
      <c r="E1302" s="1">
        <v>4.0041900000000004</v>
      </c>
    </row>
    <row r="1303" spans="4:5">
      <c r="D1303" s="1">
        <v>12980</v>
      </c>
      <c r="E1303" s="1">
        <v>3.8081499999999999</v>
      </c>
    </row>
    <row r="1304" spans="4:5">
      <c r="D1304" s="1">
        <v>12990</v>
      </c>
      <c r="E1304" s="1">
        <v>3.8081499999999999</v>
      </c>
    </row>
    <row r="1305" spans="4:5">
      <c r="D1305" s="1">
        <v>13000</v>
      </c>
      <c r="E1305" s="1">
        <v>4.1596000000000002</v>
      </c>
    </row>
    <row r="1306" spans="4:5">
      <c r="D1306" s="1">
        <v>13010</v>
      </c>
      <c r="E1306" s="1">
        <v>4.1596000000000002</v>
      </c>
    </row>
    <row r="1307" spans="4:5">
      <c r="D1307" s="1">
        <v>13020</v>
      </c>
      <c r="E1307" s="1">
        <v>3.6601900000000001</v>
      </c>
    </row>
    <row r="1308" spans="4:5">
      <c r="D1308" s="1">
        <v>13030</v>
      </c>
      <c r="E1308" s="1">
        <v>3.6601900000000001</v>
      </c>
    </row>
    <row r="1309" spans="4:5">
      <c r="D1309" s="1">
        <v>13040</v>
      </c>
      <c r="E1309" s="1">
        <v>3.9285899999999998</v>
      </c>
    </row>
    <row r="1310" spans="4:5">
      <c r="D1310" s="1">
        <v>13050</v>
      </c>
      <c r="E1310" s="1">
        <v>3.9285899999999998</v>
      </c>
    </row>
    <row r="1311" spans="4:5">
      <c r="D1311" s="1">
        <v>13060</v>
      </c>
      <c r="E1311" s="1">
        <v>3.7351999999999999</v>
      </c>
    </row>
    <row r="1312" spans="4:5">
      <c r="D1312" s="1">
        <v>13070</v>
      </c>
      <c r="E1312" s="1">
        <v>3.7351999999999999</v>
      </c>
    </row>
    <row r="1313" spans="4:5">
      <c r="D1313" s="1">
        <v>13080</v>
      </c>
      <c r="E1313" s="1">
        <v>3.3110900000000001</v>
      </c>
    </row>
    <row r="1314" spans="4:5">
      <c r="D1314" s="1">
        <v>13090</v>
      </c>
      <c r="E1314" s="1">
        <v>3.3110900000000001</v>
      </c>
    </row>
    <row r="1315" spans="4:5">
      <c r="D1315" s="1">
        <v>13100</v>
      </c>
      <c r="E1315" s="1">
        <v>3.6647099999999999</v>
      </c>
    </row>
    <row r="1316" spans="4:5">
      <c r="D1316" s="1">
        <v>13110</v>
      </c>
      <c r="E1316" s="1">
        <v>3.6647099999999999</v>
      </c>
    </row>
    <row r="1317" spans="4:5">
      <c r="D1317" s="1">
        <v>13120</v>
      </c>
      <c r="E1317" s="1">
        <v>3.9664899999999998</v>
      </c>
    </row>
    <row r="1318" spans="4:5">
      <c r="D1318" s="1">
        <v>13130</v>
      </c>
      <c r="E1318" s="1">
        <v>3.9664899999999998</v>
      </c>
    </row>
    <row r="1319" spans="4:5">
      <c r="D1319" s="1">
        <v>13140</v>
      </c>
      <c r="E1319" s="1">
        <v>3.5026799999999998</v>
      </c>
    </row>
    <row r="1320" spans="4:5">
      <c r="D1320" s="1">
        <v>13150</v>
      </c>
      <c r="E1320" s="1">
        <v>3.5026799999999998</v>
      </c>
    </row>
    <row r="1321" spans="4:5">
      <c r="D1321" s="1">
        <v>13160</v>
      </c>
      <c r="E1321" s="1">
        <v>3.57185</v>
      </c>
    </row>
    <row r="1322" spans="4:5">
      <c r="D1322" s="1">
        <v>13170</v>
      </c>
      <c r="E1322" s="1">
        <v>3.57185</v>
      </c>
    </row>
    <row r="1323" spans="4:5">
      <c r="D1323" s="1">
        <v>13180</v>
      </c>
      <c r="E1323" s="1">
        <v>3.8421599999999998</v>
      </c>
    </row>
    <row r="1324" spans="4:5">
      <c r="D1324" s="1">
        <v>13190</v>
      </c>
      <c r="E1324" s="1">
        <v>3.8421599999999998</v>
      </c>
    </row>
    <row r="1325" spans="4:5">
      <c r="D1325" s="1">
        <v>13200</v>
      </c>
      <c r="E1325" s="1">
        <v>3.6551800000000001</v>
      </c>
    </row>
    <row r="1326" spans="4:5">
      <c r="D1326" s="1">
        <v>13210</v>
      </c>
      <c r="E1326" s="1">
        <v>3.6551800000000001</v>
      </c>
    </row>
    <row r="1327" spans="4:5">
      <c r="D1327" s="1">
        <v>13220</v>
      </c>
      <c r="E1327" s="1">
        <v>3.59579</v>
      </c>
    </row>
    <row r="1328" spans="4:5">
      <c r="D1328" s="1">
        <v>13230</v>
      </c>
      <c r="E1328" s="1">
        <v>3.59579</v>
      </c>
    </row>
    <row r="1329" spans="4:5">
      <c r="D1329" s="1">
        <v>13240</v>
      </c>
      <c r="E1329" s="1">
        <v>3.5923699999999998</v>
      </c>
    </row>
    <row r="1330" spans="4:5">
      <c r="D1330" s="1">
        <v>13250</v>
      </c>
      <c r="E1330" s="1">
        <v>3.5923699999999998</v>
      </c>
    </row>
    <row r="1331" spans="4:5">
      <c r="D1331" s="1">
        <v>13260</v>
      </c>
      <c r="E1331" s="1">
        <v>3.6344699999999999</v>
      </c>
    </row>
    <row r="1332" spans="4:5">
      <c r="D1332" s="1">
        <v>13270</v>
      </c>
      <c r="E1332" s="1">
        <v>3.6344699999999999</v>
      </c>
    </row>
    <row r="1333" spans="4:5">
      <c r="D1333" s="1">
        <v>13280</v>
      </c>
      <c r="E1333" s="1">
        <v>3.49044</v>
      </c>
    </row>
    <row r="1334" spans="4:5">
      <c r="D1334" s="1">
        <v>13290</v>
      </c>
      <c r="E1334" s="1">
        <v>3.49044</v>
      </c>
    </row>
    <row r="1335" spans="4:5">
      <c r="D1335" s="1">
        <v>13300</v>
      </c>
      <c r="E1335" s="1">
        <v>3.8208799999999998</v>
      </c>
    </row>
    <row r="1336" spans="4:5">
      <c r="D1336" s="1">
        <v>13310</v>
      </c>
      <c r="E1336" s="1">
        <v>3.8208799999999998</v>
      </c>
    </row>
    <row r="1337" spans="4:5">
      <c r="D1337" s="1">
        <v>13320</v>
      </c>
      <c r="E1337" s="1">
        <v>4.0041799999999999</v>
      </c>
    </row>
    <row r="1338" spans="4:5">
      <c r="D1338" s="1">
        <v>13330</v>
      </c>
      <c r="E1338" s="1">
        <v>4.0041799999999999</v>
      </c>
    </row>
    <row r="1339" spans="4:5">
      <c r="D1339" s="1">
        <v>13340</v>
      </c>
      <c r="E1339" s="1">
        <v>3.9413399999999998</v>
      </c>
    </row>
    <row r="1340" spans="4:5">
      <c r="D1340" s="1">
        <v>13350</v>
      </c>
      <c r="E1340" s="1">
        <v>3.9413399999999998</v>
      </c>
    </row>
    <row r="1341" spans="4:5">
      <c r="D1341" s="1">
        <v>13360</v>
      </c>
      <c r="E1341" s="1">
        <v>3.6231599999999999</v>
      </c>
    </row>
    <row r="1342" spans="4:5">
      <c r="D1342" s="1">
        <v>13370</v>
      </c>
      <c r="E1342" s="1">
        <v>3.6231599999999999</v>
      </c>
    </row>
    <row r="1343" spans="4:5">
      <c r="D1343" s="1">
        <v>13380</v>
      </c>
      <c r="E1343" s="1">
        <v>3.7921</v>
      </c>
    </row>
    <row r="1344" spans="4:5">
      <c r="D1344" s="1">
        <v>13390</v>
      </c>
      <c r="E1344" s="1">
        <v>3.7921</v>
      </c>
    </row>
    <row r="1345" spans="4:5">
      <c r="D1345" s="1">
        <v>13400</v>
      </c>
      <c r="E1345" s="1">
        <v>3.7543099999999998</v>
      </c>
    </row>
    <row r="1346" spans="4:5">
      <c r="D1346" s="1">
        <v>13410</v>
      </c>
      <c r="E1346" s="1">
        <v>3.7543099999999998</v>
      </c>
    </row>
    <row r="1347" spans="4:5">
      <c r="D1347" s="1">
        <v>13420</v>
      </c>
      <c r="E1347" s="1">
        <v>3.8112400000000002</v>
      </c>
    </row>
    <row r="1348" spans="4:5">
      <c r="D1348" s="1">
        <v>13430</v>
      </c>
      <c r="E1348" s="1">
        <v>3.8112400000000002</v>
      </c>
    </row>
    <row r="1349" spans="4:5">
      <c r="D1349" s="1">
        <v>13440</v>
      </c>
      <c r="E1349" s="1">
        <v>4.0663099999999996</v>
      </c>
    </row>
    <row r="1350" spans="4:5">
      <c r="D1350" s="1">
        <v>13450</v>
      </c>
      <c r="E1350" s="1">
        <v>4.0663099999999996</v>
      </c>
    </row>
    <row r="1351" spans="4:5">
      <c r="D1351" s="1">
        <v>13460</v>
      </c>
      <c r="E1351" s="1">
        <v>3.6019800000000002</v>
      </c>
    </row>
    <row r="1352" spans="4:5">
      <c r="D1352" s="1">
        <v>13470</v>
      </c>
      <c r="E1352" s="1">
        <v>3.6019800000000002</v>
      </c>
    </row>
    <row r="1353" spans="4:5">
      <c r="D1353" s="1">
        <v>13480</v>
      </c>
      <c r="E1353" s="1">
        <v>3.4048500000000002</v>
      </c>
    </row>
    <row r="1354" spans="4:5">
      <c r="D1354" s="1">
        <v>13490</v>
      </c>
      <c r="E1354" s="1">
        <v>3.4048500000000002</v>
      </c>
    </row>
    <row r="1355" spans="4:5">
      <c r="D1355" s="1">
        <v>13500</v>
      </c>
      <c r="E1355" s="1">
        <v>4.0290100000000004</v>
      </c>
    </row>
    <row r="1356" spans="4:5">
      <c r="D1356" s="1">
        <v>13510</v>
      </c>
      <c r="E1356" s="1">
        <v>4.0290100000000004</v>
      </c>
    </row>
    <row r="1357" spans="4:5">
      <c r="D1357" s="1">
        <v>13520</v>
      </c>
      <c r="E1357" s="1">
        <v>3.3038500000000002</v>
      </c>
    </row>
    <row r="1358" spans="4:5">
      <c r="D1358" s="1">
        <v>13530</v>
      </c>
      <c r="E1358" s="1">
        <v>3.3038500000000002</v>
      </c>
    </row>
    <row r="1359" spans="4:5">
      <c r="D1359" s="1">
        <v>13540</v>
      </c>
      <c r="E1359" s="1">
        <v>3.9699200000000001</v>
      </c>
    </row>
    <row r="1360" spans="4:5">
      <c r="D1360" s="1">
        <v>13550</v>
      </c>
      <c r="E1360" s="1">
        <v>3.9699200000000001</v>
      </c>
    </row>
    <row r="1361" spans="4:5">
      <c r="D1361" s="1">
        <v>13560</v>
      </c>
      <c r="E1361" s="1">
        <v>3.9397899999999999</v>
      </c>
    </row>
    <row r="1362" spans="4:5">
      <c r="D1362" s="1">
        <v>13570</v>
      </c>
      <c r="E1362" s="1">
        <v>3.9397899999999999</v>
      </c>
    </row>
    <row r="1363" spans="4:5">
      <c r="D1363" s="1">
        <v>13580</v>
      </c>
      <c r="E1363" s="1">
        <v>3.83683</v>
      </c>
    </row>
    <row r="1364" spans="4:5">
      <c r="D1364" s="1">
        <v>13590</v>
      </c>
      <c r="E1364" s="1">
        <v>3.83683</v>
      </c>
    </row>
    <row r="1365" spans="4:5">
      <c r="D1365" s="1">
        <v>13600</v>
      </c>
      <c r="E1365" s="1">
        <v>3.7507700000000002</v>
      </c>
    </row>
    <row r="1366" spans="4:5">
      <c r="D1366" s="1">
        <v>13610</v>
      </c>
      <c r="E1366" s="1">
        <v>3.7507700000000002</v>
      </c>
    </row>
    <row r="1367" spans="4:5">
      <c r="D1367" s="1">
        <v>13620</v>
      </c>
      <c r="E1367" s="1">
        <v>3.3586900000000002</v>
      </c>
    </row>
    <row r="1368" spans="4:5">
      <c r="D1368" s="1">
        <v>13630</v>
      </c>
      <c r="E1368" s="1">
        <v>3.3586900000000002</v>
      </c>
    </row>
    <row r="1369" spans="4:5">
      <c r="D1369" s="1">
        <v>13640</v>
      </c>
      <c r="E1369" s="1">
        <v>3.77291</v>
      </c>
    </row>
    <row r="1370" spans="4:5">
      <c r="D1370" s="1">
        <v>13650</v>
      </c>
      <c r="E1370" s="1">
        <v>3.77291</v>
      </c>
    </row>
    <row r="1371" spans="4:5">
      <c r="D1371" s="1">
        <v>13660</v>
      </c>
      <c r="E1371" s="1">
        <v>3.60412</v>
      </c>
    </row>
    <row r="1372" spans="4:5">
      <c r="D1372" s="1">
        <v>13670</v>
      </c>
      <c r="E1372" s="1">
        <v>3.60412</v>
      </c>
    </row>
    <row r="1373" spans="4:5">
      <c r="D1373" s="1">
        <v>13680</v>
      </c>
      <c r="E1373" s="1">
        <v>3.3627699999999998</v>
      </c>
    </row>
    <row r="1374" spans="4:5">
      <c r="D1374" s="1">
        <v>13690</v>
      </c>
      <c r="E1374" s="1">
        <v>3.3627699999999998</v>
      </c>
    </row>
    <row r="1375" spans="4:5">
      <c r="D1375" s="1">
        <v>13700</v>
      </c>
      <c r="E1375" s="1">
        <v>3.5450300000000001</v>
      </c>
    </row>
    <row r="1376" spans="4:5">
      <c r="D1376" s="1">
        <v>13710</v>
      </c>
      <c r="E1376" s="1">
        <v>3.5450300000000001</v>
      </c>
    </row>
    <row r="1377" spans="4:5">
      <c r="D1377" s="1">
        <v>13720</v>
      </c>
      <c r="E1377" s="1">
        <v>3.4414199999999999</v>
      </c>
    </row>
    <row r="1378" spans="4:5">
      <c r="D1378" s="1">
        <v>13730</v>
      </c>
      <c r="E1378" s="1">
        <v>3.4414199999999999</v>
      </c>
    </row>
    <row r="1379" spans="4:5">
      <c r="D1379" s="1">
        <v>13740</v>
      </c>
      <c r="E1379" s="1">
        <v>3.6387299999999998</v>
      </c>
    </row>
    <row r="1380" spans="4:5">
      <c r="D1380" s="1">
        <v>13750</v>
      </c>
      <c r="E1380" s="1">
        <v>3.6387299999999998</v>
      </c>
    </row>
    <row r="1381" spans="4:5">
      <c r="D1381" s="1">
        <v>13760</v>
      </c>
      <c r="E1381" s="1">
        <v>3.8752599999999999</v>
      </c>
    </row>
    <row r="1382" spans="4:5">
      <c r="D1382" s="1">
        <v>13770</v>
      </c>
      <c r="E1382" s="1">
        <v>3.8752599999999999</v>
      </c>
    </row>
    <row r="1383" spans="4:5">
      <c r="D1383" s="1">
        <v>13780</v>
      </c>
      <c r="E1383" s="1">
        <v>3.48502</v>
      </c>
    </row>
    <row r="1384" spans="4:5">
      <c r="D1384" s="1">
        <v>13790</v>
      </c>
      <c r="E1384" s="1">
        <v>3.48502</v>
      </c>
    </row>
    <row r="1385" spans="4:5">
      <c r="D1385" s="1">
        <v>13800</v>
      </c>
      <c r="E1385" s="1">
        <v>4.09375</v>
      </c>
    </row>
    <row r="1386" spans="4:5">
      <c r="D1386" s="1">
        <v>13810</v>
      </c>
      <c r="E1386" s="1">
        <v>4.09375</v>
      </c>
    </row>
    <row r="1387" spans="4:5">
      <c r="D1387" s="1">
        <v>13820</v>
      </c>
      <c r="E1387" s="1">
        <v>4.1771900000000004</v>
      </c>
    </row>
    <row r="1388" spans="4:5">
      <c r="D1388" s="1">
        <v>13830</v>
      </c>
      <c r="E1388" s="1">
        <v>4.1771900000000004</v>
      </c>
    </row>
    <row r="1389" spans="4:5">
      <c r="D1389" s="1">
        <v>13840</v>
      </c>
      <c r="E1389" s="1">
        <v>4.0696599999999998</v>
      </c>
    </row>
    <row r="1390" spans="4:5">
      <c r="D1390" s="1">
        <v>13850</v>
      </c>
      <c r="E1390" s="1">
        <v>4.0696599999999998</v>
      </c>
    </row>
    <row r="1391" spans="4:5">
      <c r="D1391" s="1">
        <v>13860</v>
      </c>
      <c r="E1391" s="1">
        <v>3.6034999999999999</v>
      </c>
    </row>
    <row r="1392" spans="4:5">
      <c r="D1392" s="1">
        <v>13870</v>
      </c>
      <c r="E1392" s="1">
        <v>3.6034999999999999</v>
      </c>
    </row>
    <row r="1393" spans="4:5">
      <c r="D1393" s="1">
        <v>13880</v>
      </c>
      <c r="E1393" s="1">
        <v>3.8408099999999998</v>
      </c>
    </row>
    <row r="1394" spans="4:5">
      <c r="D1394" s="1">
        <v>13890</v>
      </c>
      <c r="E1394" s="1">
        <v>3.8408099999999998</v>
      </c>
    </row>
    <row r="1395" spans="4:5">
      <c r="D1395" s="1">
        <v>13900</v>
      </c>
      <c r="E1395" s="1">
        <v>3.4586700000000001</v>
      </c>
    </row>
    <row r="1396" spans="4:5">
      <c r="D1396" s="1">
        <v>13910</v>
      </c>
      <c r="E1396" s="1">
        <v>3.4586700000000001</v>
      </c>
    </row>
    <row r="1397" spans="4:5">
      <c r="D1397" s="1">
        <v>13920</v>
      </c>
      <c r="E1397" s="1">
        <v>3.7235100000000001</v>
      </c>
    </row>
    <row r="1398" spans="4:5">
      <c r="D1398" s="1">
        <v>13930</v>
      </c>
      <c r="E1398" s="1">
        <v>3.7235100000000001</v>
      </c>
    </row>
    <row r="1399" spans="4:5">
      <c r="D1399" s="1">
        <v>13940</v>
      </c>
      <c r="E1399" s="1">
        <v>3.9070499999999999</v>
      </c>
    </row>
    <row r="1400" spans="4:5">
      <c r="D1400" s="1">
        <v>13950</v>
      </c>
      <c r="E1400" s="1">
        <v>3.9070499999999999</v>
      </c>
    </row>
    <row r="1401" spans="4:5">
      <c r="D1401" s="1">
        <v>13960</v>
      </c>
      <c r="E1401" s="1">
        <v>4.0088100000000004</v>
      </c>
    </row>
    <row r="1402" spans="4:5">
      <c r="D1402" s="1">
        <v>13970</v>
      </c>
      <c r="E1402" s="1">
        <v>4.0088100000000004</v>
      </c>
    </row>
    <row r="1403" spans="4:5">
      <c r="D1403" s="1">
        <v>13980</v>
      </c>
      <c r="E1403" s="1">
        <v>4.05722</v>
      </c>
    </row>
    <row r="1404" spans="4:5">
      <c r="D1404" s="1">
        <v>13990</v>
      </c>
      <c r="E1404" s="1">
        <v>4.05722</v>
      </c>
    </row>
    <row r="1405" spans="4:5">
      <c r="D1405" s="1">
        <v>14000</v>
      </c>
      <c r="E1405" s="1">
        <v>4.0063800000000001</v>
      </c>
    </row>
    <row r="1406" spans="4:5">
      <c r="D1406" s="1">
        <v>14010</v>
      </c>
      <c r="E1406" s="1">
        <v>4.0063800000000001</v>
      </c>
    </row>
    <row r="1407" spans="4:5">
      <c r="D1407" s="1">
        <v>14020</v>
      </c>
      <c r="E1407" s="1">
        <v>3.80891</v>
      </c>
    </row>
    <row r="1408" spans="4:5">
      <c r="D1408" s="1">
        <v>14030</v>
      </c>
      <c r="E1408" s="1">
        <v>3.80891</v>
      </c>
    </row>
    <row r="1409" spans="4:5">
      <c r="D1409" s="1">
        <v>14040</v>
      </c>
      <c r="E1409" s="1">
        <v>3.8639700000000001</v>
      </c>
    </row>
    <row r="1410" spans="4:5">
      <c r="D1410" s="1">
        <v>14050</v>
      </c>
      <c r="E1410" s="1">
        <v>3.8639700000000001</v>
      </c>
    </row>
    <row r="1411" spans="4:5">
      <c r="D1411" s="1">
        <v>14060</v>
      </c>
      <c r="E1411" s="1">
        <v>3.9718300000000002</v>
      </c>
    </row>
    <row r="1412" spans="4:5">
      <c r="D1412" s="1">
        <v>14070</v>
      </c>
      <c r="E1412" s="1">
        <v>3.9718300000000002</v>
      </c>
    </row>
    <row r="1413" spans="4:5">
      <c r="D1413" s="1">
        <v>14080</v>
      </c>
      <c r="E1413" s="1">
        <v>3.95262</v>
      </c>
    </row>
    <row r="1414" spans="4:5">
      <c r="D1414" s="1">
        <v>14090</v>
      </c>
      <c r="E1414" s="1">
        <v>3.95262</v>
      </c>
    </row>
    <row r="1415" spans="4:5">
      <c r="D1415" s="1">
        <v>14100</v>
      </c>
      <c r="E1415" s="1">
        <v>3.9068800000000001</v>
      </c>
    </row>
    <row r="1416" spans="4:5">
      <c r="D1416" s="1">
        <v>14110</v>
      </c>
      <c r="E1416" s="1">
        <v>3.9068800000000001</v>
      </c>
    </row>
    <row r="1417" spans="4:5">
      <c r="D1417" s="1">
        <v>14120</v>
      </c>
      <c r="E1417" s="1">
        <v>3.98251</v>
      </c>
    </row>
    <row r="1418" spans="4:5">
      <c r="D1418" s="1">
        <v>14130</v>
      </c>
      <c r="E1418" s="1">
        <v>3.98251</v>
      </c>
    </row>
    <row r="1419" spans="4:5">
      <c r="D1419" s="1">
        <v>14140</v>
      </c>
      <c r="E1419" s="1">
        <v>4.0480999999999998</v>
      </c>
    </row>
    <row r="1420" spans="4:5">
      <c r="D1420" s="1">
        <v>14150</v>
      </c>
      <c r="E1420" s="1">
        <v>4.0480999999999998</v>
      </c>
    </row>
    <row r="1421" spans="4:5">
      <c r="D1421" s="1">
        <v>14160</v>
      </c>
      <c r="E1421" s="1">
        <v>4.0632000000000001</v>
      </c>
    </row>
    <row r="1422" spans="4:5">
      <c r="D1422" s="1">
        <v>14170</v>
      </c>
      <c r="E1422" s="1">
        <v>4.0632000000000001</v>
      </c>
    </row>
    <row r="1423" spans="4:5">
      <c r="D1423" s="1">
        <v>14180</v>
      </c>
      <c r="E1423" s="1">
        <v>3.9573100000000001</v>
      </c>
    </row>
    <row r="1424" spans="4:5">
      <c r="D1424" s="1">
        <v>14190</v>
      </c>
      <c r="E1424" s="1">
        <v>3.9573100000000001</v>
      </c>
    </row>
    <row r="1425" spans="4:5">
      <c r="D1425" s="1">
        <v>14200</v>
      </c>
      <c r="E1425" s="1">
        <v>4.0217400000000003</v>
      </c>
    </row>
    <row r="1426" spans="4:5">
      <c r="D1426" s="1">
        <v>14210</v>
      </c>
      <c r="E1426" s="1">
        <v>4.0217400000000003</v>
      </c>
    </row>
    <row r="1427" spans="4:5">
      <c r="D1427" s="1">
        <v>14220</v>
      </c>
      <c r="E1427" s="1">
        <v>3.8355800000000002</v>
      </c>
    </row>
    <row r="1428" spans="4:5">
      <c r="D1428" s="1">
        <v>14230</v>
      </c>
      <c r="E1428" s="1">
        <v>3.8355800000000002</v>
      </c>
    </row>
    <row r="1429" spans="4:5">
      <c r="D1429" s="1">
        <v>14240</v>
      </c>
      <c r="E1429" s="1">
        <v>3.8187199999999999</v>
      </c>
    </row>
    <row r="1430" spans="4:5">
      <c r="D1430" s="1">
        <v>14250</v>
      </c>
      <c r="E1430" s="1">
        <v>3.8187199999999999</v>
      </c>
    </row>
    <row r="1431" spans="4:5">
      <c r="D1431" s="1">
        <v>14260</v>
      </c>
      <c r="E1431" s="1">
        <v>3.8246799999999999</v>
      </c>
    </row>
    <row r="1432" spans="4:5">
      <c r="D1432" s="1">
        <v>14270</v>
      </c>
      <c r="E1432" s="1">
        <v>3.8246799999999999</v>
      </c>
    </row>
    <row r="1433" spans="4:5">
      <c r="D1433" s="1">
        <v>14280</v>
      </c>
      <c r="E1433" s="1">
        <v>3.6211700000000002</v>
      </c>
    </row>
    <row r="1434" spans="4:5">
      <c r="D1434" s="1">
        <v>14290</v>
      </c>
      <c r="E1434" s="1">
        <v>3.6211700000000002</v>
      </c>
    </row>
    <row r="1435" spans="4:5">
      <c r="D1435" s="1">
        <v>14300</v>
      </c>
      <c r="E1435" s="1">
        <v>3.79819</v>
      </c>
    </row>
    <row r="1436" spans="4:5">
      <c r="D1436" s="1">
        <v>14310</v>
      </c>
      <c r="E1436" s="1">
        <v>3.79819</v>
      </c>
    </row>
    <row r="1437" spans="4:5">
      <c r="D1437" s="1">
        <v>14320</v>
      </c>
      <c r="E1437" s="1">
        <v>4.0536000000000003</v>
      </c>
    </row>
    <row r="1438" spans="4:5">
      <c r="D1438" s="1">
        <v>14330</v>
      </c>
      <c r="E1438" s="1">
        <v>4.0536000000000003</v>
      </c>
    </row>
    <row r="1439" spans="4:5">
      <c r="D1439" s="1">
        <v>14340</v>
      </c>
      <c r="E1439" s="1">
        <v>3.8897699999999999</v>
      </c>
    </row>
    <row r="1440" spans="4:5">
      <c r="D1440" s="1">
        <v>14350</v>
      </c>
      <c r="E1440" s="1">
        <v>3.8897699999999999</v>
      </c>
    </row>
    <row r="1441" spans="4:5">
      <c r="D1441" s="1">
        <v>14360</v>
      </c>
      <c r="E1441" s="1">
        <v>4.0297700000000001</v>
      </c>
    </row>
    <row r="1442" spans="4:5">
      <c r="D1442" s="1">
        <v>14370</v>
      </c>
      <c r="E1442" s="1">
        <v>4.0297700000000001</v>
      </c>
    </row>
    <row r="1443" spans="4:5">
      <c r="D1443" s="1">
        <v>14380</v>
      </c>
      <c r="E1443" s="1">
        <v>3.4808500000000002</v>
      </c>
    </row>
    <row r="1444" spans="4:5">
      <c r="D1444" s="1">
        <v>14390</v>
      </c>
      <c r="E1444" s="1">
        <v>3.4808500000000002</v>
      </c>
    </row>
    <row r="1445" spans="4:5">
      <c r="D1445" s="1">
        <v>14400</v>
      </c>
      <c r="E1445" s="1">
        <v>4.1658200000000001</v>
      </c>
    </row>
    <row r="1446" spans="4:5">
      <c r="D1446" s="1">
        <v>14410</v>
      </c>
      <c r="E1446" s="1">
        <v>4.1658200000000001</v>
      </c>
    </row>
    <row r="1447" spans="4:5">
      <c r="D1447" s="1">
        <v>14420</v>
      </c>
      <c r="E1447" s="1">
        <v>4.0707500000000003</v>
      </c>
    </row>
    <row r="1448" spans="4:5">
      <c r="D1448" s="1">
        <v>14430</v>
      </c>
      <c r="E1448" s="1">
        <v>4.0707500000000003</v>
      </c>
    </row>
    <row r="1449" spans="4:5">
      <c r="D1449" s="1">
        <v>14440</v>
      </c>
      <c r="E1449" s="1">
        <v>3.73407</v>
      </c>
    </row>
    <row r="1450" spans="4:5">
      <c r="D1450" s="1">
        <v>14450</v>
      </c>
      <c r="E1450" s="1">
        <v>3.73407</v>
      </c>
    </row>
    <row r="1451" spans="4:5">
      <c r="D1451" s="1">
        <v>14460</v>
      </c>
      <c r="E1451" s="1">
        <v>4.0721800000000004</v>
      </c>
    </row>
    <row r="1452" spans="4:5">
      <c r="D1452" s="1">
        <v>14470</v>
      </c>
      <c r="E1452" s="1">
        <v>4.0721800000000004</v>
      </c>
    </row>
    <row r="1453" spans="4:5">
      <c r="D1453" s="1">
        <v>14480</v>
      </c>
      <c r="E1453" s="1">
        <v>3.9124400000000001</v>
      </c>
    </row>
    <row r="1454" spans="4:5">
      <c r="D1454" s="1">
        <v>14490</v>
      </c>
      <c r="E1454" s="1">
        <v>3.9124400000000001</v>
      </c>
    </row>
    <row r="1455" spans="4:5">
      <c r="D1455" s="1">
        <v>14500</v>
      </c>
      <c r="E1455" s="1">
        <v>3.4753599999999998</v>
      </c>
    </row>
    <row r="1456" spans="4:5">
      <c r="D1456" s="1">
        <v>14510</v>
      </c>
      <c r="E1456" s="1">
        <v>3.4753599999999998</v>
      </c>
    </row>
    <row r="1457" spans="4:5">
      <c r="D1457" s="1">
        <v>14520</v>
      </c>
      <c r="E1457" s="1">
        <v>3.8473000000000002</v>
      </c>
    </row>
    <row r="1458" spans="4:5">
      <c r="D1458" s="1">
        <v>14530</v>
      </c>
      <c r="E1458" s="1">
        <v>3.8473000000000002</v>
      </c>
    </row>
    <row r="1459" spans="4:5">
      <c r="D1459" s="1">
        <v>14540</v>
      </c>
      <c r="E1459" s="1">
        <v>3.9281999999999999</v>
      </c>
    </row>
    <row r="1460" spans="4:5">
      <c r="D1460" s="1">
        <v>14550</v>
      </c>
      <c r="E1460" s="1">
        <v>3.9281999999999999</v>
      </c>
    </row>
    <row r="1461" spans="4:5">
      <c r="D1461" s="1">
        <v>14560</v>
      </c>
      <c r="E1461" s="1">
        <v>3.8345400000000001</v>
      </c>
    </row>
    <row r="1462" spans="4:5">
      <c r="D1462" s="1">
        <v>14570</v>
      </c>
      <c r="E1462" s="1">
        <v>3.8345400000000001</v>
      </c>
    </row>
    <row r="1463" spans="4:5">
      <c r="D1463" s="1">
        <v>14580</v>
      </c>
      <c r="E1463" s="1">
        <v>3.5851999999999999</v>
      </c>
    </row>
    <row r="1464" spans="4:5">
      <c r="D1464" s="1">
        <v>14590</v>
      </c>
      <c r="E1464" s="1">
        <v>3.5851999999999999</v>
      </c>
    </row>
    <row r="1465" spans="4:5">
      <c r="D1465" s="1">
        <v>14600</v>
      </c>
      <c r="E1465" s="1">
        <v>3.6466500000000002</v>
      </c>
    </row>
    <row r="1466" spans="4:5">
      <c r="D1466" s="1">
        <v>14610</v>
      </c>
      <c r="E1466" s="1">
        <v>3.6466500000000002</v>
      </c>
    </row>
    <row r="1467" spans="4:5">
      <c r="D1467" s="1">
        <v>14620</v>
      </c>
      <c r="E1467" s="1">
        <v>3.5074000000000001</v>
      </c>
    </row>
    <row r="1468" spans="4:5">
      <c r="D1468" s="1">
        <v>14630</v>
      </c>
      <c r="E1468" s="1">
        <v>3.5074000000000001</v>
      </c>
    </row>
    <row r="1469" spans="4:5">
      <c r="D1469" s="1">
        <v>14640</v>
      </c>
      <c r="E1469" s="1">
        <v>3.9262999999999999</v>
      </c>
    </row>
    <row r="1470" spans="4:5">
      <c r="D1470" s="1">
        <v>14650</v>
      </c>
      <c r="E1470" s="1">
        <v>3.9262999999999999</v>
      </c>
    </row>
    <row r="1471" spans="4:5">
      <c r="D1471" s="1">
        <v>14660</v>
      </c>
      <c r="E1471" s="1">
        <v>3.0100199999999999</v>
      </c>
    </row>
    <row r="1472" spans="4:5">
      <c r="D1472" s="1">
        <v>14670</v>
      </c>
      <c r="E1472" s="1">
        <v>3.0100199999999999</v>
      </c>
    </row>
    <row r="1473" spans="4:5">
      <c r="D1473" s="1">
        <v>14680</v>
      </c>
      <c r="E1473" s="1">
        <v>3.8820600000000001</v>
      </c>
    </row>
    <row r="1474" spans="4:5">
      <c r="D1474" s="1">
        <v>14690</v>
      </c>
      <c r="E1474" s="1">
        <v>3.8820600000000001</v>
      </c>
    </row>
    <row r="1475" spans="4:5">
      <c r="D1475" s="1">
        <v>14700</v>
      </c>
      <c r="E1475" s="1">
        <v>3.3574899999999999</v>
      </c>
    </row>
    <row r="1476" spans="4:5">
      <c r="D1476" s="1">
        <v>14710</v>
      </c>
      <c r="E1476" s="1">
        <v>3.3574899999999999</v>
      </c>
    </row>
    <row r="1477" spans="4:5">
      <c r="D1477" s="1">
        <v>14720</v>
      </c>
      <c r="E1477" s="1">
        <v>3.5158</v>
      </c>
    </row>
    <row r="1478" spans="4:5">
      <c r="D1478" s="1">
        <v>14730</v>
      </c>
      <c r="E1478" s="1">
        <v>3.5158</v>
      </c>
    </row>
    <row r="1479" spans="4:5">
      <c r="D1479" s="1">
        <v>14740</v>
      </c>
      <c r="E1479" s="1">
        <v>3.64479</v>
      </c>
    </row>
    <row r="1480" spans="4:5">
      <c r="D1480" s="1">
        <v>14750</v>
      </c>
      <c r="E1480" s="1">
        <v>3.64479</v>
      </c>
    </row>
    <row r="1481" spans="4:5">
      <c r="D1481" s="1">
        <v>14760</v>
      </c>
      <c r="E1481" s="1">
        <v>3.6903600000000001</v>
      </c>
    </row>
    <row r="1482" spans="4:5">
      <c r="D1482" s="1">
        <v>14770</v>
      </c>
      <c r="E1482" s="1">
        <v>3.6903600000000001</v>
      </c>
    </row>
    <row r="1483" spans="4:5">
      <c r="D1483" s="1">
        <v>14780</v>
      </c>
      <c r="E1483" s="1">
        <v>3.7283900000000001</v>
      </c>
    </row>
    <row r="1484" spans="4:5">
      <c r="D1484" s="1">
        <v>14790</v>
      </c>
      <c r="E1484" s="1">
        <v>3.7283900000000001</v>
      </c>
    </row>
    <row r="1485" spans="4:5">
      <c r="D1485" s="1">
        <v>14800</v>
      </c>
      <c r="E1485" s="1">
        <v>3.47838</v>
      </c>
    </row>
    <row r="1486" spans="4:5">
      <c r="D1486" s="1">
        <v>14810</v>
      </c>
      <c r="E1486" s="1">
        <v>3.47838</v>
      </c>
    </row>
    <row r="1487" spans="4:5">
      <c r="D1487" s="1">
        <v>14820</v>
      </c>
      <c r="E1487" s="1">
        <v>3.65388</v>
      </c>
    </row>
    <row r="1488" spans="4:5">
      <c r="D1488" s="1">
        <v>14830</v>
      </c>
      <c r="E1488" s="1">
        <v>3.65388</v>
      </c>
    </row>
    <row r="1489" spans="4:5">
      <c r="D1489" s="1">
        <v>14840</v>
      </c>
      <c r="E1489" s="1">
        <v>3.8705500000000002</v>
      </c>
    </row>
    <row r="1490" spans="4:5">
      <c r="D1490" s="1">
        <v>14850</v>
      </c>
      <c r="E1490" s="1">
        <v>3.8705500000000002</v>
      </c>
    </row>
    <row r="1491" spans="4:5">
      <c r="D1491" s="1">
        <v>14860</v>
      </c>
      <c r="E1491" s="1">
        <v>4.1949100000000001</v>
      </c>
    </row>
    <row r="1492" spans="4:5">
      <c r="D1492" s="1">
        <v>14870</v>
      </c>
      <c r="E1492" s="1">
        <v>4.1949100000000001</v>
      </c>
    </row>
    <row r="1493" spans="4:5">
      <c r="D1493" s="1">
        <v>14880</v>
      </c>
      <c r="E1493" s="1">
        <v>3.2849699999999999</v>
      </c>
    </row>
    <row r="1494" spans="4:5">
      <c r="D1494" s="1">
        <v>14890</v>
      </c>
      <c r="E1494" s="1">
        <v>3.2849699999999999</v>
      </c>
    </row>
    <row r="1495" spans="4:5">
      <c r="D1495" s="1">
        <v>14900</v>
      </c>
      <c r="E1495" s="1">
        <v>3.9757199999999999</v>
      </c>
    </row>
    <row r="1496" spans="4:5">
      <c r="D1496" s="1">
        <v>14910</v>
      </c>
      <c r="E1496" s="1">
        <v>3.9757199999999999</v>
      </c>
    </row>
    <row r="1497" spans="4:5">
      <c r="D1497" s="1">
        <v>14920</v>
      </c>
      <c r="E1497" s="1">
        <v>3.5886800000000001</v>
      </c>
    </row>
    <row r="1498" spans="4:5">
      <c r="D1498" s="1">
        <v>14930</v>
      </c>
      <c r="E1498" s="1">
        <v>3.5886800000000001</v>
      </c>
    </row>
    <row r="1499" spans="4:5">
      <c r="D1499" s="1">
        <v>14940</v>
      </c>
      <c r="E1499" s="1">
        <v>3.9014500000000001</v>
      </c>
    </row>
    <row r="1500" spans="4:5">
      <c r="D1500" s="1">
        <v>14950</v>
      </c>
      <c r="E1500" s="1">
        <v>3.9014500000000001</v>
      </c>
    </row>
    <row r="1501" spans="4:5">
      <c r="D1501" s="1">
        <v>14960</v>
      </c>
      <c r="E1501" s="1">
        <v>3.4734099999999999</v>
      </c>
    </row>
    <row r="1502" spans="4:5">
      <c r="D1502" s="1">
        <v>14970</v>
      </c>
      <c r="E1502" s="1">
        <v>3.4734099999999999</v>
      </c>
    </row>
    <row r="1503" spans="4:5">
      <c r="D1503" s="1">
        <v>14980</v>
      </c>
      <c r="E1503" s="1">
        <v>3.7099600000000001</v>
      </c>
    </row>
    <row r="1504" spans="4:5">
      <c r="D1504" s="1">
        <v>14990</v>
      </c>
      <c r="E1504" s="1">
        <v>3.7099600000000001</v>
      </c>
    </row>
    <row r="1505" spans="4:5">
      <c r="D1505" s="1">
        <v>15000</v>
      </c>
      <c r="E1505" s="1">
        <v>4.3483599999999996</v>
      </c>
    </row>
    <row r="1506" spans="4:5">
      <c r="D1506" s="1">
        <v>15010</v>
      </c>
      <c r="E1506" s="1">
        <v>4.3483599999999996</v>
      </c>
    </row>
    <row r="1507" spans="4:5">
      <c r="D1507" s="1">
        <v>15020</v>
      </c>
      <c r="E1507" s="1">
        <v>3.5778799999999999</v>
      </c>
    </row>
    <row r="1508" spans="4:5">
      <c r="D1508" s="1">
        <v>15030</v>
      </c>
      <c r="E1508" s="1">
        <v>3.5778799999999999</v>
      </c>
    </row>
    <row r="1509" spans="4:5">
      <c r="D1509" s="1">
        <v>15040</v>
      </c>
      <c r="E1509" s="1">
        <v>3.4268399999999999</v>
      </c>
    </row>
    <row r="1510" spans="4:5">
      <c r="D1510" s="1">
        <v>15050</v>
      </c>
      <c r="E1510" s="1">
        <v>3.4268399999999999</v>
      </c>
    </row>
    <row r="1511" spans="4:5">
      <c r="D1511" s="1">
        <v>15060</v>
      </c>
      <c r="E1511" s="1">
        <v>3.6749200000000002</v>
      </c>
    </row>
    <row r="1512" spans="4:5">
      <c r="D1512" s="1">
        <v>15070</v>
      </c>
      <c r="E1512" s="1">
        <v>3.6749200000000002</v>
      </c>
    </row>
    <row r="1513" spans="4:5">
      <c r="D1513" s="1">
        <v>15080</v>
      </c>
      <c r="E1513" s="1">
        <v>3.28308</v>
      </c>
    </row>
    <row r="1514" spans="4:5">
      <c r="D1514" s="1">
        <v>15090</v>
      </c>
      <c r="E1514" s="1">
        <v>3.28308</v>
      </c>
    </row>
    <row r="1515" spans="4:5">
      <c r="D1515" s="1">
        <v>15100</v>
      </c>
      <c r="E1515" s="1">
        <v>3.2100300000000002</v>
      </c>
    </row>
    <row r="1516" spans="4:5">
      <c r="D1516" s="1">
        <v>15110</v>
      </c>
      <c r="E1516" s="1">
        <v>3.2100300000000002</v>
      </c>
    </row>
    <row r="1517" spans="4:5">
      <c r="D1517" s="1">
        <v>15120</v>
      </c>
      <c r="E1517" s="1">
        <v>3.3787099999999999</v>
      </c>
    </row>
    <row r="1518" spans="4:5">
      <c r="D1518" s="1">
        <v>15130</v>
      </c>
      <c r="E1518" s="1">
        <v>3.3787099999999999</v>
      </c>
    </row>
    <row r="1519" spans="4:5">
      <c r="D1519" s="1">
        <v>15140</v>
      </c>
      <c r="E1519" s="1">
        <v>3.7204899999999999</v>
      </c>
    </row>
    <row r="1520" spans="4:5">
      <c r="D1520" s="1">
        <v>15150</v>
      </c>
      <c r="E1520" s="1">
        <v>3.7204899999999999</v>
      </c>
    </row>
    <row r="1521" spans="4:5">
      <c r="D1521" s="1">
        <v>15160</v>
      </c>
      <c r="E1521" s="1">
        <v>3.7636400000000001</v>
      </c>
    </row>
    <row r="1522" spans="4:5">
      <c r="D1522" s="1">
        <v>15170</v>
      </c>
      <c r="E1522" s="1">
        <v>3.7636400000000001</v>
      </c>
    </row>
    <row r="1523" spans="4:5">
      <c r="D1523" s="1">
        <v>15180</v>
      </c>
      <c r="E1523" s="1">
        <v>3.8631600000000001</v>
      </c>
    </row>
    <row r="1524" spans="4:5">
      <c r="D1524" s="1">
        <v>15190</v>
      </c>
      <c r="E1524" s="1">
        <v>3.8631600000000001</v>
      </c>
    </row>
    <row r="1525" spans="4:5">
      <c r="D1525" s="1">
        <v>15200</v>
      </c>
      <c r="E1525" s="1">
        <v>3.7571599999999998</v>
      </c>
    </row>
    <row r="1526" spans="4:5">
      <c r="D1526" s="1">
        <v>15210</v>
      </c>
      <c r="E1526" s="1">
        <v>3.7571599999999998</v>
      </c>
    </row>
    <row r="1527" spans="4:5">
      <c r="D1527" s="1">
        <v>15220</v>
      </c>
      <c r="E1527" s="1">
        <v>4.0907</v>
      </c>
    </row>
    <row r="1528" spans="4:5">
      <c r="D1528" s="1">
        <v>15230</v>
      </c>
      <c r="E1528" s="1">
        <v>4.0907</v>
      </c>
    </row>
    <row r="1529" spans="4:5">
      <c r="D1529" s="1">
        <v>15240</v>
      </c>
      <c r="E1529" s="1">
        <v>3.7540300000000002</v>
      </c>
    </row>
    <row r="1530" spans="4:5">
      <c r="D1530" s="1">
        <v>15250</v>
      </c>
      <c r="E1530" s="1">
        <v>3.7540300000000002</v>
      </c>
    </row>
    <row r="1531" spans="4:5">
      <c r="D1531" s="1">
        <v>15260</v>
      </c>
      <c r="E1531" s="1">
        <v>3.5449299999999999</v>
      </c>
    </row>
    <row r="1532" spans="4:5">
      <c r="D1532" s="1">
        <v>15270</v>
      </c>
      <c r="E1532" s="1">
        <v>3.5449299999999999</v>
      </c>
    </row>
    <row r="1533" spans="4:5">
      <c r="D1533" s="1">
        <v>15280</v>
      </c>
      <c r="E1533" s="1">
        <v>3.95912</v>
      </c>
    </row>
    <row r="1534" spans="4:5">
      <c r="D1534" s="1">
        <v>15290</v>
      </c>
      <c r="E1534" s="1">
        <v>3.95912</v>
      </c>
    </row>
    <row r="1535" spans="4:5">
      <c r="D1535" s="1">
        <v>15300</v>
      </c>
      <c r="E1535" s="1">
        <v>3.6614</v>
      </c>
    </row>
    <row r="1536" spans="4:5">
      <c r="D1536" s="1">
        <v>15310</v>
      </c>
      <c r="E1536" s="1">
        <v>3.6614</v>
      </c>
    </row>
    <row r="1537" spans="4:5">
      <c r="D1537" s="1">
        <v>15320</v>
      </c>
      <c r="E1537" s="1">
        <v>3.8037399999999999</v>
      </c>
    </row>
    <row r="1538" spans="4:5">
      <c r="D1538" s="1">
        <v>15330</v>
      </c>
      <c r="E1538" s="1">
        <v>3.8037399999999999</v>
      </c>
    </row>
    <row r="1539" spans="4:5">
      <c r="D1539" s="1">
        <v>15340</v>
      </c>
      <c r="E1539" s="1">
        <v>3.9618000000000002</v>
      </c>
    </row>
    <row r="1540" spans="4:5">
      <c r="D1540" s="1">
        <v>15350</v>
      </c>
      <c r="E1540" s="1">
        <v>3.9618000000000002</v>
      </c>
    </row>
    <row r="1541" spans="4:5">
      <c r="D1541" s="1">
        <v>15360</v>
      </c>
      <c r="E1541" s="1">
        <v>3.8412899999999999</v>
      </c>
    </row>
    <row r="1542" spans="4:5">
      <c r="D1542" s="1">
        <v>15370</v>
      </c>
      <c r="E1542" s="1">
        <v>3.8412899999999999</v>
      </c>
    </row>
    <row r="1543" spans="4:5">
      <c r="D1543" s="1">
        <v>15380</v>
      </c>
      <c r="E1543" s="1">
        <v>3.2690399999999999</v>
      </c>
    </row>
    <row r="1544" spans="4:5">
      <c r="D1544" s="1">
        <v>15390</v>
      </c>
      <c r="E1544" s="1">
        <v>3.2690399999999999</v>
      </c>
    </row>
    <row r="1545" spans="4:5">
      <c r="D1545" s="1">
        <v>15400</v>
      </c>
      <c r="E1545" s="1">
        <v>3.90741</v>
      </c>
    </row>
    <row r="1546" spans="4:5">
      <c r="D1546" s="1">
        <v>15410</v>
      </c>
      <c r="E1546" s="1">
        <v>3.90741</v>
      </c>
    </row>
    <row r="1547" spans="4:5">
      <c r="D1547" s="1">
        <v>15420</v>
      </c>
      <c r="E1547" s="1">
        <v>3.5875300000000001</v>
      </c>
    </row>
    <row r="1548" spans="4:5">
      <c r="D1548" s="1">
        <v>15430</v>
      </c>
      <c r="E1548" s="1">
        <v>3.5875300000000001</v>
      </c>
    </row>
    <row r="1549" spans="4:5">
      <c r="D1549" s="1">
        <v>15440</v>
      </c>
      <c r="E1549" s="1">
        <v>3.6315900000000001</v>
      </c>
    </row>
    <row r="1550" spans="4:5">
      <c r="D1550" s="1">
        <v>15450</v>
      </c>
      <c r="E1550" s="1">
        <v>3.6315900000000001</v>
      </c>
    </row>
    <row r="1551" spans="4:5">
      <c r="D1551" s="1">
        <v>15460</v>
      </c>
      <c r="E1551" s="1">
        <v>3.5613700000000001</v>
      </c>
    </row>
    <row r="1552" spans="4:5">
      <c r="D1552" s="1">
        <v>15470</v>
      </c>
      <c r="E1552" s="1">
        <v>3.5613700000000001</v>
      </c>
    </row>
    <row r="1553" spans="4:5">
      <c r="D1553" s="1">
        <v>15480</v>
      </c>
      <c r="E1553" s="1">
        <v>3.9154900000000001</v>
      </c>
    </row>
    <row r="1554" spans="4:5">
      <c r="D1554" s="1">
        <v>15490</v>
      </c>
      <c r="E1554" s="1">
        <v>3.9154900000000001</v>
      </c>
    </row>
    <row r="1555" spans="4:5">
      <c r="D1555" s="1">
        <v>15500</v>
      </c>
      <c r="E1555" s="1">
        <v>4.0774800000000004</v>
      </c>
    </row>
    <row r="1556" spans="4:5">
      <c r="D1556" s="1">
        <v>15510</v>
      </c>
      <c r="E1556" s="1">
        <v>4.0774800000000004</v>
      </c>
    </row>
    <row r="1557" spans="4:5">
      <c r="D1557" s="1">
        <v>15520</v>
      </c>
      <c r="E1557" s="1">
        <v>3.78118</v>
      </c>
    </row>
    <row r="1558" spans="4:5">
      <c r="D1558" s="1">
        <v>15530</v>
      </c>
      <c r="E1558" s="1">
        <v>3.78118</v>
      </c>
    </row>
    <row r="1559" spans="4:5">
      <c r="D1559" s="1">
        <v>15540</v>
      </c>
      <c r="E1559" s="1">
        <v>3.6714799999999999</v>
      </c>
    </row>
    <row r="1560" spans="4:5">
      <c r="D1560" s="1">
        <v>15550</v>
      </c>
      <c r="E1560" s="1">
        <v>3.6714799999999999</v>
      </c>
    </row>
    <row r="1561" spans="4:5">
      <c r="D1561" s="1">
        <v>15560</v>
      </c>
      <c r="E1561" s="1">
        <v>3.5868199999999999</v>
      </c>
    </row>
    <row r="1562" spans="4:5">
      <c r="D1562" s="1">
        <v>15570</v>
      </c>
      <c r="E1562" s="1">
        <v>3.5868199999999999</v>
      </c>
    </row>
    <row r="1563" spans="4:5">
      <c r="D1563" s="1">
        <v>15580</v>
      </c>
      <c r="E1563" s="1">
        <v>3.9495800000000001</v>
      </c>
    </row>
    <row r="1564" spans="4:5">
      <c r="D1564" s="1">
        <v>15590</v>
      </c>
      <c r="E1564" s="1">
        <v>3.9495800000000001</v>
      </c>
    </row>
    <row r="1565" spans="4:5">
      <c r="D1565" s="1">
        <v>15600</v>
      </c>
      <c r="E1565" s="1">
        <v>3.44739</v>
      </c>
    </row>
    <row r="1566" spans="4:5">
      <c r="D1566" s="1">
        <v>15610</v>
      </c>
      <c r="E1566" s="1">
        <v>3.44739</v>
      </c>
    </row>
    <row r="1567" spans="4:5">
      <c r="D1567" s="1">
        <v>15620</v>
      </c>
      <c r="E1567" s="1">
        <v>3.8930600000000002</v>
      </c>
    </row>
    <row r="1568" spans="4:5">
      <c r="D1568" s="1">
        <v>15630</v>
      </c>
      <c r="E1568" s="1">
        <v>3.8930600000000002</v>
      </c>
    </row>
    <row r="1569" spans="4:5">
      <c r="D1569" s="1">
        <v>15640</v>
      </c>
      <c r="E1569" s="1">
        <v>3.8584200000000002</v>
      </c>
    </row>
    <row r="1570" spans="4:5">
      <c r="D1570" s="1">
        <v>15650</v>
      </c>
      <c r="E1570" s="1">
        <v>3.8584200000000002</v>
      </c>
    </row>
    <row r="1571" spans="4:5">
      <c r="D1571" s="1">
        <v>15660</v>
      </c>
      <c r="E1571" s="1">
        <v>3.9346700000000001</v>
      </c>
    </row>
    <row r="1572" spans="4:5">
      <c r="D1572" s="1">
        <v>15670</v>
      </c>
      <c r="E1572" s="1">
        <v>3.9346700000000001</v>
      </c>
    </row>
    <row r="1573" spans="4:5">
      <c r="D1573" s="1">
        <v>15680</v>
      </c>
      <c r="E1573" s="1">
        <v>3.4813499999999999</v>
      </c>
    </row>
    <row r="1574" spans="4:5">
      <c r="D1574" s="1">
        <v>15690</v>
      </c>
      <c r="E1574" s="1">
        <v>3.4813499999999999</v>
      </c>
    </row>
    <row r="1575" spans="4:5">
      <c r="D1575" s="1">
        <v>15700</v>
      </c>
      <c r="E1575" s="1">
        <v>4.2910199999999996</v>
      </c>
    </row>
    <row r="1576" spans="4:5">
      <c r="D1576" s="1">
        <v>15710</v>
      </c>
      <c r="E1576" s="1">
        <v>4.2910199999999996</v>
      </c>
    </row>
    <row r="1577" spans="4:5">
      <c r="D1577" s="1">
        <v>15720</v>
      </c>
      <c r="E1577" s="1">
        <v>3.76241</v>
      </c>
    </row>
    <row r="1578" spans="4:5">
      <c r="D1578" s="1">
        <v>15730</v>
      </c>
      <c r="E1578" s="1">
        <v>3.76241</v>
      </c>
    </row>
    <row r="1579" spans="4:5">
      <c r="D1579" s="1">
        <v>15740</v>
      </c>
      <c r="E1579" s="1">
        <v>3.6685500000000002</v>
      </c>
    </row>
    <row r="1580" spans="4:5">
      <c r="D1580" s="1">
        <v>15750</v>
      </c>
      <c r="E1580" s="1">
        <v>3.6685500000000002</v>
      </c>
    </row>
    <row r="1581" spans="4:5">
      <c r="D1581" s="1">
        <v>15760</v>
      </c>
      <c r="E1581" s="1">
        <v>3.7973699999999999</v>
      </c>
    </row>
    <row r="1582" spans="4:5">
      <c r="D1582" s="1">
        <v>15770</v>
      </c>
      <c r="E1582" s="1">
        <v>3.7973699999999999</v>
      </c>
    </row>
    <row r="1583" spans="4:5">
      <c r="D1583" s="1">
        <v>15780</v>
      </c>
      <c r="E1583" s="1">
        <v>3.9053599999999999</v>
      </c>
    </row>
    <row r="1584" spans="4:5">
      <c r="D1584" s="1">
        <v>15790</v>
      </c>
      <c r="E1584" s="1">
        <v>3.9053599999999999</v>
      </c>
    </row>
    <row r="1585" spans="4:5">
      <c r="D1585" s="1">
        <v>15800</v>
      </c>
      <c r="E1585" s="1">
        <v>4.1735899999999999</v>
      </c>
    </row>
    <row r="1586" spans="4:5">
      <c r="D1586" s="1">
        <v>15810</v>
      </c>
      <c r="E1586" s="1">
        <v>4.1735899999999999</v>
      </c>
    </row>
    <row r="1587" spans="4:5">
      <c r="D1587" s="1">
        <v>15820</v>
      </c>
      <c r="E1587" s="1">
        <v>3.8446600000000002</v>
      </c>
    </row>
    <row r="1588" spans="4:5">
      <c r="D1588" s="1">
        <v>15830</v>
      </c>
      <c r="E1588" s="1">
        <v>3.8446600000000002</v>
      </c>
    </row>
    <row r="1589" spans="4:5">
      <c r="D1589" s="1">
        <v>15840</v>
      </c>
      <c r="E1589" s="1">
        <v>3.6886800000000002</v>
      </c>
    </row>
    <row r="1590" spans="4:5">
      <c r="D1590" s="1">
        <v>15850</v>
      </c>
      <c r="E1590" s="1">
        <v>3.6886800000000002</v>
      </c>
    </row>
    <row r="1591" spans="4:5">
      <c r="D1591" s="1">
        <v>15860</v>
      </c>
      <c r="E1591" s="1">
        <v>3.9749500000000002</v>
      </c>
    </row>
    <row r="1592" spans="4:5">
      <c r="D1592" s="1">
        <v>15870</v>
      </c>
      <c r="E1592" s="1">
        <v>3.9749500000000002</v>
      </c>
    </row>
    <row r="1593" spans="4:5">
      <c r="D1593" s="1">
        <v>15880</v>
      </c>
      <c r="E1593" s="1">
        <v>3.6133799999999998</v>
      </c>
    </row>
    <row r="1594" spans="4:5">
      <c r="D1594" s="1">
        <v>15890</v>
      </c>
      <c r="E1594" s="1">
        <v>3.6133799999999998</v>
      </c>
    </row>
    <row r="1595" spans="4:5">
      <c r="D1595" s="1">
        <v>15900</v>
      </c>
      <c r="E1595" s="1">
        <v>3.5130699999999999</v>
      </c>
    </row>
    <row r="1596" spans="4:5">
      <c r="D1596" s="1">
        <v>15910</v>
      </c>
      <c r="E1596" s="1">
        <v>3.5130699999999999</v>
      </c>
    </row>
    <row r="1597" spans="4:5">
      <c r="D1597" s="1">
        <v>15920</v>
      </c>
      <c r="E1597" s="1">
        <v>3.6244200000000002</v>
      </c>
    </row>
    <row r="1598" spans="4:5">
      <c r="D1598" s="1">
        <v>15930</v>
      </c>
      <c r="E1598" s="1">
        <v>3.6244200000000002</v>
      </c>
    </row>
    <row r="1599" spans="4:5">
      <c r="D1599" s="1">
        <v>15940</v>
      </c>
      <c r="E1599" s="1">
        <v>3.56935</v>
      </c>
    </row>
    <row r="1600" spans="4:5">
      <c r="D1600" s="1">
        <v>15950</v>
      </c>
      <c r="E1600" s="1">
        <v>3.56935</v>
      </c>
    </row>
    <row r="1601" spans="4:5">
      <c r="D1601" s="1">
        <v>15960</v>
      </c>
      <c r="E1601" s="1">
        <v>3.5767799999999998</v>
      </c>
    </row>
    <row r="1602" spans="4:5">
      <c r="D1602" s="1">
        <v>15970</v>
      </c>
      <c r="E1602" s="1">
        <v>3.5767799999999998</v>
      </c>
    </row>
    <row r="1603" spans="4:5">
      <c r="D1603" s="1">
        <v>15980</v>
      </c>
      <c r="E1603" s="1">
        <v>3.8317700000000001</v>
      </c>
    </row>
    <row r="1604" spans="4:5">
      <c r="D1604" s="1">
        <v>15990</v>
      </c>
      <c r="E1604" s="1">
        <v>3.8317700000000001</v>
      </c>
    </row>
    <row r="1605" spans="4:5">
      <c r="D1605" s="1">
        <v>16000</v>
      </c>
      <c r="E1605" s="1">
        <v>3.5522399999999998</v>
      </c>
    </row>
    <row r="1606" spans="4:5">
      <c r="D1606" s="1">
        <v>16010</v>
      </c>
      <c r="E1606" s="1">
        <v>3.5522399999999998</v>
      </c>
    </row>
    <row r="1607" spans="4:5">
      <c r="D1607" s="1">
        <v>16020</v>
      </c>
      <c r="E1607" s="1">
        <v>3.6404700000000001</v>
      </c>
    </row>
    <row r="1608" spans="4:5">
      <c r="D1608" s="1">
        <v>16030</v>
      </c>
      <c r="E1608" s="1">
        <v>3.6404700000000001</v>
      </c>
    </row>
    <row r="1609" spans="4:5">
      <c r="D1609" s="1">
        <v>16040</v>
      </c>
      <c r="E1609" s="1">
        <v>3.8137799999999999</v>
      </c>
    </row>
    <row r="1610" spans="4:5">
      <c r="D1610" s="1">
        <v>16050</v>
      </c>
      <c r="E1610" s="1">
        <v>3.8137799999999999</v>
      </c>
    </row>
    <row r="1611" spans="4:5">
      <c r="D1611" s="1">
        <v>16060</v>
      </c>
      <c r="E1611" s="1">
        <v>3.6309999999999998</v>
      </c>
    </row>
    <row r="1612" spans="4:5">
      <c r="D1612" s="1">
        <v>16070</v>
      </c>
      <c r="E1612" s="1">
        <v>3.6309999999999998</v>
      </c>
    </row>
    <row r="1613" spans="4:5">
      <c r="D1613" s="1">
        <v>16080</v>
      </c>
      <c r="E1613" s="1">
        <v>3.5206900000000001</v>
      </c>
    </row>
    <row r="1614" spans="4:5">
      <c r="D1614" s="1">
        <v>16090</v>
      </c>
      <c r="E1614" s="1">
        <v>3.5206900000000001</v>
      </c>
    </row>
    <row r="1615" spans="4:5">
      <c r="D1615" s="1">
        <v>16100</v>
      </c>
      <c r="E1615" s="1">
        <v>3.48942</v>
      </c>
    </row>
    <row r="1616" spans="4:5">
      <c r="D1616" s="1">
        <v>16110</v>
      </c>
      <c r="E1616" s="1">
        <v>3.48942</v>
      </c>
    </row>
    <row r="1617" spans="4:5">
      <c r="D1617" s="1">
        <v>16120</v>
      </c>
      <c r="E1617" s="1">
        <v>3.6468400000000001</v>
      </c>
    </row>
    <row r="1618" spans="4:5">
      <c r="D1618" s="1">
        <v>16130</v>
      </c>
      <c r="E1618" s="1">
        <v>3.6468400000000001</v>
      </c>
    </row>
    <row r="1619" spans="4:5">
      <c r="D1619" s="1">
        <v>16140</v>
      </c>
      <c r="E1619" s="1">
        <v>3.9399000000000002</v>
      </c>
    </row>
    <row r="1620" spans="4:5">
      <c r="D1620" s="1">
        <v>16150</v>
      </c>
      <c r="E1620" s="1">
        <v>3.9399000000000002</v>
      </c>
    </row>
    <row r="1621" spans="4:5">
      <c r="D1621" s="1">
        <v>16160</v>
      </c>
      <c r="E1621" s="1">
        <v>3.42882</v>
      </c>
    </row>
    <row r="1622" spans="4:5">
      <c r="D1622" s="1">
        <v>16170</v>
      </c>
      <c r="E1622" s="1">
        <v>3.42882</v>
      </c>
    </row>
    <row r="1623" spans="4:5">
      <c r="D1623" s="1">
        <v>16180</v>
      </c>
      <c r="E1623" s="1">
        <v>4.0277000000000003</v>
      </c>
    </row>
    <row r="1624" spans="4:5">
      <c r="D1624" s="1">
        <v>16190</v>
      </c>
      <c r="E1624" s="1">
        <v>4.0277000000000003</v>
      </c>
    </row>
    <row r="1625" spans="4:5">
      <c r="D1625" s="1">
        <v>16200</v>
      </c>
      <c r="E1625" s="1">
        <v>3.8627099999999999</v>
      </c>
    </row>
    <row r="1626" spans="4:5">
      <c r="D1626" s="1">
        <v>16210</v>
      </c>
      <c r="E1626" s="1">
        <v>3.8627099999999999</v>
      </c>
    </row>
    <row r="1627" spans="4:5">
      <c r="D1627" s="1">
        <v>16220</v>
      </c>
      <c r="E1627" s="1">
        <v>3.7458499999999999</v>
      </c>
    </row>
    <row r="1628" spans="4:5">
      <c r="D1628" s="1">
        <v>16230</v>
      </c>
      <c r="E1628" s="1">
        <v>3.7458499999999999</v>
      </c>
    </row>
    <row r="1629" spans="4:5">
      <c r="D1629" s="1">
        <v>16240</v>
      </c>
      <c r="E1629" s="1">
        <v>3.9552800000000001</v>
      </c>
    </row>
    <row r="1630" spans="4:5">
      <c r="D1630" s="1">
        <v>16250</v>
      </c>
      <c r="E1630" s="1">
        <v>3.9552800000000001</v>
      </c>
    </row>
    <row r="1631" spans="4:5">
      <c r="D1631" s="1">
        <v>16260</v>
      </c>
      <c r="E1631" s="1">
        <v>3.8070599999999999</v>
      </c>
    </row>
    <row r="1632" spans="4:5">
      <c r="D1632" s="1">
        <v>16270</v>
      </c>
      <c r="E1632" s="1">
        <v>3.8070599999999999</v>
      </c>
    </row>
    <row r="1633" spans="4:5">
      <c r="D1633" s="1">
        <v>16280</v>
      </c>
      <c r="E1633" s="1">
        <v>3.7715000000000001</v>
      </c>
    </row>
    <row r="1634" spans="4:5">
      <c r="D1634" s="1">
        <v>16290</v>
      </c>
      <c r="E1634" s="1">
        <v>3.7715000000000001</v>
      </c>
    </row>
    <row r="1635" spans="4:5">
      <c r="D1635" s="1">
        <v>16300</v>
      </c>
      <c r="E1635" s="1">
        <v>3.9170600000000002</v>
      </c>
    </row>
    <row r="1636" spans="4:5">
      <c r="D1636" s="1">
        <v>16310</v>
      </c>
      <c r="E1636" s="1">
        <v>3.9170600000000002</v>
      </c>
    </row>
    <row r="1637" spans="4:5">
      <c r="D1637" s="1">
        <v>16320</v>
      </c>
      <c r="E1637" s="1">
        <v>4.11198</v>
      </c>
    </row>
    <row r="1638" spans="4:5">
      <c r="D1638" s="1">
        <v>16330</v>
      </c>
      <c r="E1638" s="1">
        <v>4.11198</v>
      </c>
    </row>
    <row r="1639" spans="4:5">
      <c r="D1639" s="1">
        <v>16340</v>
      </c>
      <c r="E1639" s="1">
        <v>3.7596699999999998</v>
      </c>
    </row>
    <row r="1640" spans="4:5">
      <c r="D1640" s="1">
        <v>16350</v>
      </c>
      <c r="E1640" s="1">
        <v>3.7596699999999998</v>
      </c>
    </row>
    <row r="1641" spans="4:5">
      <c r="D1641" s="1">
        <v>16360</v>
      </c>
      <c r="E1641" s="1">
        <v>3.82666</v>
      </c>
    </row>
    <row r="1642" spans="4:5">
      <c r="D1642" s="1">
        <v>16370</v>
      </c>
      <c r="E1642" s="1">
        <v>3.82666</v>
      </c>
    </row>
    <row r="1643" spans="4:5">
      <c r="D1643" s="1">
        <v>16380</v>
      </c>
      <c r="E1643" s="1">
        <v>3.6501299999999999</v>
      </c>
    </row>
    <row r="1644" spans="4:5">
      <c r="D1644" s="1">
        <v>16390</v>
      </c>
      <c r="E1644" s="1">
        <v>3.6501299999999999</v>
      </c>
    </row>
    <row r="1645" spans="4:5">
      <c r="D1645" s="1">
        <v>16400</v>
      </c>
      <c r="E1645" s="1">
        <v>3.6501399999999999</v>
      </c>
    </row>
    <row r="1646" spans="4:5">
      <c r="D1646" s="1">
        <v>16410</v>
      </c>
      <c r="E1646" s="1">
        <v>3.6501399999999999</v>
      </c>
    </row>
    <row r="1647" spans="4:5">
      <c r="D1647" s="1">
        <v>16420</v>
      </c>
      <c r="E1647" s="1">
        <v>3.6787800000000002</v>
      </c>
    </row>
    <row r="1648" spans="4:5">
      <c r="D1648" s="1">
        <v>16430</v>
      </c>
      <c r="E1648" s="1">
        <v>3.6787800000000002</v>
      </c>
    </row>
    <row r="1649" spans="4:5">
      <c r="D1649" s="1">
        <v>16440</v>
      </c>
      <c r="E1649" s="1">
        <v>3.8946900000000002</v>
      </c>
    </row>
    <row r="1650" spans="4:5">
      <c r="D1650" s="1">
        <v>16450</v>
      </c>
      <c r="E1650" s="1">
        <v>3.8946900000000002</v>
      </c>
    </row>
    <row r="1651" spans="4:5">
      <c r="D1651" s="1">
        <v>16460</v>
      </c>
      <c r="E1651" s="1">
        <v>3.9353899999999999</v>
      </c>
    </row>
    <row r="1652" spans="4:5">
      <c r="D1652" s="1">
        <v>16470</v>
      </c>
      <c r="E1652" s="1">
        <v>3.9353899999999999</v>
      </c>
    </row>
    <row r="1653" spans="4:5">
      <c r="D1653" s="1">
        <v>16480</v>
      </c>
      <c r="E1653" s="1">
        <v>3.7668200000000001</v>
      </c>
    </row>
    <row r="1654" spans="4:5">
      <c r="D1654" s="1">
        <v>16490</v>
      </c>
      <c r="E1654" s="1">
        <v>3.7668200000000001</v>
      </c>
    </row>
    <row r="1655" spans="4:5">
      <c r="D1655" s="1">
        <v>16500</v>
      </c>
      <c r="E1655" s="1">
        <v>3.9734699999999998</v>
      </c>
    </row>
    <row r="1656" spans="4:5">
      <c r="D1656" s="1">
        <v>16510</v>
      </c>
      <c r="E1656" s="1">
        <v>3.9734699999999998</v>
      </c>
    </row>
    <row r="1657" spans="4:5">
      <c r="D1657" s="1">
        <v>16520</v>
      </c>
      <c r="E1657" s="1">
        <v>3.8653400000000002</v>
      </c>
    </row>
    <row r="1658" spans="4:5">
      <c r="D1658" s="1">
        <v>16530</v>
      </c>
      <c r="E1658" s="1">
        <v>3.8653400000000002</v>
      </c>
    </row>
    <row r="1659" spans="4:5">
      <c r="D1659" s="1">
        <v>16540</v>
      </c>
      <c r="E1659" s="1">
        <v>3.5986500000000001</v>
      </c>
    </row>
    <row r="1660" spans="4:5">
      <c r="D1660" s="1">
        <v>16550</v>
      </c>
      <c r="E1660" s="1">
        <v>3.5986500000000001</v>
      </c>
    </row>
    <row r="1661" spans="4:5">
      <c r="D1661" s="1">
        <v>16560</v>
      </c>
      <c r="E1661" s="1">
        <v>3.7810899999999998</v>
      </c>
    </row>
    <row r="1662" spans="4:5">
      <c r="D1662" s="1">
        <v>16570</v>
      </c>
      <c r="E1662" s="1">
        <v>3.7810899999999998</v>
      </c>
    </row>
    <row r="1663" spans="4:5">
      <c r="D1663" s="1">
        <v>16580</v>
      </c>
      <c r="E1663" s="1">
        <v>3.6753900000000002</v>
      </c>
    </row>
    <row r="1664" spans="4:5">
      <c r="D1664" s="1">
        <v>16590</v>
      </c>
      <c r="E1664" s="1">
        <v>3.6753900000000002</v>
      </c>
    </row>
    <row r="1665" spans="4:5">
      <c r="D1665" s="1">
        <v>16600</v>
      </c>
      <c r="E1665" s="1">
        <v>3.6914500000000001</v>
      </c>
    </row>
    <row r="1666" spans="4:5">
      <c r="D1666" s="1">
        <v>16610</v>
      </c>
      <c r="E1666" s="1">
        <v>3.6914500000000001</v>
      </c>
    </row>
    <row r="1667" spans="4:5">
      <c r="D1667" s="1">
        <v>16620</v>
      </c>
      <c r="E1667" s="1">
        <v>3.53552</v>
      </c>
    </row>
    <row r="1668" spans="4:5">
      <c r="D1668" s="1">
        <v>16630</v>
      </c>
      <c r="E1668" s="1">
        <v>3.53552</v>
      </c>
    </row>
    <row r="1669" spans="4:5">
      <c r="D1669" s="1">
        <v>16640</v>
      </c>
      <c r="E1669" s="1">
        <v>3.8423500000000002</v>
      </c>
    </row>
    <row r="1670" spans="4:5">
      <c r="D1670" s="1">
        <v>16650</v>
      </c>
      <c r="E1670" s="1">
        <v>3.8423500000000002</v>
      </c>
    </row>
    <row r="1671" spans="4:5">
      <c r="D1671" s="1">
        <v>16660</v>
      </c>
      <c r="E1671" s="1">
        <v>3.4608500000000002</v>
      </c>
    </row>
    <row r="1672" spans="4:5">
      <c r="D1672" s="1">
        <v>16670</v>
      </c>
      <c r="E1672" s="1">
        <v>3.4608500000000002</v>
      </c>
    </row>
    <row r="1673" spans="4:5">
      <c r="D1673" s="1">
        <v>16680</v>
      </c>
      <c r="E1673" s="1">
        <v>4.12188</v>
      </c>
    </row>
    <row r="1674" spans="4:5">
      <c r="D1674" s="1">
        <v>16690</v>
      </c>
      <c r="E1674" s="1">
        <v>4.12188</v>
      </c>
    </row>
    <row r="1675" spans="4:5">
      <c r="D1675" s="1">
        <v>16700</v>
      </c>
      <c r="E1675" s="1">
        <v>3.65726</v>
      </c>
    </row>
    <row r="1676" spans="4:5">
      <c r="D1676" s="1">
        <v>16710</v>
      </c>
      <c r="E1676" s="1">
        <v>3.65726</v>
      </c>
    </row>
    <row r="1677" spans="4:5">
      <c r="D1677" s="1">
        <v>16720</v>
      </c>
      <c r="E1677" s="1">
        <v>3.3100700000000001</v>
      </c>
    </row>
    <row r="1678" spans="4:5">
      <c r="D1678" s="1">
        <v>16730</v>
      </c>
      <c r="E1678" s="1">
        <v>3.3100700000000001</v>
      </c>
    </row>
    <row r="1679" spans="4:5">
      <c r="D1679" s="1">
        <v>16740</v>
      </c>
      <c r="E1679" s="1">
        <v>3.8924300000000001</v>
      </c>
    </row>
    <row r="1680" spans="4:5">
      <c r="D1680" s="1">
        <v>16750</v>
      </c>
      <c r="E1680" s="1">
        <v>3.8924300000000001</v>
      </c>
    </row>
    <row r="1681" spans="4:5">
      <c r="D1681" s="1">
        <v>16760</v>
      </c>
      <c r="E1681" s="1">
        <v>3.8902100000000002</v>
      </c>
    </row>
    <row r="1682" spans="4:5">
      <c r="D1682" s="1">
        <v>16770</v>
      </c>
      <c r="E1682" s="1">
        <v>3.8902100000000002</v>
      </c>
    </row>
    <row r="1683" spans="4:5">
      <c r="D1683" s="1">
        <v>16780</v>
      </c>
      <c r="E1683" s="1">
        <v>4.0877100000000004</v>
      </c>
    </row>
    <row r="1684" spans="4:5">
      <c r="D1684" s="1">
        <v>16790</v>
      </c>
      <c r="E1684" s="1">
        <v>4.0877100000000004</v>
      </c>
    </row>
    <row r="1685" spans="4:5">
      <c r="D1685" s="1">
        <v>16800</v>
      </c>
      <c r="E1685" s="1">
        <v>4.0455899999999998</v>
      </c>
    </row>
    <row r="1686" spans="4:5">
      <c r="D1686" s="1">
        <v>16810</v>
      </c>
      <c r="E1686" s="1">
        <v>4.0455899999999998</v>
      </c>
    </row>
    <row r="1687" spans="4:5">
      <c r="D1687" s="1">
        <v>16820</v>
      </c>
      <c r="E1687" s="1">
        <v>3.91283</v>
      </c>
    </row>
    <row r="1688" spans="4:5">
      <c r="D1688" s="1">
        <v>16830</v>
      </c>
      <c r="E1688" s="1">
        <v>3.91283</v>
      </c>
    </row>
    <row r="1689" spans="4:5">
      <c r="D1689" s="1">
        <v>16840</v>
      </c>
      <c r="E1689" s="1">
        <v>4.0179299999999998</v>
      </c>
    </row>
    <row r="1690" spans="4:5">
      <c r="D1690" s="1">
        <v>16850</v>
      </c>
      <c r="E1690" s="1">
        <v>4.0179299999999998</v>
      </c>
    </row>
    <row r="1691" spans="4:5">
      <c r="D1691" s="1">
        <v>16860</v>
      </c>
      <c r="E1691" s="1">
        <v>4.0727200000000003</v>
      </c>
    </row>
    <row r="1692" spans="4:5">
      <c r="D1692" s="1">
        <v>16870</v>
      </c>
      <c r="E1692" s="1">
        <v>4.0727200000000003</v>
      </c>
    </row>
    <row r="1693" spans="4:5">
      <c r="D1693" s="1">
        <v>16880</v>
      </c>
      <c r="E1693" s="1">
        <v>3.65754</v>
      </c>
    </row>
    <row r="1694" spans="4:5">
      <c r="D1694" s="1">
        <v>16890</v>
      </c>
      <c r="E1694" s="1">
        <v>3.65754</v>
      </c>
    </row>
    <row r="1695" spans="4:5">
      <c r="D1695" s="1">
        <v>16900</v>
      </c>
      <c r="E1695" s="1">
        <v>3.7112699999999998</v>
      </c>
    </row>
    <row r="1696" spans="4:5">
      <c r="D1696" s="1">
        <v>16910</v>
      </c>
      <c r="E1696" s="1">
        <v>3.7112699999999998</v>
      </c>
    </row>
    <row r="1697" spans="4:5">
      <c r="D1697" s="1">
        <v>16920</v>
      </c>
      <c r="E1697" s="1">
        <v>3.8826100000000001</v>
      </c>
    </row>
    <row r="1698" spans="4:5">
      <c r="D1698" s="1">
        <v>16930</v>
      </c>
      <c r="E1698" s="1">
        <v>3.8826100000000001</v>
      </c>
    </row>
    <row r="1699" spans="4:5">
      <c r="D1699" s="1">
        <v>16940</v>
      </c>
      <c r="E1699" s="1">
        <v>3.6660300000000001</v>
      </c>
    </row>
    <row r="1700" spans="4:5">
      <c r="D1700" s="1">
        <v>16950</v>
      </c>
      <c r="E1700" s="1">
        <v>3.6660300000000001</v>
      </c>
    </row>
    <row r="1701" spans="4:5">
      <c r="D1701" s="1">
        <v>16960</v>
      </c>
      <c r="E1701" s="1">
        <v>3.6814100000000001</v>
      </c>
    </row>
    <row r="1702" spans="4:5">
      <c r="D1702" s="1">
        <v>16970</v>
      </c>
      <c r="E1702" s="1">
        <v>3.6814100000000001</v>
      </c>
    </row>
    <row r="1703" spans="4:5">
      <c r="D1703" s="1">
        <v>16980</v>
      </c>
      <c r="E1703" s="1">
        <v>3.55132</v>
      </c>
    </row>
    <row r="1704" spans="4:5">
      <c r="D1704" s="1">
        <v>16990</v>
      </c>
      <c r="E1704" s="1">
        <v>3.55132</v>
      </c>
    </row>
    <row r="1705" spans="4:5">
      <c r="D1705" s="1">
        <v>17000</v>
      </c>
      <c r="E1705" s="1">
        <v>3.9238599999999999</v>
      </c>
    </row>
    <row r="1706" spans="4:5">
      <c r="D1706" s="1">
        <v>17010</v>
      </c>
      <c r="E1706" s="1">
        <v>3.9238599999999999</v>
      </c>
    </row>
    <row r="1707" spans="4:5">
      <c r="D1707" s="1">
        <v>17020</v>
      </c>
      <c r="E1707" s="1">
        <v>3.76817</v>
      </c>
    </row>
    <row r="1708" spans="4:5">
      <c r="D1708" s="1">
        <v>17030</v>
      </c>
      <c r="E1708" s="1">
        <v>3.76817</v>
      </c>
    </row>
    <row r="1709" spans="4:5">
      <c r="D1709" s="1">
        <v>17040</v>
      </c>
      <c r="E1709" s="1">
        <v>4.0373900000000003</v>
      </c>
    </row>
    <row r="1710" spans="4:5">
      <c r="D1710" s="1">
        <v>17050</v>
      </c>
      <c r="E1710" s="1">
        <v>4.0373900000000003</v>
      </c>
    </row>
    <row r="1711" spans="4:5">
      <c r="D1711" s="1">
        <v>17060</v>
      </c>
      <c r="E1711" s="1">
        <v>4.0494300000000001</v>
      </c>
    </row>
    <row r="1712" spans="4:5">
      <c r="D1712" s="1">
        <v>17070</v>
      </c>
      <c r="E1712" s="1">
        <v>4.0494300000000001</v>
      </c>
    </row>
    <row r="1713" spans="4:5">
      <c r="D1713" s="1">
        <v>17080</v>
      </c>
      <c r="E1713" s="1">
        <v>3.6216200000000001</v>
      </c>
    </row>
    <row r="1714" spans="4:5">
      <c r="D1714" s="1">
        <v>17090</v>
      </c>
      <c r="E1714" s="1">
        <v>3.6216200000000001</v>
      </c>
    </row>
    <row r="1715" spans="4:5">
      <c r="D1715" s="1">
        <v>17100</v>
      </c>
      <c r="E1715" s="1">
        <v>3.8002699999999998</v>
      </c>
    </row>
    <row r="1716" spans="4:5">
      <c r="D1716" s="1">
        <v>17110</v>
      </c>
      <c r="E1716" s="1">
        <v>3.8002699999999998</v>
      </c>
    </row>
    <row r="1717" spans="4:5">
      <c r="D1717" s="1">
        <v>17120</v>
      </c>
      <c r="E1717" s="1">
        <v>3.8755600000000001</v>
      </c>
    </row>
    <row r="1718" spans="4:5">
      <c r="D1718" s="1">
        <v>17130</v>
      </c>
      <c r="E1718" s="1">
        <v>3.8755600000000001</v>
      </c>
    </row>
    <row r="1719" spans="4:5">
      <c r="D1719" s="1">
        <v>17140</v>
      </c>
      <c r="E1719" s="1">
        <v>4.24247</v>
      </c>
    </row>
    <row r="1720" spans="4:5">
      <c r="D1720" s="1">
        <v>17150</v>
      </c>
      <c r="E1720" s="1">
        <v>4.24247</v>
      </c>
    </row>
    <row r="1721" spans="4:5">
      <c r="D1721" s="1">
        <v>17160</v>
      </c>
      <c r="E1721" s="1">
        <v>3.6877900000000001</v>
      </c>
    </row>
    <row r="1722" spans="4:5">
      <c r="D1722" s="1">
        <v>17170</v>
      </c>
      <c r="E1722" s="1">
        <v>3.6877900000000001</v>
      </c>
    </row>
    <row r="1723" spans="4:5">
      <c r="D1723" s="1">
        <v>17180</v>
      </c>
      <c r="E1723" s="1">
        <v>3.8753600000000001</v>
      </c>
    </row>
    <row r="1724" spans="4:5">
      <c r="D1724" s="1">
        <v>17190</v>
      </c>
      <c r="E1724" s="1">
        <v>3.8753600000000001</v>
      </c>
    </row>
    <row r="1725" spans="4:5">
      <c r="D1725" s="1">
        <v>17200</v>
      </c>
      <c r="E1725" s="1">
        <v>3.9727700000000001</v>
      </c>
    </row>
    <row r="1726" spans="4:5">
      <c r="D1726" s="1">
        <v>17210</v>
      </c>
      <c r="E1726" s="1">
        <v>3.9727700000000001</v>
      </c>
    </row>
    <row r="1727" spans="4:5">
      <c r="D1727" s="1">
        <v>17220</v>
      </c>
      <c r="E1727" s="1">
        <v>3.6832400000000001</v>
      </c>
    </row>
    <row r="1728" spans="4:5">
      <c r="D1728" s="1">
        <v>17230</v>
      </c>
      <c r="E1728" s="1">
        <v>3.6832400000000001</v>
      </c>
    </row>
    <row r="1729" spans="4:5">
      <c r="D1729" s="1">
        <v>17240</v>
      </c>
      <c r="E1729" s="1">
        <v>3.5334300000000001</v>
      </c>
    </row>
    <row r="1730" spans="4:5">
      <c r="D1730" s="1">
        <v>17250</v>
      </c>
      <c r="E1730" s="1">
        <v>3.5334300000000001</v>
      </c>
    </row>
    <row r="1731" spans="4:5">
      <c r="D1731" s="1">
        <v>17260</v>
      </c>
      <c r="E1731" s="1">
        <v>3.8206799999999999</v>
      </c>
    </row>
    <row r="1732" spans="4:5">
      <c r="D1732" s="1">
        <v>17270</v>
      </c>
      <c r="E1732" s="1">
        <v>3.8206799999999999</v>
      </c>
    </row>
    <row r="1733" spans="4:5">
      <c r="D1733" s="1">
        <v>17280</v>
      </c>
      <c r="E1733" s="1">
        <v>3.9869400000000002</v>
      </c>
    </row>
    <row r="1734" spans="4:5">
      <c r="D1734" s="1">
        <v>17290</v>
      </c>
      <c r="E1734" s="1">
        <v>3.9869400000000002</v>
      </c>
    </row>
    <row r="1735" spans="4:5">
      <c r="D1735" s="1">
        <v>17300</v>
      </c>
      <c r="E1735" s="1">
        <v>3.4623599999999999</v>
      </c>
    </row>
    <row r="1736" spans="4:5">
      <c r="D1736" s="1">
        <v>17310</v>
      </c>
      <c r="E1736" s="1">
        <v>3.4623599999999999</v>
      </c>
    </row>
    <row r="1737" spans="4:5">
      <c r="D1737" s="1">
        <v>17320</v>
      </c>
      <c r="E1737" s="1">
        <v>3.7637399999999999</v>
      </c>
    </row>
    <row r="1738" spans="4:5">
      <c r="D1738" s="1">
        <v>17330</v>
      </c>
      <c r="E1738" s="1">
        <v>3.7637399999999999</v>
      </c>
    </row>
    <row r="1739" spans="4:5">
      <c r="D1739" s="1">
        <v>17340</v>
      </c>
      <c r="E1739" s="1">
        <v>3.6577799999999998</v>
      </c>
    </row>
    <row r="1740" spans="4:5">
      <c r="D1740" s="1">
        <v>17350</v>
      </c>
      <c r="E1740" s="1">
        <v>3.6577799999999998</v>
      </c>
    </row>
    <row r="1741" spans="4:5">
      <c r="D1741" s="1">
        <v>17360</v>
      </c>
      <c r="E1741" s="1">
        <v>3.8238400000000001</v>
      </c>
    </row>
    <row r="1742" spans="4:5">
      <c r="D1742" s="1">
        <v>17370</v>
      </c>
      <c r="E1742" s="1">
        <v>3.8238400000000001</v>
      </c>
    </row>
    <row r="1743" spans="4:5">
      <c r="D1743" s="1">
        <v>17380</v>
      </c>
      <c r="E1743" s="1">
        <v>3.69116</v>
      </c>
    </row>
    <row r="1744" spans="4:5">
      <c r="D1744" s="1">
        <v>17390</v>
      </c>
      <c r="E1744" s="1">
        <v>3.69116</v>
      </c>
    </row>
    <row r="1745" spans="4:5">
      <c r="D1745" s="1">
        <v>17400</v>
      </c>
      <c r="E1745" s="1">
        <v>3.83108</v>
      </c>
    </row>
    <row r="1746" spans="4:5">
      <c r="D1746" s="1">
        <v>17410</v>
      </c>
      <c r="E1746" s="1">
        <v>3.83108</v>
      </c>
    </row>
    <row r="1747" spans="4:5">
      <c r="D1747" s="1">
        <v>17420</v>
      </c>
      <c r="E1747" s="1">
        <v>3.9171800000000001</v>
      </c>
    </row>
    <row r="1748" spans="4:5">
      <c r="D1748" s="1">
        <v>17430</v>
      </c>
      <c r="E1748" s="1">
        <v>3.9171800000000001</v>
      </c>
    </row>
    <row r="1749" spans="4:5">
      <c r="D1749" s="1">
        <v>17440</v>
      </c>
      <c r="E1749" s="1">
        <v>3.7376200000000002</v>
      </c>
    </row>
    <row r="1750" spans="4:5">
      <c r="D1750" s="1">
        <v>17450</v>
      </c>
      <c r="E1750" s="1">
        <v>3.7376200000000002</v>
      </c>
    </row>
    <row r="1751" spans="4:5">
      <c r="D1751" s="1">
        <v>17460</v>
      </c>
      <c r="E1751" s="1">
        <v>3.9009499999999999</v>
      </c>
    </row>
    <row r="1752" spans="4:5">
      <c r="D1752" s="1">
        <v>17470</v>
      </c>
      <c r="E1752" s="1">
        <v>3.9009499999999999</v>
      </c>
    </row>
    <row r="1753" spans="4:5">
      <c r="D1753" s="1">
        <v>17480</v>
      </c>
      <c r="E1753" s="1">
        <v>3.6831700000000001</v>
      </c>
    </row>
    <row r="1754" spans="4:5">
      <c r="D1754" s="1">
        <v>17490</v>
      </c>
      <c r="E1754" s="1">
        <v>3.6831700000000001</v>
      </c>
    </row>
    <row r="1755" spans="4:5">
      <c r="D1755" s="1">
        <v>17500</v>
      </c>
      <c r="E1755" s="1">
        <v>3.87323</v>
      </c>
    </row>
    <row r="1756" spans="4:5">
      <c r="D1756" s="1">
        <v>17510</v>
      </c>
      <c r="E1756" s="1">
        <v>3.87323</v>
      </c>
    </row>
    <row r="1757" spans="4:5">
      <c r="D1757" s="1">
        <v>17520</v>
      </c>
      <c r="E1757" s="1">
        <v>3.65326</v>
      </c>
    </row>
    <row r="1758" spans="4:5">
      <c r="D1758" s="1">
        <v>17530</v>
      </c>
      <c r="E1758" s="1">
        <v>3.65326</v>
      </c>
    </row>
    <row r="1759" spans="4:5">
      <c r="D1759" s="1">
        <v>17540</v>
      </c>
      <c r="E1759" s="1">
        <v>3.4975200000000002</v>
      </c>
    </row>
    <row r="1760" spans="4:5">
      <c r="D1760" s="1">
        <v>17550</v>
      </c>
      <c r="E1760" s="1">
        <v>3.4975200000000002</v>
      </c>
    </row>
    <row r="1761" spans="4:5">
      <c r="D1761" s="1">
        <v>17560</v>
      </c>
      <c r="E1761" s="1">
        <v>3.5826699999999998</v>
      </c>
    </row>
    <row r="1762" spans="4:5">
      <c r="D1762" s="1">
        <v>17570</v>
      </c>
      <c r="E1762" s="1">
        <v>3.5826699999999998</v>
      </c>
    </row>
    <row r="1763" spans="4:5">
      <c r="D1763" s="1">
        <v>17580</v>
      </c>
      <c r="E1763" s="1">
        <v>3.7656399999999999</v>
      </c>
    </row>
    <row r="1764" spans="4:5">
      <c r="D1764" s="1">
        <v>17590</v>
      </c>
      <c r="E1764" s="1">
        <v>3.7656399999999999</v>
      </c>
    </row>
    <row r="1765" spans="4:5">
      <c r="D1765" s="1">
        <v>17600</v>
      </c>
      <c r="E1765" s="1">
        <v>3.7079900000000001</v>
      </c>
    </row>
    <row r="1766" spans="4:5">
      <c r="D1766" s="1">
        <v>17610</v>
      </c>
      <c r="E1766" s="1">
        <v>3.7079900000000001</v>
      </c>
    </row>
    <row r="1767" spans="4:5">
      <c r="D1767" s="1">
        <v>17620</v>
      </c>
      <c r="E1767" s="1">
        <v>3.78572</v>
      </c>
    </row>
    <row r="1768" spans="4:5">
      <c r="D1768" s="1">
        <v>17630</v>
      </c>
      <c r="E1768" s="1">
        <v>3.78572</v>
      </c>
    </row>
    <row r="1769" spans="4:5">
      <c r="D1769" s="1">
        <v>17640</v>
      </c>
      <c r="E1769" s="1">
        <v>3.7275900000000002</v>
      </c>
    </row>
    <row r="1770" spans="4:5">
      <c r="D1770" s="1">
        <v>17650</v>
      </c>
      <c r="E1770" s="1">
        <v>3.7275900000000002</v>
      </c>
    </row>
    <row r="1771" spans="4:5">
      <c r="D1771" s="1">
        <v>17660</v>
      </c>
      <c r="E1771" s="1">
        <v>3.83596</v>
      </c>
    </row>
    <row r="1772" spans="4:5">
      <c r="D1772" s="1">
        <v>17670</v>
      </c>
      <c r="E1772" s="1">
        <v>3.83596</v>
      </c>
    </row>
    <row r="1773" spans="4:5">
      <c r="D1773" s="1">
        <v>17680</v>
      </c>
      <c r="E1773" s="1">
        <v>3.7125699999999999</v>
      </c>
    </row>
    <row r="1774" spans="4:5">
      <c r="D1774" s="1">
        <v>17690</v>
      </c>
      <c r="E1774" s="1">
        <v>3.7125699999999999</v>
      </c>
    </row>
    <row r="1775" spans="4:5">
      <c r="D1775" s="1">
        <v>17700</v>
      </c>
      <c r="E1775" s="1">
        <v>3.8890400000000001</v>
      </c>
    </row>
    <row r="1776" spans="4:5">
      <c r="D1776" s="1">
        <v>17710</v>
      </c>
      <c r="E1776" s="1">
        <v>3.8890400000000001</v>
      </c>
    </row>
    <row r="1777" spans="4:5">
      <c r="D1777" s="1">
        <v>17720</v>
      </c>
      <c r="E1777" s="1">
        <v>3.6095799999999998</v>
      </c>
    </row>
    <row r="1778" spans="4:5">
      <c r="D1778" s="1">
        <v>17730</v>
      </c>
      <c r="E1778" s="1">
        <v>3.6095799999999998</v>
      </c>
    </row>
    <row r="1779" spans="4:5">
      <c r="D1779" s="1">
        <v>17740</v>
      </c>
      <c r="E1779" s="1">
        <v>3.70967</v>
      </c>
    </row>
    <row r="1780" spans="4:5">
      <c r="D1780" s="1">
        <v>17750</v>
      </c>
      <c r="E1780" s="1">
        <v>3.70967</v>
      </c>
    </row>
    <row r="1781" spans="4:5">
      <c r="D1781" s="1">
        <v>17760</v>
      </c>
      <c r="E1781" s="1">
        <v>3.6475</v>
      </c>
    </row>
    <row r="1782" spans="4:5">
      <c r="D1782" s="1">
        <v>17770</v>
      </c>
      <c r="E1782" s="1">
        <v>3.6475</v>
      </c>
    </row>
    <row r="1783" spans="4:5">
      <c r="D1783" s="1">
        <v>17780</v>
      </c>
      <c r="E1783" s="1">
        <v>3.67571</v>
      </c>
    </row>
    <row r="1784" spans="4:5">
      <c r="D1784" s="1">
        <v>17790</v>
      </c>
      <c r="E1784" s="1">
        <v>3.67571</v>
      </c>
    </row>
    <row r="1785" spans="4:5">
      <c r="D1785" s="1">
        <v>17800</v>
      </c>
      <c r="E1785" s="1">
        <v>3.6191</v>
      </c>
    </row>
    <row r="1786" spans="4:5">
      <c r="D1786" s="1">
        <v>17810</v>
      </c>
      <c r="E1786" s="1">
        <v>3.6191</v>
      </c>
    </row>
    <row r="1787" spans="4:5">
      <c r="D1787" s="1">
        <v>17820</v>
      </c>
      <c r="E1787" s="1">
        <v>3.47723</v>
      </c>
    </row>
    <row r="1788" spans="4:5">
      <c r="D1788" s="1">
        <v>17830</v>
      </c>
      <c r="E1788" s="1">
        <v>3.47723</v>
      </c>
    </row>
    <row r="1789" spans="4:5">
      <c r="D1789" s="1">
        <v>17840</v>
      </c>
      <c r="E1789" s="1">
        <v>3.5509200000000001</v>
      </c>
    </row>
    <row r="1790" spans="4:5">
      <c r="D1790" s="1">
        <v>17850</v>
      </c>
      <c r="E1790" s="1">
        <v>3.5509200000000001</v>
      </c>
    </row>
    <row r="1791" spans="4:5">
      <c r="D1791" s="1">
        <v>17860</v>
      </c>
      <c r="E1791" s="1">
        <v>3.70044</v>
      </c>
    </row>
    <row r="1792" spans="4:5">
      <c r="D1792" s="1">
        <v>17870</v>
      </c>
      <c r="E1792" s="1">
        <v>3.70044</v>
      </c>
    </row>
    <row r="1793" spans="4:5">
      <c r="D1793" s="1">
        <v>17880</v>
      </c>
      <c r="E1793" s="1">
        <v>3.8182200000000002</v>
      </c>
    </row>
    <row r="1794" spans="4:5">
      <c r="D1794" s="1">
        <v>17890</v>
      </c>
      <c r="E1794" s="1">
        <v>3.8182200000000002</v>
      </c>
    </row>
    <row r="1795" spans="4:5">
      <c r="D1795" s="1">
        <v>17900</v>
      </c>
      <c r="E1795" s="1">
        <v>3.6916000000000002</v>
      </c>
    </row>
    <row r="1796" spans="4:5">
      <c r="D1796" s="1">
        <v>17910</v>
      </c>
      <c r="E1796" s="1">
        <v>3.6916000000000002</v>
      </c>
    </row>
    <row r="1797" spans="4:5">
      <c r="D1797" s="1">
        <v>17920</v>
      </c>
      <c r="E1797" s="1">
        <v>3.5570300000000001</v>
      </c>
    </row>
    <row r="1798" spans="4:5">
      <c r="D1798" s="1">
        <v>17930</v>
      </c>
      <c r="E1798" s="1">
        <v>3.5570300000000001</v>
      </c>
    </row>
    <row r="1799" spans="4:5">
      <c r="D1799" s="1">
        <v>17940</v>
      </c>
      <c r="E1799" s="1">
        <v>3.6223900000000002</v>
      </c>
    </row>
    <row r="1800" spans="4:5">
      <c r="D1800" s="1">
        <v>17950</v>
      </c>
      <c r="E1800" s="1">
        <v>3.6223900000000002</v>
      </c>
    </row>
    <row r="1801" spans="4:5">
      <c r="D1801" s="1">
        <v>17960</v>
      </c>
      <c r="E1801" s="1">
        <v>3.6354099999999998</v>
      </c>
    </row>
    <row r="1802" spans="4:5">
      <c r="D1802" s="1">
        <v>17970</v>
      </c>
      <c r="E1802" s="1">
        <v>3.6354099999999998</v>
      </c>
    </row>
    <row r="1803" spans="4:5">
      <c r="D1803" s="1">
        <v>17980</v>
      </c>
      <c r="E1803" s="1">
        <v>3.6711200000000002</v>
      </c>
    </row>
    <row r="1804" spans="4:5">
      <c r="D1804" s="1">
        <v>17990</v>
      </c>
      <c r="E1804" s="1">
        <v>3.6711200000000002</v>
      </c>
    </row>
    <row r="1805" spans="4:5">
      <c r="D1805" s="1">
        <v>18000</v>
      </c>
      <c r="E1805" s="1">
        <v>3.7745799999999998</v>
      </c>
    </row>
    <row r="1806" spans="4:5">
      <c r="D1806" s="1">
        <v>18010</v>
      </c>
      <c r="E1806" s="1">
        <v>3.7745799999999998</v>
      </c>
    </row>
    <row r="1807" spans="4:5">
      <c r="D1807" s="1">
        <v>18020</v>
      </c>
      <c r="E1807" s="1">
        <v>3.72444</v>
      </c>
    </row>
    <row r="1808" spans="4:5">
      <c r="D1808" s="1">
        <v>18030</v>
      </c>
      <c r="E1808" s="1">
        <v>3.72444</v>
      </c>
    </row>
    <row r="1809" spans="4:5">
      <c r="D1809" s="1">
        <v>18040</v>
      </c>
      <c r="E1809" s="1">
        <v>3.7117900000000001</v>
      </c>
    </row>
    <row r="1810" spans="4:5">
      <c r="D1810" s="1">
        <v>18050</v>
      </c>
      <c r="E1810" s="1">
        <v>3.7117900000000001</v>
      </c>
    </row>
    <row r="1811" spans="4:5">
      <c r="D1811" s="1">
        <v>18060</v>
      </c>
      <c r="E1811" s="1">
        <v>3.7853300000000001</v>
      </c>
    </row>
    <row r="1812" spans="4:5">
      <c r="D1812" s="1">
        <v>18070</v>
      </c>
      <c r="E1812" s="1">
        <v>3.7853300000000001</v>
      </c>
    </row>
    <row r="1813" spans="4:5">
      <c r="D1813" s="1">
        <v>18080</v>
      </c>
      <c r="E1813" s="1">
        <v>3.6300300000000001</v>
      </c>
    </row>
    <row r="1814" spans="4:5">
      <c r="D1814" s="1">
        <v>18090</v>
      </c>
      <c r="E1814" s="1">
        <v>3.6300300000000001</v>
      </c>
    </row>
    <row r="1815" spans="4:5">
      <c r="D1815" s="1">
        <v>18100</v>
      </c>
      <c r="E1815" s="1">
        <v>3.6468400000000001</v>
      </c>
    </row>
    <row r="1816" spans="4:5">
      <c r="D1816" s="1">
        <v>18110</v>
      </c>
      <c r="E1816" s="1">
        <v>3.6468400000000001</v>
      </c>
    </row>
    <row r="1817" spans="4:5">
      <c r="D1817" s="1">
        <v>18120</v>
      </c>
      <c r="E1817" s="1">
        <v>3.73848</v>
      </c>
    </row>
    <row r="1818" spans="4:5">
      <c r="D1818" s="1">
        <v>18130</v>
      </c>
      <c r="E1818" s="1">
        <v>3.73848</v>
      </c>
    </row>
    <row r="1819" spans="4:5">
      <c r="D1819" s="1">
        <v>18140</v>
      </c>
      <c r="E1819" s="1">
        <v>3.7017099999999998</v>
      </c>
    </row>
    <row r="1820" spans="4:5">
      <c r="D1820" s="1">
        <v>18150</v>
      </c>
      <c r="E1820" s="1">
        <v>3.7017099999999998</v>
      </c>
    </row>
    <row r="1821" spans="4:5">
      <c r="D1821" s="1">
        <v>18160</v>
      </c>
      <c r="E1821" s="1">
        <v>3.9094500000000001</v>
      </c>
    </row>
    <row r="1822" spans="4:5">
      <c r="D1822" s="1">
        <v>18170</v>
      </c>
      <c r="E1822" s="1">
        <v>3.9094500000000001</v>
      </c>
    </row>
    <row r="1823" spans="4:5">
      <c r="D1823" s="1">
        <v>18180</v>
      </c>
      <c r="E1823" s="1">
        <v>3.5857000000000001</v>
      </c>
    </row>
    <row r="1824" spans="4:5">
      <c r="D1824" s="1">
        <v>18190</v>
      </c>
      <c r="E1824" s="1">
        <v>3.5857000000000001</v>
      </c>
    </row>
    <row r="1825" spans="4:5">
      <c r="D1825" s="1">
        <v>18200</v>
      </c>
      <c r="E1825" s="1">
        <v>3.3611900000000001</v>
      </c>
    </row>
    <row r="1826" spans="4:5">
      <c r="D1826" s="1">
        <v>18210</v>
      </c>
      <c r="E1826" s="1">
        <v>3.3611900000000001</v>
      </c>
    </row>
    <row r="1827" spans="4:5">
      <c r="D1827" s="1">
        <v>18220</v>
      </c>
      <c r="E1827" s="1">
        <v>3.4411900000000002</v>
      </c>
    </row>
    <row r="1828" spans="4:5">
      <c r="D1828" s="1">
        <v>18230</v>
      </c>
      <c r="E1828" s="1">
        <v>3.4411900000000002</v>
      </c>
    </row>
    <row r="1829" spans="4:5">
      <c r="D1829" s="1">
        <v>18240</v>
      </c>
      <c r="E1829" s="1">
        <v>3.7771599999999999</v>
      </c>
    </row>
    <row r="1830" spans="4:5">
      <c r="D1830" s="1">
        <v>18250</v>
      </c>
      <c r="E1830" s="1">
        <v>3.7771599999999999</v>
      </c>
    </row>
    <row r="1831" spans="4:5">
      <c r="D1831" s="1">
        <v>18260</v>
      </c>
      <c r="E1831" s="1">
        <v>3.8901500000000002</v>
      </c>
    </row>
    <row r="1832" spans="4:5">
      <c r="D1832" s="1">
        <v>18270</v>
      </c>
      <c r="E1832" s="1">
        <v>3.8901500000000002</v>
      </c>
    </row>
    <row r="1833" spans="4:5">
      <c r="D1833" s="1">
        <v>18280</v>
      </c>
      <c r="E1833" s="1">
        <v>3.3992499999999999</v>
      </c>
    </row>
    <row r="1834" spans="4:5">
      <c r="D1834" s="1">
        <v>18290</v>
      </c>
      <c r="E1834" s="1">
        <v>3.3992499999999999</v>
      </c>
    </row>
    <row r="1835" spans="4:5">
      <c r="D1835" s="1">
        <v>18300</v>
      </c>
      <c r="E1835" s="1">
        <v>4.0072599999999996</v>
      </c>
    </row>
    <row r="1836" spans="4:5">
      <c r="D1836" s="1">
        <v>18310</v>
      </c>
      <c r="E1836" s="1">
        <v>4.0072599999999996</v>
      </c>
    </row>
    <row r="1837" spans="4:5">
      <c r="D1837" s="1">
        <v>18320</v>
      </c>
      <c r="E1837" s="1">
        <v>3.7001599999999999</v>
      </c>
    </row>
    <row r="1838" spans="4:5">
      <c r="D1838" s="1">
        <v>18330</v>
      </c>
      <c r="E1838" s="1">
        <v>3.7001599999999999</v>
      </c>
    </row>
    <row r="1839" spans="4:5">
      <c r="D1839" s="1">
        <v>18340</v>
      </c>
      <c r="E1839" s="1">
        <v>3.6534</v>
      </c>
    </row>
    <row r="1840" spans="4:5">
      <c r="D1840" s="1">
        <v>18350</v>
      </c>
      <c r="E1840" s="1">
        <v>3.6534</v>
      </c>
    </row>
    <row r="1841" spans="4:5">
      <c r="D1841" s="1">
        <v>18360</v>
      </c>
      <c r="E1841" s="1">
        <v>3.9745900000000001</v>
      </c>
    </row>
    <row r="1842" spans="4:5">
      <c r="D1842" s="1">
        <v>18370</v>
      </c>
      <c r="E1842" s="1">
        <v>3.9745900000000001</v>
      </c>
    </row>
    <row r="1843" spans="4:5">
      <c r="D1843" s="1">
        <v>18380</v>
      </c>
      <c r="E1843" s="1">
        <v>3.6363500000000002</v>
      </c>
    </row>
    <row r="1844" spans="4:5">
      <c r="D1844" s="1">
        <v>18390</v>
      </c>
      <c r="E1844" s="1">
        <v>3.6363500000000002</v>
      </c>
    </row>
    <row r="1845" spans="4:5">
      <c r="D1845" s="1">
        <v>18400</v>
      </c>
      <c r="E1845" s="1">
        <v>3.6164900000000002</v>
      </c>
    </row>
    <row r="1846" spans="4:5">
      <c r="D1846" s="1">
        <v>18410</v>
      </c>
      <c r="E1846" s="1">
        <v>3.6164900000000002</v>
      </c>
    </row>
    <row r="1847" spans="4:5">
      <c r="D1847" s="1">
        <v>18420</v>
      </c>
      <c r="E1847" s="1">
        <v>3.8846699999999998</v>
      </c>
    </row>
    <row r="1848" spans="4:5">
      <c r="D1848" s="1">
        <v>18430</v>
      </c>
      <c r="E1848" s="1">
        <v>3.8846699999999998</v>
      </c>
    </row>
    <row r="1849" spans="4:5">
      <c r="D1849" s="1">
        <v>18440</v>
      </c>
      <c r="E1849" s="1">
        <v>4.0072099999999997</v>
      </c>
    </row>
    <row r="1850" spans="4:5">
      <c r="D1850" s="1">
        <v>18450</v>
      </c>
      <c r="E1850" s="1">
        <v>4.0072099999999997</v>
      </c>
    </row>
    <row r="1851" spans="4:5">
      <c r="D1851" s="1">
        <v>18460</v>
      </c>
      <c r="E1851" s="1">
        <v>4.0410300000000001</v>
      </c>
    </row>
    <row r="1852" spans="4:5">
      <c r="D1852" s="1">
        <v>18470</v>
      </c>
      <c r="E1852" s="1">
        <v>4.0410300000000001</v>
      </c>
    </row>
    <row r="1853" spans="4:5">
      <c r="D1853" s="1">
        <v>18480</v>
      </c>
      <c r="E1853" s="1">
        <v>3.35568</v>
      </c>
    </row>
    <row r="1854" spans="4:5">
      <c r="D1854" s="1">
        <v>18490</v>
      </c>
      <c r="E1854" s="1">
        <v>3.35568</v>
      </c>
    </row>
    <row r="1855" spans="4:5">
      <c r="D1855" s="1">
        <v>18500</v>
      </c>
      <c r="E1855" s="1">
        <v>3.7294200000000002</v>
      </c>
    </row>
    <row r="1856" spans="4:5">
      <c r="D1856" s="1">
        <v>18510</v>
      </c>
      <c r="E1856" s="1">
        <v>3.7294200000000002</v>
      </c>
    </row>
    <row r="1857" spans="4:5">
      <c r="D1857" s="1">
        <v>18520</v>
      </c>
      <c r="E1857" s="1">
        <v>3.8893</v>
      </c>
    </row>
    <row r="1858" spans="4:5">
      <c r="D1858" s="1">
        <v>18530</v>
      </c>
      <c r="E1858" s="1">
        <v>3.8893</v>
      </c>
    </row>
    <row r="1859" spans="4:5">
      <c r="D1859" s="1">
        <v>18540</v>
      </c>
      <c r="E1859" s="1">
        <v>3.6027900000000002</v>
      </c>
    </row>
    <row r="1860" spans="4:5">
      <c r="D1860" s="1">
        <v>18550</v>
      </c>
      <c r="E1860" s="1">
        <v>3.6027900000000002</v>
      </c>
    </row>
    <row r="1861" spans="4:5">
      <c r="D1861" s="1">
        <v>18560</v>
      </c>
      <c r="E1861" s="1">
        <v>3.7648999999999999</v>
      </c>
    </row>
    <row r="1862" spans="4:5">
      <c r="D1862" s="1">
        <v>18570</v>
      </c>
      <c r="E1862" s="1">
        <v>3.7648999999999999</v>
      </c>
    </row>
    <row r="1863" spans="4:5">
      <c r="D1863" s="1">
        <v>18580</v>
      </c>
      <c r="E1863" s="1">
        <v>3.6017999999999999</v>
      </c>
    </row>
    <row r="1864" spans="4:5">
      <c r="D1864" s="1">
        <v>18590</v>
      </c>
      <c r="E1864" s="1">
        <v>3.6017999999999999</v>
      </c>
    </row>
    <row r="1865" spans="4:5">
      <c r="D1865" s="1">
        <v>18600</v>
      </c>
      <c r="E1865" s="1">
        <v>3.8453900000000001</v>
      </c>
    </row>
    <row r="1866" spans="4:5">
      <c r="D1866" s="1">
        <v>18610</v>
      </c>
      <c r="E1866" s="1">
        <v>3.8453900000000001</v>
      </c>
    </row>
    <row r="1867" spans="4:5">
      <c r="D1867" s="1">
        <v>18620</v>
      </c>
      <c r="E1867" s="1">
        <v>3.6724000000000001</v>
      </c>
    </row>
    <row r="1868" spans="4:5">
      <c r="D1868" s="1">
        <v>18630</v>
      </c>
      <c r="E1868" s="1">
        <v>3.6724000000000001</v>
      </c>
    </row>
    <row r="1869" spans="4:5">
      <c r="D1869" s="1">
        <v>18640</v>
      </c>
      <c r="E1869" s="1">
        <v>3.7325200000000001</v>
      </c>
    </row>
    <row r="1870" spans="4:5">
      <c r="D1870" s="1">
        <v>18650</v>
      </c>
      <c r="E1870" s="1">
        <v>3.7325200000000001</v>
      </c>
    </row>
    <row r="1871" spans="4:5">
      <c r="D1871" s="1">
        <v>18660</v>
      </c>
      <c r="E1871" s="1">
        <v>3.7484799999999998</v>
      </c>
    </row>
    <row r="1872" spans="4:5">
      <c r="D1872" s="1">
        <v>18670</v>
      </c>
      <c r="E1872" s="1">
        <v>3.7484799999999998</v>
      </c>
    </row>
    <row r="1873" spans="4:5">
      <c r="D1873" s="1">
        <v>18680</v>
      </c>
      <c r="E1873" s="1">
        <v>3.8018000000000001</v>
      </c>
    </row>
    <row r="1874" spans="4:5">
      <c r="D1874" s="1">
        <v>18690</v>
      </c>
      <c r="E1874" s="1">
        <v>3.8018000000000001</v>
      </c>
    </row>
    <row r="1875" spans="4:5">
      <c r="D1875" s="1">
        <v>18700</v>
      </c>
      <c r="E1875" s="1">
        <v>3.7484299999999999</v>
      </c>
    </row>
    <row r="1876" spans="4:5">
      <c r="D1876" s="1">
        <v>18710</v>
      </c>
      <c r="E1876" s="1">
        <v>3.7484299999999999</v>
      </c>
    </row>
    <row r="1877" spans="4:5">
      <c r="D1877" s="1">
        <v>18720</v>
      </c>
      <c r="E1877" s="1">
        <v>3.6467499999999999</v>
      </c>
    </row>
    <row r="1878" spans="4:5">
      <c r="D1878" s="1">
        <v>18730</v>
      </c>
      <c r="E1878" s="1">
        <v>3.6467499999999999</v>
      </c>
    </row>
    <row r="1879" spans="4:5">
      <c r="D1879" s="1">
        <v>18740</v>
      </c>
      <c r="E1879" s="1">
        <v>3.8441200000000002</v>
      </c>
    </row>
    <row r="1880" spans="4:5">
      <c r="D1880" s="1">
        <v>18750</v>
      </c>
      <c r="E1880" s="1">
        <v>3.8441200000000002</v>
      </c>
    </row>
    <row r="1881" spans="4:5">
      <c r="D1881" s="1">
        <v>18760</v>
      </c>
      <c r="E1881" s="1">
        <v>3.6881300000000001</v>
      </c>
    </row>
    <row r="1882" spans="4:5">
      <c r="D1882" s="1">
        <v>18770</v>
      </c>
      <c r="E1882" s="1">
        <v>3.6881300000000001</v>
      </c>
    </row>
    <row r="1883" spans="4:5">
      <c r="D1883" s="1">
        <v>18780</v>
      </c>
      <c r="E1883" s="1">
        <v>3.8882699999999999</v>
      </c>
    </row>
    <row r="1884" spans="4:5">
      <c r="D1884" s="1">
        <v>18790</v>
      </c>
      <c r="E1884" s="1">
        <v>3.8882699999999999</v>
      </c>
    </row>
    <row r="1885" spans="4:5">
      <c r="D1885" s="1">
        <v>18800</v>
      </c>
      <c r="E1885" s="1">
        <v>3.7353999999999998</v>
      </c>
    </row>
    <row r="1886" spans="4:5">
      <c r="D1886" s="1">
        <v>18810</v>
      </c>
      <c r="E1886" s="1">
        <v>3.7353999999999998</v>
      </c>
    </row>
    <row r="1887" spans="4:5">
      <c r="D1887" s="1">
        <v>18820</v>
      </c>
      <c r="E1887" s="1">
        <v>3.7346200000000001</v>
      </c>
    </row>
    <row r="1888" spans="4:5">
      <c r="D1888" s="1">
        <v>18830</v>
      </c>
      <c r="E1888" s="1">
        <v>3.7346200000000001</v>
      </c>
    </row>
    <row r="1889" spans="4:5">
      <c r="D1889" s="1">
        <v>18840</v>
      </c>
      <c r="E1889" s="1">
        <v>3.8852699999999998</v>
      </c>
    </row>
    <row r="1890" spans="4:5">
      <c r="D1890" s="1">
        <v>18850</v>
      </c>
      <c r="E1890" s="1">
        <v>3.8852699999999998</v>
      </c>
    </row>
    <row r="1891" spans="4:5">
      <c r="D1891" s="1">
        <v>18860</v>
      </c>
      <c r="E1891" s="1">
        <v>3.6102400000000001</v>
      </c>
    </row>
    <row r="1892" spans="4:5">
      <c r="D1892" s="1">
        <v>18870</v>
      </c>
      <c r="E1892" s="1">
        <v>3.6102400000000001</v>
      </c>
    </row>
    <row r="1893" spans="4:5">
      <c r="D1893" s="1">
        <v>18880</v>
      </c>
      <c r="E1893" s="1">
        <v>3.86978</v>
      </c>
    </row>
    <row r="1894" spans="4:5">
      <c r="D1894" s="1">
        <v>18890</v>
      </c>
      <c r="E1894" s="1">
        <v>3.86978</v>
      </c>
    </row>
    <row r="1895" spans="4:5">
      <c r="D1895" s="1">
        <v>18900</v>
      </c>
      <c r="E1895" s="1">
        <v>3.57742</v>
      </c>
    </row>
    <row r="1896" spans="4:5">
      <c r="D1896" s="1">
        <v>18910</v>
      </c>
      <c r="E1896" s="1">
        <v>3.57742</v>
      </c>
    </row>
    <row r="1897" spans="4:5">
      <c r="D1897" s="1">
        <v>18920</v>
      </c>
      <c r="E1897" s="1">
        <v>3.7203400000000002</v>
      </c>
    </row>
    <row r="1898" spans="4:5">
      <c r="D1898" s="1">
        <v>18930</v>
      </c>
      <c r="E1898" s="1">
        <v>3.7203400000000002</v>
      </c>
    </row>
    <row r="1899" spans="4:5">
      <c r="D1899" s="1">
        <v>18940</v>
      </c>
      <c r="E1899" s="1">
        <v>3.4613200000000002</v>
      </c>
    </row>
    <row r="1900" spans="4:5">
      <c r="D1900" s="1">
        <v>18950</v>
      </c>
      <c r="E1900" s="1">
        <v>3.4613200000000002</v>
      </c>
    </row>
    <row r="1901" spans="4:5">
      <c r="D1901" s="1">
        <v>18960</v>
      </c>
      <c r="E1901" s="1">
        <v>3.9221900000000001</v>
      </c>
    </row>
    <row r="1902" spans="4:5">
      <c r="D1902" s="1">
        <v>18970</v>
      </c>
      <c r="E1902" s="1">
        <v>3.9221900000000001</v>
      </c>
    </row>
    <row r="1903" spans="4:5">
      <c r="D1903" s="1">
        <v>18980</v>
      </c>
      <c r="E1903" s="1">
        <v>3.5107900000000001</v>
      </c>
    </row>
    <row r="1904" spans="4:5">
      <c r="D1904" s="1">
        <v>18990</v>
      </c>
      <c r="E1904" s="1">
        <v>3.5107900000000001</v>
      </c>
    </row>
    <row r="1905" spans="4:5">
      <c r="D1905" s="1">
        <v>19000</v>
      </c>
      <c r="E1905" s="1">
        <v>3.80091</v>
      </c>
    </row>
    <row r="1906" spans="4:5">
      <c r="D1906" s="1">
        <v>19010</v>
      </c>
      <c r="E1906" s="1">
        <v>3.80091</v>
      </c>
    </row>
    <row r="1907" spans="4:5">
      <c r="D1907" s="1">
        <v>19020</v>
      </c>
      <c r="E1907" s="1">
        <v>3.6768999999999998</v>
      </c>
    </row>
    <row r="1908" spans="4:5">
      <c r="D1908" s="1">
        <v>19030</v>
      </c>
      <c r="E1908" s="1">
        <v>3.6768999999999998</v>
      </c>
    </row>
    <row r="1909" spans="4:5">
      <c r="D1909" s="1">
        <v>19040</v>
      </c>
      <c r="E1909" s="1">
        <v>3.8670800000000001</v>
      </c>
    </row>
    <row r="1910" spans="4:5">
      <c r="D1910" s="1">
        <v>19050</v>
      </c>
      <c r="E1910" s="1">
        <v>3.8670800000000001</v>
      </c>
    </row>
    <row r="1911" spans="4:5">
      <c r="D1911" s="1">
        <v>19060</v>
      </c>
      <c r="E1911" s="1">
        <v>3.79129</v>
      </c>
    </row>
    <row r="1912" spans="4:5">
      <c r="D1912" s="1">
        <v>19070</v>
      </c>
      <c r="E1912" s="1">
        <v>3.79129</v>
      </c>
    </row>
    <row r="1913" spans="4:5">
      <c r="D1913" s="1">
        <v>19080</v>
      </c>
      <c r="E1913" s="1">
        <v>3.51152</v>
      </c>
    </row>
    <row r="1914" spans="4:5">
      <c r="D1914" s="1">
        <v>19090</v>
      </c>
      <c r="E1914" s="1">
        <v>3.51152</v>
      </c>
    </row>
    <row r="1915" spans="4:5">
      <c r="D1915" s="1">
        <v>19100</v>
      </c>
      <c r="E1915" s="1">
        <v>3.9761700000000002</v>
      </c>
    </row>
    <row r="1916" spans="4:5">
      <c r="D1916" s="1">
        <v>19110</v>
      </c>
      <c r="E1916" s="1">
        <v>3.9761700000000002</v>
      </c>
    </row>
    <row r="1917" spans="4:5">
      <c r="D1917" s="1">
        <v>19120</v>
      </c>
      <c r="E1917" s="1">
        <v>3.5055700000000001</v>
      </c>
    </row>
    <row r="1918" spans="4:5">
      <c r="D1918" s="1">
        <v>19130</v>
      </c>
      <c r="E1918" s="1">
        <v>3.5055700000000001</v>
      </c>
    </row>
    <row r="1919" spans="4:5">
      <c r="D1919" s="1">
        <v>19140</v>
      </c>
      <c r="E1919" s="1">
        <v>3.7375400000000001</v>
      </c>
    </row>
    <row r="1920" spans="4:5">
      <c r="D1920" s="1">
        <v>19150</v>
      </c>
      <c r="E1920" s="1">
        <v>3.7375400000000001</v>
      </c>
    </row>
    <row r="1921" spans="4:5">
      <c r="D1921" s="1">
        <v>19160</v>
      </c>
      <c r="E1921" s="1">
        <v>4.1293600000000001</v>
      </c>
    </row>
    <row r="1922" spans="4:5">
      <c r="D1922" s="1">
        <v>19170</v>
      </c>
      <c r="E1922" s="1">
        <v>4.1293600000000001</v>
      </c>
    </row>
    <row r="1923" spans="4:5">
      <c r="D1923" s="1">
        <v>19180</v>
      </c>
      <c r="E1923" s="1">
        <v>3.2428499999999998</v>
      </c>
    </row>
    <row r="1924" spans="4:5">
      <c r="D1924" s="1">
        <v>19190</v>
      </c>
      <c r="E1924" s="1">
        <v>3.2428499999999998</v>
      </c>
    </row>
    <row r="1925" spans="4:5">
      <c r="D1925" s="1">
        <v>19200</v>
      </c>
      <c r="E1925" s="1">
        <v>3.7192599999999998</v>
      </c>
    </row>
    <row r="1926" spans="4:5">
      <c r="D1926" s="1">
        <v>19210</v>
      </c>
      <c r="E1926" s="1">
        <v>3.7192599999999998</v>
      </c>
    </row>
    <row r="1927" spans="4:5">
      <c r="D1927" s="1">
        <v>19220</v>
      </c>
      <c r="E1927" s="1">
        <v>3.60033</v>
      </c>
    </row>
    <row r="1928" spans="4:5">
      <c r="D1928" s="1">
        <v>19230</v>
      </c>
      <c r="E1928" s="1">
        <v>3.60033</v>
      </c>
    </row>
    <row r="1929" spans="4:5">
      <c r="D1929" s="1">
        <v>19240</v>
      </c>
      <c r="E1929" s="1">
        <v>3.58833</v>
      </c>
    </row>
    <row r="1930" spans="4:5">
      <c r="D1930" s="1">
        <v>19250</v>
      </c>
      <c r="E1930" s="1">
        <v>3.58833</v>
      </c>
    </row>
    <row r="1931" spans="4:5">
      <c r="D1931" s="1">
        <v>19260</v>
      </c>
      <c r="E1931" s="1">
        <v>3.6442600000000001</v>
      </c>
    </row>
    <row r="1932" spans="4:5">
      <c r="D1932" s="1">
        <v>19270</v>
      </c>
      <c r="E1932" s="1">
        <v>3.6442600000000001</v>
      </c>
    </row>
    <row r="1933" spans="4:5">
      <c r="D1933" s="1">
        <v>19280</v>
      </c>
      <c r="E1933" s="1">
        <v>3.6856399999999998</v>
      </c>
    </row>
    <row r="1934" spans="4:5">
      <c r="D1934" s="1">
        <v>19290</v>
      </c>
      <c r="E1934" s="1">
        <v>3.6856399999999998</v>
      </c>
    </row>
    <row r="1935" spans="4:5">
      <c r="D1935" s="1">
        <v>19300</v>
      </c>
      <c r="E1935" s="1">
        <v>3.5774599999999999</v>
      </c>
    </row>
    <row r="1936" spans="4:5">
      <c r="D1936" s="1">
        <v>19310</v>
      </c>
      <c r="E1936" s="1">
        <v>3.5774599999999999</v>
      </c>
    </row>
    <row r="1937" spans="4:5">
      <c r="D1937" s="1">
        <v>19320</v>
      </c>
      <c r="E1937" s="1">
        <v>3.7762799999999999</v>
      </c>
    </row>
    <row r="1938" spans="4:5">
      <c r="D1938" s="1">
        <v>19330</v>
      </c>
      <c r="E1938" s="1">
        <v>3.7762799999999999</v>
      </c>
    </row>
    <row r="1939" spans="4:5">
      <c r="D1939" s="1">
        <v>19340</v>
      </c>
      <c r="E1939" s="1">
        <v>3.5290499999999998</v>
      </c>
    </row>
    <row r="1940" spans="4:5">
      <c r="D1940" s="1">
        <v>19350</v>
      </c>
      <c r="E1940" s="1">
        <v>3.5290499999999998</v>
      </c>
    </row>
    <row r="1941" spans="4:5">
      <c r="D1941" s="1">
        <v>19360</v>
      </c>
      <c r="E1941" s="1">
        <v>3.7780900000000002</v>
      </c>
    </row>
    <row r="1942" spans="4:5">
      <c r="D1942" s="1">
        <v>19370</v>
      </c>
      <c r="E1942" s="1">
        <v>3.7780900000000002</v>
      </c>
    </row>
    <row r="1943" spans="4:5">
      <c r="D1943" s="1">
        <v>19380</v>
      </c>
      <c r="E1943" s="1">
        <v>3.5230000000000001</v>
      </c>
    </row>
    <row r="1944" spans="4:5">
      <c r="D1944" s="1">
        <v>19390</v>
      </c>
      <c r="E1944" s="1">
        <v>3.5230000000000001</v>
      </c>
    </row>
    <row r="1945" spans="4:5">
      <c r="D1945" s="1">
        <v>19400</v>
      </c>
      <c r="E1945" s="1">
        <v>3.9433699999999998</v>
      </c>
    </row>
    <row r="1946" spans="4:5">
      <c r="D1946" s="1">
        <v>19410</v>
      </c>
      <c r="E1946" s="1">
        <v>3.9433699999999998</v>
      </c>
    </row>
    <row r="1947" spans="4:5">
      <c r="D1947" s="1">
        <v>19420</v>
      </c>
      <c r="E1947" s="1">
        <v>3.7784900000000001</v>
      </c>
    </row>
    <row r="1948" spans="4:5">
      <c r="D1948" s="1">
        <v>19430</v>
      </c>
      <c r="E1948" s="1">
        <v>3.7784900000000001</v>
      </c>
    </row>
    <row r="1949" spans="4:5">
      <c r="D1949" s="1">
        <v>19440</v>
      </c>
      <c r="E1949" s="1">
        <v>3.78599</v>
      </c>
    </row>
    <row r="1950" spans="4:5">
      <c r="D1950" s="1">
        <v>19450</v>
      </c>
      <c r="E1950" s="1">
        <v>3.78599</v>
      </c>
    </row>
    <row r="1951" spans="4:5">
      <c r="D1951" s="1">
        <v>19460</v>
      </c>
      <c r="E1951" s="1">
        <v>4.0173100000000002</v>
      </c>
    </row>
    <row r="1952" spans="4:5">
      <c r="D1952" s="1">
        <v>19470</v>
      </c>
      <c r="E1952" s="1">
        <v>4.0173100000000002</v>
      </c>
    </row>
    <row r="1953" spans="4:5">
      <c r="D1953" s="1">
        <v>19480</v>
      </c>
      <c r="E1953" s="1">
        <v>3.8207100000000001</v>
      </c>
    </row>
    <row r="1954" spans="4:5">
      <c r="D1954" s="1">
        <v>19490</v>
      </c>
      <c r="E1954" s="1">
        <v>3.8207100000000001</v>
      </c>
    </row>
    <row r="1955" spans="4:5">
      <c r="D1955" s="1">
        <v>19500</v>
      </c>
      <c r="E1955" s="1">
        <v>3.9583499999999998</v>
      </c>
    </row>
    <row r="1956" spans="4:5">
      <c r="D1956" s="1">
        <v>19510</v>
      </c>
      <c r="E1956" s="1">
        <v>3.9583499999999998</v>
      </c>
    </row>
    <row r="1957" spans="4:5">
      <c r="D1957" s="1">
        <v>19520</v>
      </c>
      <c r="E1957" s="1">
        <v>3.7987000000000002</v>
      </c>
    </row>
    <row r="1958" spans="4:5">
      <c r="D1958" s="1">
        <v>19530</v>
      </c>
      <c r="E1958" s="1">
        <v>3.7987000000000002</v>
      </c>
    </row>
    <row r="1959" spans="4:5">
      <c r="D1959" s="1">
        <v>19540</v>
      </c>
      <c r="E1959" s="1">
        <v>3.9365399999999999</v>
      </c>
    </row>
    <row r="1960" spans="4:5">
      <c r="D1960" s="1">
        <v>19550</v>
      </c>
      <c r="E1960" s="1">
        <v>3.9365399999999999</v>
      </c>
    </row>
    <row r="1961" spans="4:5">
      <c r="D1961" s="1">
        <v>19560</v>
      </c>
      <c r="E1961" s="1">
        <v>3.9134899999999999</v>
      </c>
    </row>
    <row r="1962" spans="4:5">
      <c r="D1962" s="1">
        <v>19570</v>
      </c>
      <c r="E1962" s="1">
        <v>3.9134899999999999</v>
      </c>
    </row>
    <row r="1963" spans="4:5">
      <c r="D1963" s="1">
        <v>19580</v>
      </c>
      <c r="E1963" s="1">
        <v>3.93648</v>
      </c>
    </row>
    <row r="1964" spans="4:5">
      <c r="D1964" s="1">
        <v>19590</v>
      </c>
      <c r="E1964" s="1">
        <v>3.93648</v>
      </c>
    </row>
    <row r="1965" spans="4:5">
      <c r="D1965" s="1">
        <v>19600</v>
      </c>
      <c r="E1965" s="1">
        <v>3.8102499999999999</v>
      </c>
    </row>
    <row r="1966" spans="4:5">
      <c r="D1966" s="1">
        <v>19610</v>
      </c>
      <c r="E1966" s="1">
        <v>3.8102499999999999</v>
      </c>
    </row>
    <row r="1967" spans="4:5">
      <c r="D1967" s="1">
        <v>19620</v>
      </c>
      <c r="E1967" s="1">
        <v>3.6896499999999999</v>
      </c>
    </row>
    <row r="1968" spans="4:5">
      <c r="D1968" s="1">
        <v>19630</v>
      </c>
      <c r="E1968" s="1">
        <v>3.6896499999999999</v>
      </c>
    </row>
    <row r="1969" spans="4:5">
      <c r="D1969" s="1">
        <v>19640</v>
      </c>
      <c r="E1969" s="1">
        <v>3.7493599999999998</v>
      </c>
    </row>
    <row r="1970" spans="4:5">
      <c r="D1970" s="1">
        <v>19650</v>
      </c>
      <c r="E1970" s="1">
        <v>3.7493599999999998</v>
      </c>
    </row>
    <row r="1971" spans="4:5">
      <c r="D1971" s="1">
        <v>19660</v>
      </c>
      <c r="E1971" s="1">
        <v>3.5308600000000001</v>
      </c>
    </row>
    <row r="1972" spans="4:5">
      <c r="D1972" s="1">
        <v>19670</v>
      </c>
      <c r="E1972" s="1">
        <v>3.5308600000000001</v>
      </c>
    </row>
    <row r="1973" spans="4:5">
      <c r="D1973" s="1">
        <v>19680</v>
      </c>
      <c r="E1973" s="1">
        <v>3.7251099999999999</v>
      </c>
    </row>
    <row r="1974" spans="4:5">
      <c r="D1974" s="1">
        <v>19690</v>
      </c>
      <c r="E1974" s="1">
        <v>3.7251099999999999</v>
      </c>
    </row>
    <row r="1975" spans="4:5">
      <c r="D1975" s="1">
        <v>19700</v>
      </c>
      <c r="E1975" s="1">
        <v>3.5317599999999998</v>
      </c>
    </row>
    <row r="1976" spans="4:5">
      <c r="D1976" s="1">
        <v>19710</v>
      </c>
      <c r="E1976" s="1">
        <v>3.5317599999999998</v>
      </c>
    </row>
    <row r="1977" spans="4:5">
      <c r="D1977" s="1">
        <v>19720</v>
      </c>
      <c r="E1977" s="1">
        <v>3.87744</v>
      </c>
    </row>
    <row r="1978" spans="4:5">
      <c r="D1978" s="1">
        <v>19730</v>
      </c>
      <c r="E1978" s="1">
        <v>3.87744</v>
      </c>
    </row>
    <row r="1979" spans="4:5">
      <c r="D1979" s="1">
        <v>19740</v>
      </c>
      <c r="E1979" s="1">
        <v>3.35372</v>
      </c>
    </row>
    <row r="1980" spans="4:5">
      <c r="D1980" s="1">
        <v>19750</v>
      </c>
      <c r="E1980" s="1">
        <v>3.35372</v>
      </c>
    </row>
    <row r="1981" spans="4:5">
      <c r="D1981" s="1">
        <v>19760</v>
      </c>
      <c r="E1981" s="1">
        <v>3.7338200000000001</v>
      </c>
    </row>
    <row r="1982" spans="4:5">
      <c r="D1982" s="1">
        <v>19770</v>
      </c>
      <c r="E1982" s="1">
        <v>3.7338200000000001</v>
      </c>
    </row>
    <row r="1983" spans="4:5">
      <c r="D1983" s="1">
        <v>19780</v>
      </c>
      <c r="E1983" s="1">
        <v>3.5996299999999999</v>
      </c>
    </row>
    <row r="1984" spans="4:5">
      <c r="D1984" s="1">
        <v>19790</v>
      </c>
      <c r="E1984" s="1">
        <v>3.5996299999999999</v>
      </c>
    </row>
    <row r="1985" spans="4:5">
      <c r="D1985" s="1">
        <v>19800</v>
      </c>
      <c r="E1985" s="1">
        <v>3.7519999999999998</v>
      </c>
    </row>
    <row r="1986" spans="4:5">
      <c r="D1986" s="1">
        <v>19810</v>
      </c>
      <c r="E1986" s="1">
        <v>3.7519999999999998</v>
      </c>
    </row>
    <row r="1987" spans="4:5">
      <c r="D1987" s="1">
        <v>19820</v>
      </c>
      <c r="E1987" s="1">
        <v>3.6637300000000002</v>
      </c>
    </row>
    <row r="1988" spans="4:5">
      <c r="D1988" s="1">
        <v>19830</v>
      </c>
      <c r="E1988" s="1">
        <v>3.6637300000000002</v>
      </c>
    </row>
    <row r="1989" spans="4:5">
      <c r="D1989" s="1">
        <v>19840</v>
      </c>
      <c r="E1989" s="1">
        <v>3.6469900000000002</v>
      </c>
    </row>
    <row r="1990" spans="4:5">
      <c r="D1990" s="1">
        <v>19850</v>
      </c>
      <c r="E1990" s="1">
        <v>3.6469900000000002</v>
      </c>
    </row>
    <row r="1991" spans="4:5">
      <c r="D1991" s="1">
        <v>19860</v>
      </c>
      <c r="E1991" s="1">
        <v>3.9348200000000002</v>
      </c>
    </row>
    <row r="1992" spans="4:5">
      <c r="D1992" s="1">
        <v>19870</v>
      </c>
      <c r="E1992" s="1">
        <v>3.9348200000000002</v>
      </c>
    </row>
    <row r="1993" spans="4:5">
      <c r="D1993" s="1">
        <v>19880</v>
      </c>
      <c r="E1993" s="1">
        <v>3.8745099999999999</v>
      </c>
    </row>
    <row r="1994" spans="4:5">
      <c r="D1994" s="1">
        <v>19890</v>
      </c>
      <c r="E1994" s="1">
        <v>3.8745099999999999</v>
      </c>
    </row>
    <row r="1995" spans="4:5">
      <c r="D1995" s="1">
        <v>19900</v>
      </c>
      <c r="E1995" s="1">
        <v>3.9598</v>
      </c>
    </row>
    <row r="1996" spans="4:5">
      <c r="D1996" s="1">
        <v>19910</v>
      </c>
      <c r="E1996" s="1">
        <v>3.9598</v>
      </c>
    </row>
    <row r="1997" spans="4:5">
      <c r="D1997" s="1">
        <v>19920</v>
      </c>
      <c r="E1997" s="1">
        <v>3.7638400000000001</v>
      </c>
    </row>
    <row r="1998" spans="4:5">
      <c r="D1998" s="1">
        <v>19930</v>
      </c>
      <c r="E1998" s="1">
        <v>3.7638400000000001</v>
      </c>
    </row>
    <row r="1999" spans="4:5">
      <c r="D1999" s="1">
        <v>19940</v>
      </c>
      <c r="E1999" s="1">
        <v>3.78179</v>
      </c>
    </row>
    <row r="2000" spans="4:5">
      <c r="D2000" s="1">
        <v>19950</v>
      </c>
      <c r="E2000" s="1">
        <v>3.78179</v>
      </c>
    </row>
    <row r="2001" spans="4:5">
      <c r="D2001" s="1">
        <v>19960</v>
      </c>
      <c r="E2001" s="1">
        <v>4.0114099999999997</v>
      </c>
    </row>
    <row r="2002" spans="4:5">
      <c r="D2002" s="1">
        <v>19970</v>
      </c>
      <c r="E2002" s="1">
        <v>4.0114099999999997</v>
      </c>
    </row>
    <row r="2003" spans="4:5">
      <c r="D2003" s="1">
        <v>19980</v>
      </c>
      <c r="E2003" s="1">
        <v>3.8012899999999998</v>
      </c>
    </row>
    <row r="2004" spans="4:5">
      <c r="D2004" s="1">
        <v>19990</v>
      </c>
      <c r="E2004" s="1">
        <v>3.8012899999999998</v>
      </c>
    </row>
    <row r="2005" spans="4:5">
      <c r="D2005" s="1">
        <v>20000</v>
      </c>
      <c r="E2005" s="1">
        <v>4.0882899999999998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A54F-3317-4E36-AE00-FAB239A1D428}">
  <dimension ref="E4:F2295"/>
  <sheetViews>
    <sheetView workbookViewId="0">
      <selection activeCell="I7" sqref="I7"/>
    </sheetView>
  </sheetViews>
  <sheetFormatPr defaultRowHeight="14.4"/>
  <cols>
    <col min="6" max="6" width="19.83984375" customWidth="1"/>
  </cols>
  <sheetData>
    <row r="4" spans="5:6">
      <c r="E4" s="2"/>
      <c r="F4" s="2" t="s">
        <v>214</v>
      </c>
    </row>
    <row r="5" spans="5:6">
      <c r="E5" s="1">
        <v>0</v>
      </c>
      <c r="F5" s="1">
        <v>0.80155600000000005</v>
      </c>
    </row>
    <row r="6" spans="5:6">
      <c r="E6" s="1">
        <v>10</v>
      </c>
      <c r="F6" s="1">
        <v>0.79152299999999998</v>
      </c>
    </row>
    <row r="7" spans="5:6">
      <c r="E7" s="1">
        <v>20</v>
      </c>
      <c r="F7" s="1">
        <v>0.78608</v>
      </c>
    </row>
    <row r="8" spans="5:6">
      <c r="E8" s="1">
        <v>30</v>
      </c>
      <c r="F8" s="1">
        <v>0.784999</v>
      </c>
    </row>
    <row r="9" spans="5:6">
      <c r="E9" s="1">
        <v>40</v>
      </c>
      <c r="F9" s="1">
        <v>0.78742800000000002</v>
      </c>
    </row>
    <row r="10" spans="5:6">
      <c r="E10" s="1">
        <v>50</v>
      </c>
      <c r="F10" s="1">
        <v>0.78830999999999996</v>
      </c>
    </row>
    <row r="11" spans="5:6">
      <c r="E11" s="1">
        <v>60</v>
      </c>
      <c r="F11" s="1">
        <v>0.78939400000000004</v>
      </c>
    </row>
    <row r="12" spans="5:6">
      <c r="E12" s="1">
        <v>70</v>
      </c>
      <c r="F12" s="1">
        <v>0.78456899999999996</v>
      </c>
    </row>
    <row r="13" spans="5:6">
      <c r="E13" s="1">
        <v>80</v>
      </c>
      <c r="F13" s="1">
        <v>0.78654000000000002</v>
      </c>
    </row>
    <row r="14" spans="5:6">
      <c r="E14" s="1">
        <v>90</v>
      </c>
      <c r="F14" s="1">
        <v>0.78595700000000002</v>
      </c>
    </row>
    <row r="15" spans="5:6">
      <c r="E15" s="1">
        <v>100</v>
      </c>
      <c r="F15" s="1">
        <v>0.78521600000000003</v>
      </c>
    </row>
    <row r="16" spans="5:6">
      <c r="E16" s="1">
        <v>110</v>
      </c>
      <c r="F16" s="1">
        <v>0.78504200000000002</v>
      </c>
    </row>
    <row r="17" spans="5:6">
      <c r="E17" s="1">
        <v>120</v>
      </c>
      <c r="F17" s="1">
        <v>0.78535100000000002</v>
      </c>
    </row>
    <row r="18" spans="5:6">
      <c r="E18" s="1">
        <v>130</v>
      </c>
      <c r="F18" s="1">
        <v>0.782057</v>
      </c>
    </row>
    <row r="19" spans="5:6">
      <c r="E19" s="1">
        <v>140</v>
      </c>
      <c r="F19" s="1">
        <v>0.78835100000000002</v>
      </c>
    </row>
    <row r="20" spans="5:6">
      <c r="E20" s="1">
        <v>150</v>
      </c>
      <c r="F20" s="1">
        <v>0.78909099999999999</v>
      </c>
    </row>
    <row r="21" spans="5:6">
      <c r="E21" s="1">
        <v>160</v>
      </c>
      <c r="F21" s="1">
        <v>0.78647900000000004</v>
      </c>
    </row>
    <row r="22" spans="5:6">
      <c r="E22" s="1">
        <v>170</v>
      </c>
      <c r="F22" s="1">
        <v>0.78651899999999997</v>
      </c>
    </row>
    <row r="23" spans="5:6">
      <c r="E23" s="1">
        <v>180</v>
      </c>
      <c r="F23" s="1">
        <v>0.78447800000000001</v>
      </c>
    </row>
    <row r="24" spans="5:6">
      <c r="E24" s="1">
        <v>190</v>
      </c>
      <c r="F24" s="1">
        <v>0.78502499999999997</v>
      </c>
    </row>
    <row r="25" spans="5:6">
      <c r="E25" s="1">
        <v>200</v>
      </c>
      <c r="F25" s="1">
        <v>0.78361599999999998</v>
      </c>
    </row>
    <row r="26" spans="5:6">
      <c r="E26" s="1">
        <v>210</v>
      </c>
      <c r="F26" s="1">
        <v>0.78778599999999999</v>
      </c>
    </row>
    <row r="27" spans="5:6">
      <c r="E27" s="1">
        <v>220</v>
      </c>
      <c r="F27" s="1">
        <v>0.78223200000000004</v>
      </c>
    </row>
    <row r="28" spans="5:6">
      <c r="E28" s="1">
        <v>230</v>
      </c>
      <c r="F28" s="1">
        <v>0.78390800000000005</v>
      </c>
    </row>
    <row r="29" spans="5:6">
      <c r="E29" s="1">
        <v>240</v>
      </c>
      <c r="F29" s="1">
        <v>0.78659199999999996</v>
      </c>
    </row>
    <row r="30" spans="5:6">
      <c r="E30" s="1">
        <v>250</v>
      </c>
      <c r="F30" s="1">
        <v>0.78630800000000001</v>
      </c>
    </row>
    <row r="31" spans="5:6">
      <c r="E31" s="1">
        <v>260</v>
      </c>
      <c r="F31" s="1">
        <v>0.79020000000000001</v>
      </c>
    </row>
    <row r="32" spans="5:6">
      <c r="E32" s="1">
        <v>270</v>
      </c>
      <c r="F32" s="1">
        <v>0.79046099999999997</v>
      </c>
    </row>
    <row r="33" spans="5:6">
      <c r="E33" s="1">
        <v>280</v>
      </c>
      <c r="F33" s="1">
        <v>0.78771999999999998</v>
      </c>
    </row>
    <row r="34" spans="5:6">
      <c r="E34" s="1">
        <v>290</v>
      </c>
      <c r="F34" s="1">
        <v>0.78427100000000005</v>
      </c>
    </row>
    <row r="35" spans="5:6">
      <c r="E35" s="1">
        <v>300</v>
      </c>
      <c r="F35" s="1">
        <v>0.78530100000000003</v>
      </c>
    </row>
    <row r="36" spans="5:6">
      <c r="E36" s="1">
        <v>310</v>
      </c>
      <c r="F36" s="1">
        <v>0.79031099999999999</v>
      </c>
    </row>
    <row r="37" spans="5:6">
      <c r="E37" s="1">
        <v>320</v>
      </c>
      <c r="F37" s="1">
        <v>0.787717</v>
      </c>
    </row>
    <row r="38" spans="5:6">
      <c r="E38" s="1">
        <v>330</v>
      </c>
      <c r="F38" s="1">
        <v>0.785991</v>
      </c>
    </row>
    <row r="39" spans="5:6">
      <c r="E39" s="1">
        <v>340</v>
      </c>
      <c r="F39" s="1">
        <v>0.79081500000000005</v>
      </c>
    </row>
    <row r="40" spans="5:6">
      <c r="E40" s="1">
        <v>350</v>
      </c>
      <c r="F40" s="1">
        <v>0.79527499999999995</v>
      </c>
    </row>
    <row r="41" spans="5:6">
      <c r="E41" s="1">
        <v>360</v>
      </c>
      <c r="F41" s="1">
        <v>0.79417099999999996</v>
      </c>
    </row>
    <row r="42" spans="5:6">
      <c r="E42" s="1">
        <v>370</v>
      </c>
      <c r="F42" s="1">
        <v>0.79913199999999995</v>
      </c>
    </row>
    <row r="43" spans="5:6">
      <c r="E43" s="1">
        <v>380</v>
      </c>
      <c r="F43" s="1">
        <v>0.79849499999999995</v>
      </c>
    </row>
    <row r="44" spans="5:6">
      <c r="E44" s="1">
        <v>390</v>
      </c>
      <c r="F44" s="1">
        <v>0.79818199999999995</v>
      </c>
    </row>
    <row r="45" spans="5:6">
      <c r="E45" s="1">
        <v>400</v>
      </c>
      <c r="F45" s="1">
        <v>0.79926600000000003</v>
      </c>
    </row>
    <row r="46" spans="5:6">
      <c r="E46" s="1">
        <v>410</v>
      </c>
      <c r="F46" s="1">
        <v>0.79808599999999996</v>
      </c>
    </row>
    <row r="47" spans="5:6">
      <c r="E47" s="1">
        <v>420</v>
      </c>
      <c r="F47" s="1">
        <v>0.79672299999999996</v>
      </c>
    </row>
    <row r="48" spans="5:6">
      <c r="E48" s="1">
        <v>430</v>
      </c>
      <c r="F48" s="1">
        <v>0.79831399999999997</v>
      </c>
    </row>
    <row r="49" spans="5:6">
      <c r="E49" s="1">
        <v>440</v>
      </c>
      <c r="F49" s="1">
        <v>0.79887799999999998</v>
      </c>
    </row>
    <row r="50" spans="5:6">
      <c r="E50" s="1">
        <v>450</v>
      </c>
      <c r="F50" s="1">
        <v>0.79770700000000005</v>
      </c>
    </row>
    <row r="51" spans="5:6">
      <c r="E51" s="1">
        <v>460</v>
      </c>
      <c r="F51" s="1">
        <v>0.795153</v>
      </c>
    </row>
    <row r="52" spans="5:6">
      <c r="E52" s="1">
        <v>470</v>
      </c>
      <c r="F52" s="1">
        <v>0.799288</v>
      </c>
    </row>
    <row r="53" spans="5:6">
      <c r="E53" s="1">
        <v>480</v>
      </c>
      <c r="F53" s="1">
        <v>0.79798199999999997</v>
      </c>
    </row>
    <row r="54" spans="5:6">
      <c r="E54" s="1">
        <v>490</v>
      </c>
      <c r="F54" s="1">
        <v>0.798902</v>
      </c>
    </row>
    <row r="55" spans="5:6">
      <c r="E55" s="1">
        <v>500</v>
      </c>
      <c r="F55" s="1">
        <v>0.79591100000000004</v>
      </c>
    </row>
    <row r="56" spans="5:6">
      <c r="E56" s="1">
        <v>510</v>
      </c>
      <c r="F56" s="1">
        <v>0.800126</v>
      </c>
    </row>
    <row r="57" spans="5:6">
      <c r="E57" s="1">
        <v>520</v>
      </c>
      <c r="F57" s="1">
        <v>0.79921399999999998</v>
      </c>
    </row>
    <row r="58" spans="5:6">
      <c r="E58" s="1">
        <v>530</v>
      </c>
      <c r="F58" s="1">
        <v>0.79716600000000004</v>
      </c>
    </row>
    <row r="59" spans="5:6">
      <c r="E59" s="1">
        <v>540</v>
      </c>
      <c r="F59" s="1">
        <v>0.79549400000000003</v>
      </c>
    </row>
    <row r="60" spans="5:6">
      <c r="E60" s="1">
        <v>550</v>
      </c>
      <c r="F60" s="1">
        <v>0.796408</v>
      </c>
    </row>
    <row r="61" spans="5:6">
      <c r="E61" s="1">
        <v>560</v>
      </c>
      <c r="F61" s="1">
        <v>0.79528900000000002</v>
      </c>
    </row>
    <row r="62" spans="5:6">
      <c r="E62" s="1">
        <v>570</v>
      </c>
      <c r="F62" s="1">
        <v>0.79710199999999998</v>
      </c>
    </row>
    <row r="63" spans="5:6">
      <c r="E63" s="1">
        <v>580</v>
      </c>
      <c r="F63" s="1">
        <v>0.79884999999999995</v>
      </c>
    </row>
    <row r="64" spans="5:6">
      <c r="E64" s="1">
        <v>590</v>
      </c>
      <c r="F64" s="1">
        <v>0.79491599999999996</v>
      </c>
    </row>
    <row r="65" spans="5:6">
      <c r="E65" s="1">
        <v>600</v>
      </c>
      <c r="F65" s="1">
        <v>0.79618199999999995</v>
      </c>
    </row>
    <row r="66" spans="5:6">
      <c r="E66" s="1">
        <v>610</v>
      </c>
      <c r="F66" s="1">
        <v>0.79893899999999995</v>
      </c>
    </row>
    <row r="67" spans="5:6">
      <c r="E67" s="1">
        <v>620</v>
      </c>
      <c r="F67" s="1">
        <v>0.79824300000000004</v>
      </c>
    </row>
    <row r="68" spans="5:6">
      <c r="E68" s="1">
        <v>630</v>
      </c>
      <c r="F68" s="1">
        <v>0.80189600000000005</v>
      </c>
    </row>
    <row r="69" spans="5:6">
      <c r="E69" s="1">
        <v>640</v>
      </c>
      <c r="F69" s="1">
        <v>0.79802899999999999</v>
      </c>
    </row>
    <row r="70" spans="5:6">
      <c r="E70" s="1">
        <v>650</v>
      </c>
      <c r="F70" s="1">
        <v>0.80051399999999995</v>
      </c>
    </row>
    <row r="71" spans="5:6">
      <c r="E71" s="1">
        <v>660</v>
      </c>
      <c r="F71" s="1">
        <v>0.80091999999999997</v>
      </c>
    </row>
    <row r="72" spans="5:6">
      <c r="E72" s="1">
        <v>670</v>
      </c>
      <c r="F72" s="1">
        <v>0.80175099999999999</v>
      </c>
    </row>
    <row r="73" spans="5:6">
      <c r="E73" s="1">
        <v>680</v>
      </c>
      <c r="F73" s="1">
        <v>0.80129300000000003</v>
      </c>
    </row>
    <row r="74" spans="5:6">
      <c r="E74" s="1">
        <v>690</v>
      </c>
      <c r="F74" s="1">
        <v>0.79927400000000004</v>
      </c>
    </row>
    <row r="75" spans="5:6">
      <c r="E75" s="1">
        <v>700</v>
      </c>
      <c r="F75" s="1">
        <v>0.79969000000000001</v>
      </c>
    </row>
    <row r="76" spans="5:6">
      <c r="E76" s="1">
        <v>710</v>
      </c>
      <c r="F76" s="1">
        <v>0.79563499999999998</v>
      </c>
    </row>
    <row r="77" spans="5:6">
      <c r="E77" s="1">
        <v>720</v>
      </c>
      <c r="F77" s="1">
        <v>0.80157199999999995</v>
      </c>
    </row>
    <row r="78" spans="5:6">
      <c r="E78" s="1">
        <v>730</v>
      </c>
      <c r="F78" s="1">
        <v>0.80242599999999997</v>
      </c>
    </row>
    <row r="79" spans="5:6">
      <c r="E79" s="1">
        <v>740</v>
      </c>
      <c r="F79" s="1">
        <v>0.80467299999999997</v>
      </c>
    </row>
    <row r="80" spans="5:6">
      <c r="E80" s="1">
        <v>750</v>
      </c>
      <c r="F80" s="1">
        <v>0.80364500000000005</v>
      </c>
    </row>
    <row r="81" spans="5:6">
      <c r="E81" s="1">
        <v>760</v>
      </c>
      <c r="F81" s="1">
        <v>0.80318599999999996</v>
      </c>
    </row>
    <row r="82" spans="5:6">
      <c r="E82" s="1">
        <v>770</v>
      </c>
      <c r="F82" s="1">
        <v>0.80431399999999997</v>
      </c>
    </row>
    <row r="83" spans="5:6">
      <c r="E83" s="1">
        <v>780</v>
      </c>
      <c r="F83" s="1">
        <v>0.80506200000000006</v>
      </c>
    </row>
    <row r="84" spans="5:6">
      <c r="E84" s="1">
        <v>790</v>
      </c>
      <c r="F84" s="1">
        <v>0.80306699999999998</v>
      </c>
    </row>
    <row r="85" spans="5:6">
      <c r="E85" s="1">
        <v>800</v>
      </c>
      <c r="F85" s="1">
        <v>0.80207399999999995</v>
      </c>
    </row>
    <row r="86" spans="5:6">
      <c r="E86" s="1">
        <v>810</v>
      </c>
      <c r="F86" s="1">
        <v>0.80163200000000001</v>
      </c>
    </row>
    <row r="87" spans="5:6">
      <c r="E87" s="1">
        <v>820</v>
      </c>
      <c r="F87" s="1">
        <v>0.80452000000000001</v>
      </c>
    </row>
    <row r="88" spans="5:6">
      <c r="E88" s="1">
        <v>830</v>
      </c>
      <c r="F88" s="1">
        <v>0.80563799999999997</v>
      </c>
    </row>
    <row r="89" spans="5:6">
      <c r="E89" s="1">
        <v>840</v>
      </c>
      <c r="F89" s="1">
        <v>0.80252900000000005</v>
      </c>
    </row>
    <row r="90" spans="5:6">
      <c r="E90" s="1">
        <v>850</v>
      </c>
      <c r="F90" s="1">
        <v>0.80543799999999999</v>
      </c>
    </row>
    <row r="91" spans="5:6">
      <c r="E91" s="1">
        <v>860</v>
      </c>
      <c r="F91" s="1">
        <v>0.80210300000000001</v>
      </c>
    </row>
    <row r="92" spans="5:6">
      <c r="E92" s="1">
        <v>870</v>
      </c>
      <c r="F92" s="1">
        <v>0.80222400000000005</v>
      </c>
    </row>
    <row r="93" spans="5:6">
      <c r="E93" s="1">
        <v>880</v>
      </c>
      <c r="F93" s="1">
        <v>0.80389999999999995</v>
      </c>
    </row>
    <row r="94" spans="5:6">
      <c r="E94" s="1">
        <v>890</v>
      </c>
      <c r="F94" s="1">
        <v>0.80528699999999998</v>
      </c>
    </row>
    <row r="95" spans="5:6">
      <c r="E95" s="1">
        <v>900</v>
      </c>
      <c r="F95" s="1">
        <v>0.80636099999999999</v>
      </c>
    </row>
    <row r="96" spans="5:6">
      <c r="E96" s="1">
        <v>910</v>
      </c>
      <c r="F96" s="1">
        <v>0.81113999999999997</v>
      </c>
    </row>
    <row r="97" spans="5:6">
      <c r="E97" s="1">
        <v>920</v>
      </c>
      <c r="F97" s="1">
        <v>0.80750299999999997</v>
      </c>
    </row>
    <row r="98" spans="5:6">
      <c r="E98" s="1">
        <v>930</v>
      </c>
      <c r="F98" s="1">
        <v>0.80798700000000001</v>
      </c>
    </row>
    <row r="99" spans="5:6">
      <c r="E99" s="1">
        <v>940</v>
      </c>
      <c r="F99" s="1">
        <v>0.80946799999999997</v>
      </c>
    </row>
    <row r="100" spans="5:6">
      <c r="E100" s="1">
        <v>950</v>
      </c>
      <c r="F100" s="1">
        <v>0.80760500000000002</v>
      </c>
    </row>
    <row r="101" spans="5:6">
      <c r="E101" s="1">
        <v>960</v>
      </c>
      <c r="F101" s="1">
        <v>0.80881800000000004</v>
      </c>
    </row>
    <row r="102" spans="5:6">
      <c r="E102" s="1">
        <v>970</v>
      </c>
      <c r="F102" s="1">
        <v>0.80809399999999998</v>
      </c>
    </row>
    <row r="103" spans="5:6">
      <c r="E103" s="1">
        <v>980</v>
      </c>
      <c r="F103" s="1">
        <v>0.80777100000000002</v>
      </c>
    </row>
    <row r="104" spans="5:6">
      <c r="E104" s="1">
        <v>990</v>
      </c>
      <c r="F104" s="1">
        <v>0.80613400000000002</v>
      </c>
    </row>
    <row r="105" spans="5:6">
      <c r="E105" s="1">
        <v>1000</v>
      </c>
      <c r="F105" s="1">
        <v>0.80880700000000005</v>
      </c>
    </row>
    <row r="106" spans="5:6">
      <c r="E106" s="1">
        <v>1010</v>
      </c>
      <c r="F106" s="1">
        <v>0.80672699999999997</v>
      </c>
    </row>
    <row r="107" spans="5:6">
      <c r="E107" s="1">
        <v>1020</v>
      </c>
      <c r="F107" s="1">
        <v>0.81119200000000002</v>
      </c>
    </row>
    <row r="108" spans="5:6">
      <c r="E108" s="1">
        <v>1030</v>
      </c>
      <c r="F108" s="1">
        <v>0.80738699999999997</v>
      </c>
    </row>
    <row r="109" spans="5:6">
      <c r="E109" s="1">
        <v>1040</v>
      </c>
      <c r="F109" s="1">
        <v>0.80455699999999997</v>
      </c>
    </row>
    <row r="110" spans="5:6">
      <c r="E110" s="1">
        <v>1050</v>
      </c>
      <c r="F110" s="1">
        <v>0.80588499999999996</v>
      </c>
    </row>
    <row r="111" spans="5:6">
      <c r="E111" s="1">
        <v>1060</v>
      </c>
      <c r="F111" s="1">
        <v>0.80300400000000005</v>
      </c>
    </row>
    <row r="112" spans="5:6">
      <c r="E112" s="1">
        <v>1070</v>
      </c>
      <c r="F112" s="1">
        <v>0.80817000000000005</v>
      </c>
    </row>
    <row r="113" spans="5:6">
      <c r="E113" s="1">
        <v>1080</v>
      </c>
      <c r="F113" s="1">
        <v>0.81057100000000004</v>
      </c>
    </row>
    <row r="114" spans="5:6">
      <c r="E114" s="1">
        <v>1090</v>
      </c>
      <c r="F114" s="1">
        <v>0.79998599999999997</v>
      </c>
    </row>
    <row r="115" spans="5:6">
      <c r="E115" s="1">
        <v>1100</v>
      </c>
      <c r="F115" s="1">
        <v>0.80281199999999997</v>
      </c>
    </row>
    <row r="116" spans="5:6">
      <c r="E116" s="1">
        <v>1110</v>
      </c>
      <c r="F116" s="1">
        <v>0.803844</v>
      </c>
    </row>
    <row r="117" spans="5:6">
      <c r="E117" s="1">
        <v>1120</v>
      </c>
      <c r="F117" s="1">
        <v>0.80222800000000005</v>
      </c>
    </row>
    <row r="118" spans="5:6">
      <c r="E118" s="1">
        <v>1130</v>
      </c>
      <c r="F118" s="1">
        <v>0.80397799999999997</v>
      </c>
    </row>
    <row r="119" spans="5:6">
      <c r="E119" s="1">
        <v>1140</v>
      </c>
      <c r="F119" s="1">
        <v>0.80433600000000005</v>
      </c>
    </row>
    <row r="120" spans="5:6">
      <c r="E120" s="1">
        <v>1150</v>
      </c>
      <c r="F120" s="1">
        <v>0.807647</v>
      </c>
    </row>
    <row r="121" spans="5:6">
      <c r="E121" s="1">
        <v>1160</v>
      </c>
      <c r="F121" s="1">
        <v>0.80061300000000002</v>
      </c>
    </row>
    <row r="122" spans="5:6">
      <c r="E122" s="1">
        <v>1170</v>
      </c>
      <c r="F122" s="1">
        <v>0.80232599999999998</v>
      </c>
    </row>
    <row r="123" spans="5:6">
      <c r="E123" s="1">
        <v>1180</v>
      </c>
      <c r="F123" s="1">
        <v>0.80851700000000004</v>
      </c>
    </row>
    <row r="124" spans="5:6">
      <c r="E124" s="1">
        <v>1190</v>
      </c>
      <c r="F124" s="1">
        <v>0.80659800000000004</v>
      </c>
    </row>
    <row r="125" spans="5:6">
      <c r="E125" s="1">
        <v>1200</v>
      </c>
      <c r="F125" s="1">
        <v>0.805176</v>
      </c>
    </row>
    <row r="126" spans="5:6">
      <c r="E126" s="1">
        <v>1210</v>
      </c>
      <c r="F126" s="1">
        <v>0.80865299999999996</v>
      </c>
    </row>
    <row r="127" spans="5:6">
      <c r="E127" s="1">
        <v>1220</v>
      </c>
      <c r="F127" s="1">
        <v>0.80623599999999995</v>
      </c>
    </row>
    <row r="128" spans="5:6">
      <c r="E128" s="1">
        <v>1230</v>
      </c>
      <c r="F128" s="1">
        <v>0.80601900000000004</v>
      </c>
    </row>
    <row r="129" spans="5:6">
      <c r="E129" s="1">
        <v>1240</v>
      </c>
      <c r="F129" s="1">
        <v>0.80765399999999998</v>
      </c>
    </row>
    <row r="130" spans="5:6">
      <c r="E130" s="1">
        <v>1250</v>
      </c>
      <c r="F130" s="1">
        <v>0.80299100000000001</v>
      </c>
    </row>
    <row r="131" spans="5:6">
      <c r="E131" s="1">
        <v>1260</v>
      </c>
      <c r="F131" s="1">
        <v>0.80756799999999995</v>
      </c>
    </row>
    <row r="132" spans="5:6">
      <c r="E132" s="1">
        <v>1270</v>
      </c>
      <c r="F132" s="1">
        <v>0.81017499999999998</v>
      </c>
    </row>
    <row r="133" spans="5:6">
      <c r="E133" s="1">
        <v>1280</v>
      </c>
      <c r="F133" s="1">
        <v>0.80520599999999998</v>
      </c>
    </row>
    <row r="134" spans="5:6">
      <c r="E134" s="1">
        <v>1290</v>
      </c>
      <c r="F134" s="1">
        <v>0.80907399999999996</v>
      </c>
    </row>
    <row r="135" spans="5:6">
      <c r="E135" s="1">
        <v>1300</v>
      </c>
      <c r="F135" s="1">
        <v>0.80799100000000001</v>
      </c>
    </row>
    <row r="136" spans="5:6">
      <c r="E136" s="1">
        <v>1310</v>
      </c>
      <c r="F136" s="1">
        <v>0.80984500000000004</v>
      </c>
    </row>
    <row r="137" spans="5:6">
      <c r="E137" s="1">
        <v>1320</v>
      </c>
      <c r="F137" s="1">
        <v>0.81210300000000002</v>
      </c>
    </row>
    <row r="138" spans="5:6">
      <c r="E138" s="1">
        <v>1330</v>
      </c>
      <c r="F138" s="1">
        <v>0.80405700000000002</v>
      </c>
    </row>
    <row r="139" spans="5:6">
      <c r="E139" s="1">
        <v>1340</v>
      </c>
      <c r="F139" s="1">
        <v>0.80559999999999998</v>
      </c>
    </row>
    <row r="140" spans="5:6">
      <c r="E140" s="1">
        <v>1350</v>
      </c>
      <c r="F140" s="1">
        <v>0.80537099999999995</v>
      </c>
    </row>
    <row r="141" spans="5:6">
      <c r="E141" s="1">
        <v>1360</v>
      </c>
      <c r="F141" s="1">
        <v>0.806064</v>
      </c>
    </row>
    <row r="142" spans="5:6">
      <c r="E142" s="1">
        <v>1370</v>
      </c>
      <c r="F142" s="1">
        <v>0.80860299999999996</v>
      </c>
    </row>
    <row r="143" spans="5:6">
      <c r="E143" s="1">
        <v>1380</v>
      </c>
      <c r="F143" s="1">
        <v>0.81147599999999998</v>
      </c>
    </row>
    <row r="144" spans="5:6">
      <c r="E144" s="1">
        <v>1390</v>
      </c>
      <c r="F144" s="1">
        <v>0.809674</v>
      </c>
    </row>
    <row r="145" spans="5:6">
      <c r="E145" s="1">
        <v>1400</v>
      </c>
      <c r="F145" s="1">
        <v>0.80339000000000005</v>
      </c>
    </row>
    <row r="146" spans="5:6">
      <c r="E146" s="1">
        <v>1410</v>
      </c>
      <c r="F146" s="1">
        <v>0.80527199999999999</v>
      </c>
    </row>
    <row r="147" spans="5:6">
      <c r="E147" s="1">
        <v>1420</v>
      </c>
      <c r="F147" s="1">
        <v>0.80528900000000003</v>
      </c>
    </row>
    <row r="148" spans="5:6">
      <c r="E148" s="1">
        <v>1430</v>
      </c>
      <c r="F148" s="1">
        <v>0.80639799999999995</v>
      </c>
    </row>
    <row r="149" spans="5:6">
      <c r="E149" s="1">
        <v>1440</v>
      </c>
      <c r="F149" s="1">
        <v>0.80998400000000004</v>
      </c>
    </row>
    <row r="150" spans="5:6">
      <c r="E150" s="1">
        <v>1450</v>
      </c>
      <c r="F150" s="1">
        <v>0.81048100000000001</v>
      </c>
    </row>
    <row r="151" spans="5:6">
      <c r="E151" s="1">
        <v>1460</v>
      </c>
      <c r="F151" s="1">
        <v>0.80545699999999998</v>
      </c>
    </row>
    <row r="152" spans="5:6">
      <c r="E152" s="1">
        <v>1470</v>
      </c>
      <c r="F152" s="1">
        <v>0.80748200000000003</v>
      </c>
    </row>
    <row r="153" spans="5:6">
      <c r="E153" s="1">
        <v>1480</v>
      </c>
      <c r="F153" s="1">
        <v>0.80801599999999996</v>
      </c>
    </row>
    <row r="154" spans="5:6">
      <c r="E154" s="1">
        <v>1490</v>
      </c>
      <c r="F154" s="1">
        <v>0.80318299999999998</v>
      </c>
    </row>
    <row r="155" spans="5:6">
      <c r="E155" s="1">
        <v>1500</v>
      </c>
      <c r="F155" s="1">
        <v>0.80537400000000003</v>
      </c>
    </row>
    <row r="156" spans="5:6">
      <c r="E156" s="1">
        <v>1510</v>
      </c>
      <c r="F156" s="1">
        <v>0.80413199999999996</v>
      </c>
    </row>
    <row r="157" spans="5:6">
      <c r="E157" s="1">
        <v>1520</v>
      </c>
      <c r="F157" s="1">
        <v>0.80643200000000004</v>
      </c>
    </row>
    <row r="158" spans="5:6">
      <c r="E158" s="1">
        <v>1530</v>
      </c>
      <c r="F158" s="1">
        <v>0.80433699999999997</v>
      </c>
    </row>
    <row r="159" spans="5:6">
      <c r="E159" s="1">
        <v>1540</v>
      </c>
      <c r="F159" s="1">
        <v>0.81189800000000001</v>
      </c>
    </row>
    <row r="160" spans="5:6">
      <c r="E160" s="1">
        <v>1550</v>
      </c>
      <c r="F160" s="1">
        <v>0.80843399999999999</v>
      </c>
    </row>
    <row r="161" spans="5:6">
      <c r="E161" s="1">
        <v>1560</v>
      </c>
      <c r="F161" s="1">
        <v>0.80898300000000001</v>
      </c>
    </row>
    <row r="162" spans="5:6">
      <c r="E162" s="1">
        <v>1570</v>
      </c>
      <c r="F162" s="1">
        <v>0.80915999999999999</v>
      </c>
    </row>
    <row r="163" spans="5:6">
      <c r="E163" s="1">
        <v>1580</v>
      </c>
      <c r="F163" s="1">
        <v>0.80952500000000005</v>
      </c>
    </row>
    <row r="164" spans="5:6">
      <c r="E164" s="1">
        <v>1590</v>
      </c>
      <c r="F164" s="1">
        <v>0.80972299999999997</v>
      </c>
    </row>
    <row r="165" spans="5:6">
      <c r="E165" s="1">
        <v>1600</v>
      </c>
      <c r="F165" s="1">
        <v>0.810365</v>
      </c>
    </row>
    <row r="166" spans="5:6">
      <c r="E166" s="1">
        <v>1610</v>
      </c>
      <c r="F166" s="1">
        <v>0.80468300000000004</v>
      </c>
    </row>
    <row r="167" spans="5:6">
      <c r="E167" s="1">
        <v>1620</v>
      </c>
      <c r="F167" s="1">
        <v>0.80919300000000005</v>
      </c>
    </row>
    <row r="168" spans="5:6">
      <c r="E168" s="1">
        <v>1630</v>
      </c>
      <c r="F168" s="1">
        <v>0.80653699999999995</v>
      </c>
    </row>
    <row r="169" spans="5:6">
      <c r="E169" s="1">
        <v>1640</v>
      </c>
      <c r="F169" s="1">
        <v>0.80696999999999997</v>
      </c>
    </row>
    <row r="170" spans="5:6">
      <c r="E170" s="1">
        <v>1650</v>
      </c>
      <c r="F170" s="1">
        <v>0.80971800000000005</v>
      </c>
    </row>
    <row r="171" spans="5:6">
      <c r="E171" s="1">
        <v>1660</v>
      </c>
      <c r="F171" s="1">
        <v>0.81293499999999996</v>
      </c>
    </row>
    <row r="172" spans="5:6">
      <c r="E172" s="1">
        <v>1670</v>
      </c>
      <c r="F172" s="1">
        <v>0.80970799999999998</v>
      </c>
    </row>
    <row r="173" spans="5:6">
      <c r="E173" s="1">
        <v>1680</v>
      </c>
      <c r="F173" s="1">
        <v>0.80968200000000001</v>
      </c>
    </row>
    <row r="174" spans="5:6">
      <c r="E174" s="1">
        <v>1690</v>
      </c>
      <c r="F174" s="1">
        <v>0.80755999999999994</v>
      </c>
    </row>
    <row r="175" spans="5:6">
      <c r="E175" s="1">
        <v>1700</v>
      </c>
      <c r="F175" s="1">
        <v>0.80614799999999998</v>
      </c>
    </row>
    <row r="176" spans="5:6">
      <c r="E176" s="1">
        <v>1710</v>
      </c>
      <c r="F176" s="1">
        <v>0.80696400000000001</v>
      </c>
    </row>
    <row r="177" spans="5:6">
      <c r="E177" s="1">
        <v>1720</v>
      </c>
      <c r="F177" s="1">
        <v>0.80858399999999997</v>
      </c>
    </row>
    <row r="178" spans="5:6">
      <c r="E178" s="1">
        <v>1730</v>
      </c>
      <c r="F178" s="1">
        <v>0.809944</v>
      </c>
    </row>
    <row r="179" spans="5:6">
      <c r="E179" s="1">
        <v>1740</v>
      </c>
      <c r="F179" s="1">
        <v>0.80922700000000003</v>
      </c>
    </row>
    <row r="180" spans="5:6">
      <c r="E180" s="1">
        <v>1750</v>
      </c>
      <c r="F180" s="1">
        <v>0.80850999999999995</v>
      </c>
    </row>
    <row r="181" spans="5:6">
      <c r="E181" s="1">
        <v>1760</v>
      </c>
      <c r="F181" s="1">
        <v>0.80748399999999998</v>
      </c>
    </row>
    <row r="182" spans="5:6">
      <c r="E182" s="1">
        <v>1770</v>
      </c>
      <c r="F182" s="1">
        <v>0.80610800000000005</v>
      </c>
    </row>
    <row r="183" spans="5:6">
      <c r="E183" s="1">
        <v>1780</v>
      </c>
      <c r="F183" s="1">
        <v>0.81043299999999996</v>
      </c>
    </row>
    <row r="184" spans="5:6">
      <c r="E184" s="1">
        <v>1790</v>
      </c>
      <c r="F184" s="1">
        <v>0.80948799999999999</v>
      </c>
    </row>
    <row r="185" spans="5:6">
      <c r="E185" s="1">
        <v>1800</v>
      </c>
      <c r="F185" s="1">
        <v>0.81105099999999997</v>
      </c>
    </row>
    <row r="186" spans="5:6">
      <c r="E186" s="1">
        <v>1810</v>
      </c>
      <c r="F186" s="1">
        <v>0.81525499999999995</v>
      </c>
    </row>
    <row r="187" spans="5:6">
      <c r="E187" s="1">
        <v>1820</v>
      </c>
      <c r="F187" s="1">
        <v>0.81428400000000001</v>
      </c>
    </row>
    <row r="188" spans="5:6">
      <c r="E188" s="1">
        <v>1830</v>
      </c>
      <c r="F188" s="1">
        <v>0.81189500000000003</v>
      </c>
    </row>
    <row r="189" spans="5:6">
      <c r="E189" s="1">
        <v>1840</v>
      </c>
      <c r="F189" s="1">
        <v>0.81303400000000003</v>
      </c>
    </row>
    <row r="190" spans="5:6">
      <c r="E190" s="1">
        <v>1850</v>
      </c>
      <c r="F190" s="1">
        <v>0.81197299999999994</v>
      </c>
    </row>
    <row r="191" spans="5:6">
      <c r="E191" s="1">
        <v>1860</v>
      </c>
      <c r="F191" s="1">
        <v>0.81602699999999995</v>
      </c>
    </row>
    <row r="192" spans="5:6">
      <c r="E192" s="1">
        <v>1870</v>
      </c>
      <c r="F192" s="1">
        <v>0.81865900000000003</v>
      </c>
    </row>
    <row r="193" spans="5:6">
      <c r="E193" s="1">
        <v>1880</v>
      </c>
      <c r="F193" s="1">
        <v>0.81054300000000001</v>
      </c>
    </row>
    <row r="194" spans="5:6">
      <c r="E194" s="1">
        <v>1890</v>
      </c>
      <c r="F194" s="1">
        <v>0.81294500000000003</v>
      </c>
    </row>
    <row r="195" spans="5:6">
      <c r="E195" s="1">
        <v>1900</v>
      </c>
      <c r="F195" s="1">
        <v>0.80920300000000001</v>
      </c>
    </row>
    <row r="196" spans="5:6">
      <c r="E196" s="1">
        <v>1910</v>
      </c>
      <c r="F196" s="1">
        <v>0.81282299999999996</v>
      </c>
    </row>
    <row r="197" spans="5:6">
      <c r="E197" s="1">
        <v>1920</v>
      </c>
      <c r="F197" s="1">
        <v>0.81462699999999999</v>
      </c>
    </row>
    <row r="198" spans="5:6">
      <c r="E198" s="1">
        <v>1930</v>
      </c>
      <c r="F198" s="1">
        <v>0.81136600000000003</v>
      </c>
    </row>
    <row r="199" spans="5:6">
      <c r="E199" s="1">
        <v>1940</v>
      </c>
      <c r="F199" s="1">
        <v>0.81106800000000001</v>
      </c>
    </row>
    <row r="200" spans="5:6">
      <c r="E200" s="1">
        <v>1950</v>
      </c>
      <c r="F200" s="1">
        <v>0.810002</v>
      </c>
    </row>
    <row r="201" spans="5:6">
      <c r="E201" s="1">
        <v>1960</v>
      </c>
      <c r="F201" s="1">
        <v>0.810415</v>
      </c>
    </row>
    <row r="202" spans="5:6">
      <c r="E202" s="1">
        <v>1970</v>
      </c>
      <c r="F202" s="1">
        <v>0.81128800000000001</v>
      </c>
    </row>
    <row r="203" spans="5:6">
      <c r="E203" s="1">
        <v>1980</v>
      </c>
      <c r="F203" s="1">
        <v>0.80621500000000001</v>
      </c>
    </row>
    <row r="204" spans="5:6">
      <c r="E204" s="1">
        <v>1990</v>
      </c>
      <c r="F204" s="1">
        <v>0.80927199999999999</v>
      </c>
    </row>
    <row r="205" spans="5:6">
      <c r="E205" s="1">
        <v>2000</v>
      </c>
      <c r="F205" s="1">
        <v>0.81101299999999998</v>
      </c>
    </row>
    <row r="206" spans="5:6">
      <c r="E206" s="1">
        <v>2010</v>
      </c>
      <c r="F206" s="1">
        <v>0.81249899999999997</v>
      </c>
    </row>
    <row r="207" spans="5:6">
      <c r="E207" s="1">
        <v>2020</v>
      </c>
      <c r="F207" s="1">
        <v>0.80892799999999998</v>
      </c>
    </row>
    <row r="208" spans="5:6">
      <c r="E208" s="1">
        <v>2030</v>
      </c>
      <c r="F208" s="1">
        <v>0.80971899999999997</v>
      </c>
    </row>
    <row r="209" spans="5:6">
      <c r="E209" s="1">
        <v>2040</v>
      </c>
      <c r="F209" s="1">
        <v>0.80780300000000005</v>
      </c>
    </row>
    <row r="210" spans="5:6">
      <c r="E210" s="1">
        <v>2050</v>
      </c>
      <c r="F210" s="1">
        <v>0.80814900000000001</v>
      </c>
    </row>
    <row r="211" spans="5:6">
      <c r="E211" s="1">
        <v>2060</v>
      </c>
      <c r="F211" s="1">
        <v>0.80920899999999996</v>
      </c>
    </row>
    <row r="212" spans="5:6">
      <c r="E212" s="1">
        <v>2070</v>
      </c>
      <c r="F212" s="1">
        <v>0.80971599999999999</v>
      </c>
    </row>
    <row r="213" spans="5:6">
      <c r="E213" s="1">
        <v>2080</v>
      </c>
      <c r="F213" s="1">
        <v>0.80726100000000001</v>
      </c>
    </row>
    <row r="214" spans="5:6">
      <c r="E214" s="1">
        <v>2090</v>
      </c>
      <c r="F214" s="1">
        <v>0.80935599999999996</v>
      </c>
    </row>
    <row r="215" spans="5:6">
      <c r="E215" s="1">
        <v>2100</v>
      </c>
      <c r="F215" s="1">
        <v>0.811643</v>
      </c>
    </row>
    <row r="216" spans="5:6">
      <c r="E216" s="1">
        <v>2110</v>
      </c>
      <c r="F216" s="1">
        <v>0.81047999999999998</v>
      </c>
    </row>
    <row r="217" spans="5:6">
      <c r="E217" s="1">
        <v>2120</v>
      </c>
      <c r="F217" s="1">
        <v>0.80718000000000001</v>
      </c>
    </row>
    <row r="218" spans="5:6">
      <c r="E218" s="1">
        <v>2130</v>
      </c>
      <c r="F218" s="1">
        <v>0.80914299999999995</v>
      </c>
    </row>
    <row r="219" spans="5:6">
      <c r="E219" s="1">
        <v>2140</v>
      </c>
      <c r="F219" s="1">
        <v>0.81128699999999998</v>
      </c>
    </row>
    <row r="220" spans="5:6">
      <c r="E220" s="1">
        <v>2150</v>
      </c>
      <c r="F220" s="1">
        <v>0.81084299999999998</v>
      </c>
    </row>
    <row r="221" spans="5:6">
      <c r="E221" s="1">
        <v>2160</v>
      </c>
      <c r="F221" s="1">
        <v>0.81137700000000001</v>
      </c>
    </row>
    <row r="222" spans="5:6">
      <c r="E222" s="1">
        <v>2170</v>
      </c>
      <c r="F222" s="1">
        <v>0.81025000000000003</v>
      </c>
    </row>
    <row r="223" spans="5:6">
      <c r="E223" s="1">
        <v>2180</v>
      </c>
      <c r="F223" s="1">
        <v>0.81256499999999998</v>
      </c>
    </row>
    <row r="224" spans="5:6">
      <c r="E224" s="1">
        <v>2190</v>
      </c>
      <c r="F224" s="1">
        <v>0.81033599999999995</v>
      </c>
    </row>
    <row r="225" spans="5:6">
      <c r="E225" s="1">
        <v>2200</v>
      </c>
      <c r="F225" s="1">
        <v>0.81198899999999996</v>
      </c>
    </row>
    <row r="226" spans="5:6">
      <c r="E226" s="1">
        <v>2210</v>
      </c>
      <c r="F226" s="1">
        <v>0.81620899999999996</v>
      </c>
    </row>
    <row r="227" spans="5:6">
      <c r="E227" s="1">
        <v>2220</v>
      </c>
      <c r="F227" s="1">
        <v>0.81308199999999997</v>
      </c>
    </row>
    <row r="228" spans="5:6">
      <c r="E228" s="1">
        <v>2230</v>
      </c>
      <c r="F228" s="1">
        <v>0.81244099999999997</v>
      </c>
    </row>
    <row r="229" spans="5:6">
      <c r="E229" s="1">
        <v>2240</v>
      </c>
      <c r="F229" s="1">
        <v>0.81180099999999999</v>
      </c>
    </row>
    <row r="230" spans="5:6">
      <c r="E230" s="1">
        <v>2250</v>
      </c>
      <c r="F230" s="1">
        <v>0.81503899999999996</v>
      </c>
    </row>
    <row r="231" spans="5:6">
      <c r="E231" s="1">
        <v>2260</v>
      </c>
      <c r="F231" s="1">
        <v>0.81403199999999998</v>
      </c>
    </row>
    <row r="232" spans="5:6">
      <c r="E232" s="1">
        <v>2270</v>
      </c>
      <c r="F232" s="1">
        <v>0.81459400000000004</v>
      </c>
    </row>
    <row r="233" spans="5:6">
      <c r="E233" s="1">
        <v>2280</v>
      </c>
      <c r="F233" s="1">
        <v>0.81095099999999998</v>
      </c>
    </row>
    <row r="234" spans="5:6">
      <c r="E234" s="1">
        <v>2290</v>
      </c>
      <c r="F234" s="1">
        <v>0.81274500000000005</v>
      </c>
    </row>
    <row r="235" spans="5:6">
      <c r="E235" s="1">
        <v>2300</v>
      </c>
      <c r="F235" s="1">
        <v>0.80788499999999996</v>
      </c>
    </row>
    <row r="236" spans="5:6">
      <c r="E236" s="1">
        <v>2310</v>
      </c>
      <c r="F236" s="1">
        <v>0.81617399999999996</v>
      </c>
    </row>
    <row r="237" spans="5:6">
      <c r="E237" s="1">
        <v>2320</v>
      </c>
      <c r="F237" s="1">
        <v>0.809616</v>
      </c>
    </row>
    <row r="238" spans="5:6">
      <c r="E238" s="1">
        <v>2330</v>
      </c>
      <c r="F238" s="1">
        <v>0.81690399999999996</v>
      </c>
    </row>
    <row r="239" spans="5:6">
      <c r="E239" s="1">
        <v>2340</v>
      </c>
      <c r="F239" s="1">
        <v>0.81410899999999997</v>
      </c>
    </row>
    <row r="240" spans="5:6">
      <c r="E240" s="1">
        <v>2350</v>
      </c>
      <c r="F240" s="1">
        <v>0.81312700000000004</v>
      </c>
    </row>
    <row r="241" spans="5:6">
      <c r="E241" s="1">
        <v>2360</v>
      </c>
      <c r="F241" s="1">
        <v>0.81323299999999998</v>
      </c>
    </row>
    <row r="242" spans="5:6">
      <c r="E242" s="1">
        <v>2370</v>
      </c>
      <c r="F242" s="1">
        <v>0.81186400000000003</v>
      </c>
    </row>
    <row r="243" spans="5:6">
      <c r="E243" s="1">
        <v>2380</v>
      </c>
      <c r="F243" s="1">
        <v>0.81300600000000001</v>
      </c>
    </row>
    <row r="244" spans="5:6">
      <c r="E244" s="1">
        <v>2390</v>
      </c>
      <c r="F244" s="1">
        <v>0.81008199999999997</v>
      </c>
    </row>
    <row r="245" spans="5:6">
      <c r="E245" s="1">
        <v>2400</v>
      </c>
      <c r="F245" s="1">
        <v>0.81669800000000004</v>
      </c>
    </row>
    <row r="246" spans="5:6">
      <c r="E246" s="1">
        <v>2410</v>
      </c>
      <c r="F246" s="1">
        <v>0.81505899999999998</v>
      </c>
    </row>
    <row r="247" spans="5:6">
      <c r="E247" s="1">
        <v>2420</v>
      </c>
      <c r="F247" s="1">
        <v>0.81260900000000003</v>
      </c>
    </row>
    <row r="248" spans="5:6">
      <c r="E248" s="1">
        <v>2430</v>
      </c>
      <c r="F248" s="1">
        <v>0.81200899999999998</v>
      </c>
    </row>
    <row r="249" spans="5:6">
      <c r="E249" s="1">
        <v>2440</v>
      </c>
      <c r="F249" s="1">
        <v>0.81481499999999996</v>
      </c>
    </row>
    <row r="250" spans="5:6">
      <c r="E250" s="1">
        <v>2450</v>
      </c>
      <c r="F250" s="1">
        <v>0.80992600000000003</v>
      </c>
    </row>
    <row r="251" spans="5:6">
      <c r="E251" s="1">
        <v>2460</v>
      </c>
      <c r="F251" s="1">
        <v>0.81526799999999999</v>
      </c>
    </row>
    <row r="252" spans="5:6">
      <c r="E252" s="1">
        <v>2470</v>
      </c>
      <c r="F252" s="1">
        <v>0.81536799999999998</v>
      </c>
    </row>
    <row r="253" spans="5:6">
      <c r="E253" s="1">
        <v>2480</v>
      </c>
      <c r="F253" s="1">
        <v>0.81151600000000002</v>
      </c>
    </row>
    <row r="254" spans="5:6">
      <c r="E254" s="1">
        <v>2490</v>
      </c>
      <c r="F254" s="1">
        <v>0.80895799999999995</v>
      </c>
    </row>
    <row r="255" spans="5:6">
      <c r="E255" s="1">
        <v>2500</v>
      </c>
      <c r="F255" s="1">
        <v>0.81183099999999997</v>
      </c>
    </row>
    <row r="256" spans="5:6">
      <c r="E256" s="1">
        <v>2510</v>
      </c>
      <c r="F256" s="1">
        <v>0.81207600000000002</v>
      </c>
    </row>
    <row r="257" spans="5:6">
      <c r="E257" s="1">
        <v>2520</v>
      </c>
      <c r="F257" s="1">
        <v>0.81360200000000005</v>
      </c>
    </row>
    <row r="258" spans="5:6">
      <c r="E258" s="1">
        <v>2530</v>
      </c>
      <c r="F258" s="1">
        <v>0.812917</v>
      </c>
    </row>
    <row r="259" spans="5:6">
      <c r="E259" s="1">
        <v>2540</v>
      </c>
      <c r="F259" s="1">
        <v>0.81225700000000001</v>
      </c>
    </row>
    <row r="260" spans="5:6">
      <c r="E260" s="1">
        <v>2550</v>
      </c>
      <c r="F260" s="1">
        <v>0.81113000000000002</v>
      </c>
    </row>
    <row r="261" spans="5:6">
      <c r="E261" s="1">
        <v>2560</v>
      </c>
      <c r="F261" s="1">
        <v>0.81099200000000005</v>
      </c>
    </row>
    <row r="262" spans="5:6">
      <c r="E262" s="1">
        <v>2570</v>
      </c>
      <c r="F262" s="1">
        <v>0.81186100000000005</v>
      </c>
    </row>
    <row r="263" spans="5:6">
      <c r="E263" s="1">
        <v>2580</v>
      </c>
      <c r="F263" s="1">
        <v>0.80527099999999996</v>
      </c>
    </row>
    <row r="264" spans="5:6">
      <c r="E264" s="1">
        <v>2590</v>
      </c>
      <c r="F264" s="1">
        <v>0.810276</v>
      </c>
    </row>
    <row r="265" spans="5:6">
      <c r="E265" s="1">
        <v>2600</v>
      </c>
      <c r="F265" s="1">
        <v>0.80839700000000003</v>
      </c>
    </row>
    <row r="266" spans="5:6">
      <c r="E266" s="1">
        <v>2610</v>
      </c>
      <c r="F266" s="1">
        <v>0.80327599999999999</v>
      </c>
    </row>
    <row r="267" spans="5:6">
      <c r="E267" s="1">
        <v>2620</v>
      </c>
      <c r="F267" s="1">
        <v>0.81040599999999996</v>
      </c>
    </row>
    <row r="268" spans="5:6">
      <c r="E268" s="1">
        <v>2630</v>
      </c>
      <c r="F268" s="1">
        <v>0.80414099999999999</v>
      </c>
    </row>
    <row r="269" spans="5:6">
      <c r="E269" s="1">
        <v>2640</v>
      </c>
      <c r="F269" s="1">
        <v>0.80810999999999999</v>
      </c>
    </row>
    <row r="270" spans="5:6">
      <c r="E270" s="1">
        <v>2650</v>
      </c>
      <c r="F270" s="1">
        <v>0.80923299999999998</v>
      </c>
    </row>
    <row r="271" spans="5:6">
      <c r="E271" s="1">
        <v>2660</v>
      </c>
      <c r="F271" s="1">
        <v>0.80896199999999996</v>
      </c>
    </row>
    <row r="272" spans="5:6">
      <c r="E272" s="1">
        <v>2670</v>
      </c>
      <c r="F272" s="1">
        <v>0.80760200000000004</v>
      </c>
    </row>
    <row r="273" spans="5:6">
      <c r="E273" s="1">
        <v>2680</v>
      </c>
      <c r="F273" s="1">
        <v>0.81169500000000006</v>
      </c>
    </row>
    <row r="274" spans="5:6">
      <c r="E274" s="1">
        <v>2690</v>
      </c>
      <c r="F274" s="1">
        <v>0.81043500000000002</v>
      </c>
    </row>
    <row r="275" spans="5:6">
      <c r="E275" s="1">
        <v>2700</v>
      </c>
      <c r="F275" s="1">
        <v>0.81048100000000001</v>
      </c>
    </row>
    <row r="276" spans="5:6">
      <c r="E276" s="1">
        <v>2710</v>
      </c>
      <c r="F276" s="1">
        <v>0.810921</v>
      </c>
    </row>
    <row r="277" spans="5:6">
      <c r="E277" s="1">
        <v>2720</v>
      </c>
      <c r="F277" s="1">
        <v>0.81464899999999996</v>
      </c>
    </row>
    <row r="278" spans="5:6">
      <c r="E278" s="1">
        <v>2730</v>
      </c>
      <c r="F278" s="1">
        <v>0.81106299999999998</v>
      </c>
    </row>
    <row r="279" spans="5:6">
      <c r="E279" s="1">
        <v>2740</v>
      </c>
      <c r="F279" s="1">
        <v>0.80795799999999995</v>
      </c>
    </row>
    <row r="280" spans="5:6">
      <c r="E280" s="1">
        <v>2750</v>
      </c>
      <c r="F280" s="1">
        <v>0.81136399999999997</v>
      </c>
    </row>
    <row r="281" spans="5:6">
      <c r="E281" s="1">
        <v>2760</v>
      </c>
      <c r="F281" s="1">
        <v>0.81392799999999998</v>
      </c>
    </row>
    <row r="282" spans="5:6">
      <c r="E282" s="1">
        <v>2770</v>
      </c>
      <c r="F282" s="1">
        <v>0.811222</v>
      </c>
    </row>
    <row r="283" spans="5:6">
      <c r="E283" s="1">
        <v>2780</v>
      </c>
      <c r="F283" s="1">
        <v>0.81142899999999996</v>
      </c>
    </row>
    <row r="284" spans="5:6">
      <c r="E284" s="1">
        <v>2790</v>
      </c>
      <c r="F284" s="1">
        <v>0.81581300000000001</v>
      </c>
    </row>
    <row r="285" spans="5:6">
      <c r="E285" s="1">
        <v>2800</v>
      </c>
      <c r="F285" s="1">
        <v>0.80803800000000003</v>
      </c>
    </row>
    <row r="286" spans="5:6">
      <c r="E286" s="1">
        <v>2810</v>
      </c>
      <c r="F286" s="1">
        <v>0.81040100000000004</v>
      </c>
    </row>
    <row r="287" spans="5:6">
      <c r="E287" s="1">
        <v>2820</v>
      </c>
      <c r="F287" s="1">
        <v>0.81511400000000001</v>
      </c>
    </row>
    <row r="288" spans="5:6">
      <c r="E288" s="1">
        <v>2830</v>
      </c>
      <c r="F288" s="1">
        <v>0.81401800000000002</v>
      </c>
    </row>
    <row r="289" spans="5:6">
      <c r="E289" s="1">
        <v>2840</v>
      </c>
      <c r="F289" s="1">
        <v>0.81365500000000002</v>
      </c>
    </row>
    <row r="290" spans="5:6">
      <c r="E290" s="1">
        <v>2850</v>
      </c>
      <c r="F290" s="1">
        <v>0.81542400000000004</v>
      </c>
    </row>
    <row r="291" spans="5:6">
      <c r="E291" s="1">
        <v>2860</v>
      </c>
      <c r="F291" s="1">
        <v>0.80933999999999995</v>
      </c>
    </row>
    <row r="292" spans="5:6">
      <c r="E292" s="1">
        <v>2870</v>
      </c>
      <c r="F292" s="1">
        <v>0.81168099999999999</v>
      </c>
    </row>
    <row r="293" spans="5:6">
      <c r="E293" s="1">
        <v>2880</v>
      </c>
      <c r="F293" s="1">
        <v>0.81435800000000003</v>
      </c>
    </row>
    <row r="294" spans="5:6">
      <c r="E294" s="1">
        <v>2890</v>
      </c>
      <c r="F294" s="1">
        <v>0.81096400000000002</v>
      </c>
    </row>
    <row r="295" spans="5:6">
      <c r="E295" s="1">
        <v>2900</v>
      </c>
      <c r="F295" s="1">
        <v>0.81359400000000004</v>
      </c>
    </row>
    <row r="296" spans="5:6">
      <c r="E296" s="1">
        <v>2910</v>
      </c>
      <c r="F296" s="1">
        <v>0.81153299999999995</v>
      </c>
    </row>
    <row r="297" spans="5:6">
      <c r="E297" s="1">
        <v>2920</v>
      </c>
      <c r="F297" s="1">
        <v>0.80758799999999997</v>
      </c>
    </row>
    <row r="298" spans="5:6">
      <c r="E298" s="1">
        <v>2930</v>
      </c>
      <c r="F298" s="1">
        <v>0.81161399999999995</v>
      </c>
    </row>
    <row r="299" spans="5:6">
      <c r="E299" s="1">
        <v>2940</v>
      </c>
      <c r="F299" s="1">
        <v>0.81151700000000004</v>
      </c>
    </row>
    <row r="300" spans="5:6">
      <c r="E300" s="1">
        <v>2950</v>
      </c>
      <c r="F300" s="1">
        <v>0.81560999999999995</v>
      </c>
    </row>
    <row r="301" spans="5:6">
      <c r="E301" s="1">
        <v>2960</v>
      </c>
      <c r="F301" s="1">
        <v>0.809697</v>
      </c>
    </row>
    <row r="302" spans="5:6">
      <c r="E302" s="1">
        <v>2970</v>
      </c>
      <c r="F302" s="1">
        <v>0.80907399999999996</v>
      </c>
    </row>
    <row r="303" spans="5:6">
      <c r="E303" s="1">
        <v>2980</v>
      </c>
      <c r="F303" s="1">
        <v>0.81092299999999995</v>
      </c>
    </row>
    <row r="304" spans="5:6">
      <c r="E304" s="1">
        <v>2990</v>
      </c>
      <c r="F304" s="1">
        <v>0.80941300000000005</v>
      </c>
    </row>
    <row r="305" spans="5:6">
      <c r="E305" s="1">
        <v>3000</v>
      </c>
      <c r="F305" s="1">
        <v>0.80764100000000005</v>
      </c>
    </row>
    <row r="306" spans="5:6">
      <c r="E306" s="1">
        <v>3010</v>
      </c>
      <c r="F306" s="1">
        <v>0.80479299999999998</v>
      </c>
    </row>
    <row r="307" spans="5:6">
      <c r="E307" s="1">
        <v>3020</v>
      </c>
      <c r="F307" s="1">
        <v>0.807091</v>
      </c>
    </row>
    <row r="308" spans="5:6">
      <c r="E308" s="1">
        <v>3030</v>
      </c>
      <c r="F308" s="1">
        <v>0.80745599999999995</v>
      </c>
    </row>
    <row r="309" spans="5:6">
      <c r="E309" s="1">
        <v>3040</v>
      </c>
      <c r="F309" s="1">
        <v>0.80747199999999997</v>
      </c>
    </row>
    <row r="310" spans="5:6">
      <c r="E310" s="1">
        <v>3050</v>
      </c>
      <c r="F310" s="1">
        <v>0.80682100000000001</v>
      </c>
    </row>
    <row r="311" spans="5:6">
      <c r="E311" s="1">
        <v>3060</v>
      </c>
      <c r="F311" s="1">
        <v>0.803091</v>
      </c>
    </row>
    <row r="312" spans="5:6">
      <c r="E312" s="1">
        <v>3070</v>
      </c>
      <c r="F312" s="1">
        <v>0.809253</v>
      </c>
    </row>
    <row r="313" spans="5:6">
      <c r="E313" s="1">
        <v>3080</v>
      </c>
      <c r="F313" s="1">
        <v>0.80790499999999998</v>
      </c>
    </row>
    <row r="314" spans="5:6">
      <c r="E314" s="1">
        <v>3090</v>
      </c>
      <c r="F314" s="1">
        <v>0.80819799999999997</v>
      </c>
    </row>
    <row r="315" spans="5:6">
      <c r="E315" s="1">
        <v>3100</v>
      </c>
      <c r="F315" s="1">
        <v>0.80502099999999999</v>
      </c>
    </row>
    <row r="316" spans="5:6">
      <c r="E316" s="1">
        <v>3110</v>
      </c>
      <c r="F316" s="1">
        <v>0.80748799999999998</v>
      </c>
    </row>
    <row r="317" spans="5:6">
      <c r="E317" s="1">
        <v>3120</v>
      </c>
      <c r="F317" s="1">
        <v>0.80386599999999997</v>
      </c>
    </row>
    <row r="318" spans="5:6">
      <c r="E318" s="1">
        <v>3130</v>
      </c>
      <c r="F318" s="1">
        <v>0.80488599999999999</v>
      </c>
    </row>
    <row r="319" spans="5:6">
      <c r="E319" s="1">
        <v>3140</v>
      </c>
      <c r="F319" s="1">
        <v>0.80623900000000004</v>
      </c>
    </row>
    <row r="320" spans="5:6">
      <c r="E320" s="1">
        <v>3150</v>
      </c>
      <c r="F320" s="1">
        <v>0.81113000000000002</v>
      </c>
    </row>
    <row r="321" spans="5:6">
      <c r="E321" s="1">
        <v>3160</v>
      </c>
      <c r="F321" s="1">
        <v>0.80696699999999999</v>
      </c>
    </row>
    <row r="322" spans="5:6">
      <c r="E322" s="1">
        <v>3170</v>
      </c>
      <c r="F322" s="1">
        <v>0.80625899999999995</v>
      </c>
    </row>
    <row r="323" spans="5:6">
      <c r="E323" s="1">
        <v>3180</v>
      </c>
      <c r="F323" s="1">
        <v>0.807168</v>
      </c>
    </row>
    <row r="324" spans="5:6">
      <c r="E324" s="1">
        <v>3190</v>
      </c>
      <c r="F324" s="1">
        <v>0.80678399999999995</v>
      </c>
    </row>
    <row r="325" spans="5:6">
      <c r="E325" s="1">
        <v>3200</v>
      </c>
      <c r="F325" s="1">
        <v>0.80681599999999998</v>
      </c>
    </row>
    <row r="326" spans="5:6">
      <c r="E326" s="1">
        <v>3210</v>
      </c>
      <c r="F326" s="1">
        <v>0.80441399999999996</v>
      </c>
    </row>
    <row r="327" spans="5:6">
      <c r="E327" s="1">
        <v>3220</v>
      </c>
      <c r="F327" s="1">
        <v>0.80315800000000004</v>
      </c>
    </row>
    <row r="328" spans="5:6">
      <c r="E328" s="1">
        <v>3230</v>
      </c>
      <c r="F328" s="1">
        <v>0.80851200000000001</v>
      </c>
    </row>
    <row r="329" spans="5:6">
      <c r="E329" s="1">
        <v>3240</v>
      </c>
      <c r="F329" s="1">
        <v>0.803427</v>
      </c>
    </row>
    <row r="330" spans="5:6">
      <c r="E330" s="1">
        <v>3250</v>
      </c>
      <c r="F330" s="1">
        <v>0.807172</v>
      </c>
    </row>
    <row r="331" spans="5:6">
      <c r="E331" s="1">
        <v>3260</v>
      </c>
      <c r="F331" s="1">
        <v>0.80734799999999995</v>
      </c>
    </row>
    <row r="332" spans="5:6">
      <c r="E332" s="1">
        <v>3270</v>
      </c>
      <c r="F332" s="1">
        <v>0.80439000000000005</v>
      </c>
    </row>
    <row r="333" spans="5:6">
      <c r="E333" s="1">
        <v>3280</v>
      </c>
      <c r="F333" s="1">
        <v>0.80842400000000003</v>
      </c>
    </row>
    <row r="334" spans="5:6">
      <c r="E334" s="1">
        <v>3290</v>
      </c>
      <c r="F334" s="1">
        <v>0.80824200000000002</v>
      </c>
    </row>
    <row r="335" spans="5:6">
      <c r="E335" s="1">
        <v>3300</v>
      </c>
      <c r="F335" s="1">
        <v>0.80444000000000004</v>
      </c>
    </row>
    <row r="336" spans="5:6">
      <c r="E336" s="1">
        <v>3310</v>
      </c>
      <c r="F336" s="1">
        <v>0.80736399999999997</v>
      </c>
    </row>
    <row r="337" spans="5:6">
      <c r="E337" s="1">
        <v>3320</v>
      </c>
      <c r="F337" s="1">
        <v>0.80867999999999995</v>
      </c>
    </row>
    <row r="338" spans="5:6">
      <c r="E338" s="1">
        <v>3330</v>
      </c>
      <c r="F338" s="1">
        <v>0.81136200000000003</v>
      </c>
    </row>
    <row r="339" spans="5:6">
      <c r="E339" s="1">
        <v>3340</v>
      </c>
      <c r="F339" s="1">
        <v>0.80747400000000003</v>
      </c>
    </row>
    <row r="340" spans="5:6">
      <c r="E340" s="1">
        <v>3350</v>
      </c>
      <c r="F340" s="1">
        <v>0.80609299999999995</v>
      </c>
    </row>
    <row r="341" spans="5:6">
      <c r="E341" s="1">
        <v>3360</v>
      </c>
      <c r="F341" s="1">
        <v>0.80953399999999998</v>
      </c>
    </row>
    <row r="342" spans="5:6">
      <c r="E342" s="1">
        <v>3370</v>
      </c>
      <c r="F342" s="1">
        <v>0.80944300000000002</v>
      </c>
    </row>
    <row r="343" spans="5:6">
      <c r="E343" s="1">
        <v>3380</v>
      </c>
      <c r="F343" s="1">
        <v>0.81184800000000001</v>
      </c>
    </row>
    <row r="344" spans="5:6">
      <c r="E344" s="1">
        <v>3390</v>
      </c>
      <c r="F344" s="1">
        <v>0.80892699999999995</v>
      </c>
    </row>
    <row r="345" spans="5:6">
      <c r="E345" s="1">
        <v>3400</v>
      </c>
      <c r="F345" s="1">
        <v>0.81122300000000003</v>
      </c>
    </row>
    <row r="346" spans="5:6">
      <c r="E346" s="1">
        <v>3410</v>
      </c>
      <c r="F346" s="1">
        <v>0.81341300000000005</v>
      </c>
    </row>
    <row r="347" spans="5:6">
      <c r="E347" s="1">
        <v>3420</v>
      </c>
      <c r="F347" s="1">
        <v>0.81083400000000005</v>
      </c>
    </row>
    <row r="348" spans="5:6">
      <c r="E348" s="1">
        <v>3430</v>
      </c>
      <c r="F348" s="1">
        <v>0.81234799999999996</v>
      </c>
    </row>
    <row r="349" spans="5:6">
      <c r="E349" s="1">
        <v>3440</v>
      </c>
      <c r="F349" s="1">
        <v>0.81330100000000005</v>
      </c>
    </row>
    <row r="350" spans="5:6">
      <c r="E350" s="1">
        <v>3450</v>
      </c>
      <c r="F350" s="1">
        <v>0.80720199999999998</v>
      </c>
    </row>
    <row r="351" spans="5:6">
      <c r="E351" s="1">
        <v>3460</v>
      </c>
      <c r="F351" s="1">
        <v>0.81545900000000004</v>
      </c>
    </row>
    <row r="352" spans="5:6">
      <c r="E352" s="1">
        <v>3470</v>
      </c>
      <c r="F352" s="1">
        <v>0.81265200000000004</v>
      </c>
    </row>
    <row r="353" spans="5:6">
      <c r="E353" s="1">
        <v>3480</v>
      </c>
      <c r="F353" s="1">
        <v>0.81035199999999996</v>
      </c>
    </row>
    <row r="354" spans="5:6">
      <c r="E354" s="1">
        <v>3490</v>
      </c>
      <c r="F354" s="1">
        <v>0.80627099999999996</v>
      </c>
    </row>
    <row r="355" spans="5:6">
      <c r="E355" s="1">
        <v>3500</v>
      </c>
      <c r="F355" s="1">
        <v>0.80501</v>
      </c>
    </row>
    <row r="356" spans="5:6">
      <c r="E356" s="1">
        <v>3510</v>
      </c>
      <c r="F356" s="1">
        <v>0.80669400000000002</v>
      </c>
    </row>
    <row r="357" spans="5:6">
      <c r="E357" s="1">
        <v>3520</v>
      </c>
      <c r="F357" s="1">
        <v>0.80801100000000003</v>
      </c>
    </row>
    <row r="358" spans="5:6">
      <c r="E358" s="1">
        <v>3530</v>
      </c>
      <c r="F358" s="1">
        <v>0.80460399999999999</v>
      </c>
    </row>
    <row r="359" spans="5:6">
      <c r="E359" s="1">
        <v>3540</v>
      </c>
      <c r="F359" s="1">
        <v>0.80601500000000004</v>
      </c>
    </row>
    <row r="360" spans="5:6">
      <c r="E360" s="1">
        <v>3550</v>
      </c>
      <c r="F360" s="1">
        <v>0.80401199999999995</v>
      </c>
    </row>
    <row r="361" spans="5:6">
      <c r="E361" s="1">
        <v>3560</v>
      </c>
      <c r="F361" s="1">
        <v>0.80522800000000005</v>
      </c>
    </row>
    <row r="362" spans="5:6">
      <c r="E362" s="1">
        <v>3570</v>
      </c>
      <c r="F362" s="1">
        <v>0.80052900000000005</v>
      </c>
    </row>
    <row r="363" spans="5:6">
      <c r="E363" s="1">
        <v>3580</v>
      </c>
      <c r="F363" s="1">
        <v>0.80406599999999995</v>
      </c>
    </row>
    <row r="364" spans="5:6">
      <c r="E364" s="1">
        <v>3590</v>
      </c>
      <c r="F364" s="1">
        <v>0.80578300000000003</v>
      </c>
    </row>
    <row r="365" spans="5:6">
      <c r="E365" s="1">
        <v>3600</v>
      </c>
      <c r="F365" s="1">
        <v>0.80519700000000005</v>
      </c>
    </row>
    <row r="366" spans="5:6">
      <c r="E366" s="1">
        <v>3610</v>
      </c>
      <c r="F366" s="1">
        <v>0.80534799999999995</v>
      </c>
    </row>
    <row r="367" spans="5:6">
      <c r="E367" s="1">
        <v>3620</v>
      </c>
      <c r="F367" s="1">
        <v>0.80341399999999996</v>
      </c>
    </row>
    <row r="368" spans="5:6">
      <c r="E368" s="1">
        <v>3630</v>
      </c>
      <c r="F368" s="1">
        <v>0.80569199999999996</v>
      </c>
    </row>
    <row r="369" spans="5:6">
      <c r="E369" s="1">
        <v>3640</v>
      </c>
      <c r="F369" s="1">
        <v>0.80763200000000002</v>
      </c>
    </row>
    <row r="370" spans="5:6">
      <c r="E370" s="1">
        <v>3650</v>
      </c>
      <c r="F370" s="1">
        <v>0.80593400000000004</v>
      </c>
    </row>
    <row r="371" spans="5:6">
      <c r="E371" s="1">
        <v>3660</v>
      </c>
      <c r="F371" s="1">
        <v>0.80709600000000004</v>
      </c>
    </row>
    <row r="372" spans="5:6">
      <c r="E372" s="1">
        <v>3670</v>
      </c>
      <c r="F372" s="1">
        <v>0.80467200000000005</v>
      </c>
    </row>
    <row r="373" spans="5:6">
      <c r="E373" s="1">
        <v>3680</v>
      </c>
      <c r="F373" s="1">
        <v>0.81029099999999998</v>
      </c>
    </row>
    <row r="374" spans="5:6">
      <c r="E374" s="1">
        <v>3690</v>
      </c>
      <c r="F374" s="1">
        <v>0.80877100000000002</v>
      </c>
    </row>
    <row r="375" spans="5:6">
      <c r="E375" s="1">
        <v>3700</v>
      </c>
      <c r="F375" s="1">
        <v>0.80753200000000003</v>
      </c>
    </row>
    <row r="376" spans="5:6">
      <c r="E376" s="1">
        <v>3710</v>
      </c>
      <c r="F376" s="1">
        <v>0.80602700000000005</v>
      </c>
    </row>
    <row r="377" spans="5:6">
      <c r="E377" s="1">
        <v>3720</v>
      </c>
      <c r="F377" s="1">
        <v>0.80837199999999998</v>
      </c>
    </row>
    <row r="378" spans="5:6">
      <c r="E378" s="1">
        <v>3730</v>
      </c>
      <c r="F378" s="1">
        <v>0.80945699999999998</v>
      </c>
    </row>
    <row r="379" spans="5:6">
      <c r="E379" s="1">
        <v>3740</v>
      </c>
      <c r="F379" s="1">
        <v>0.80684100000000003</v>
      </c>
    </row>
    <row r="380" spans="5:6">
      <c r="E380" s="1">
        <v>3750</v>
      </c>
      <c r="F380" s="1">
        <v>0.80707099999999998</v>
      </c>
    </row>
    <row r="381" spans="5:6">
      <c r="E381" s="1">
        <v>3760</v>
      </c>
      <c r="F381" s="1">
        <v>0.81015800000000004</v>
      </c>
    </row>
    <row r="382" spans="5:6">
      <c r="E382" s="1">
        <v>3770</v>
      </c>
      <c r="F382" s="1">
        <v>0.80442100000000005</v>
      </c>
    </row>
    <row r="383" spans="5:6">
      <c r="E383" s="1">
        <v>3780</v>
      </c>
      <c r="F383" s="1">
        <v>0.80771999999999999</v>
      </c>
    </row>
    <row r="384" spans="5:6">
      <c r="E384" s="1">
        <v>3790</v>
      </c>
      <c r="F384" s="1">
        <v>0.80739300000000003</v>
      </c>
    </row>
    <row r="385" spans="5:6">
      <c r="E385" s="1">
        <v>3800</v>
      </c>
      <c r="F385" s="1">
        <v>0.80869500000000005</v>
      </c>
    </row>
    <row r="386" spans="5:6">
      <c r="E386" s="1">
        <v>3810</v>
      </c>
      <c r="F386" s="1">
        <v>0.81026299999999996</v>
      </c>
    </row>
    <row r="387" spans="5:6">
      <c r="E387" s="1">
        <v>3820</v>
      </c>
      <c r="F387" s="1">
        <v>0.81104500000000002</v>
      </c>
    </row>
    <row r="388" spans="5:6">
      <c r="E388" s="1">
        <v>3830</v>
      </c>
      <c r="F388" s="1">
        <v>0.81164099999999995</v>
      </c>
    </row>
    <row r="389" spans="5:6">
      <c r="E389" s="1">
        <v>3840</v>
      </c>
      <c r="F389" s="1">
        <v>0.80977100000000002</v>
      </c>
    </row>
    <row r="390" spans="5:6">
      <c r="E390" s="1">
        <v>3850</v>
      </c>
      <c r="F390" s="1">
        <v>0.80807700000000005</v>
      </c>
    </row>
    <row r="391" spans="5:6">
      <c r="E391" s="1">
        <v>3860</v>
      </c>
      <c r="F391" s="1">
        <v>0.80737999999999999</v>
      </c>
    </row>
    <row r="392" spans="5:6">
      <c r="E392" s="1">
        <v>3870</v>
      </c>
      <c r="F392" s="1">
        <v>0.80576000000000003</v>
      </c>
    </row>
    <row r="393" spans="5:6">
      <c r="E393" s="1">
        <v>3880</v>
      </c>
      <c r="F393" s="1">
        <v>0.81020899999999996</v>
      </c>
    </row>
    <row r="394" spans="5:6">
      <c r="E394" s="1">
        <v>3890</v>
      </c>
      <c r="F394" s="1">
        <v>0.81285600000000002</v>
      </c>
    </row>
    <row r="395" spans="5:6">
      <c r="E395" s="1">
        <v>3900</v>
      </c>
      <c r="F395" s="1">
        <v>0.81191199999999997</v>
      </c>
    </row>
    <row r="396" spans="5:6">
      <c r="E396" s="1">
        <v>3910</v>
      </c>
      <c r="F396" s="1">
        <v>0.81185600000000002</v>
      </c>
    </row>
    <row r="397" spans="5:6">
      <c r="E397" s="1">
        <v>3920</v>
      </c>
      <c r="F397" s="1">
        <v>0.81008000000000002</v>
      </c>
    </row>
    <row r="398" spans="5:6">
      <c r="E398" s="1">
        <v>3930</v>
      </c>
      <c r="F398" s="1">
        <v>0.80821699999999996</v>
      </c>
    </row>
    <row r="399" spans="5:6">
      <c r="E399" s="1">
        <v>3940</v>
      </c>
      <c r="F399" s="1">
        <v>0.809276</v>
      </c>
    </row>
    <row r="400" spans="5:6">
      <c r="E400" s="1">
        <v>3950</v>
      </c>
      <c r="F400" s="1">
        <v>0.81546600000000002</v>
      </c>
    </row>
    <row r="401" spans="5:6">
      <c r="E401" s="1">
        <v>3960</v>
      </c>
      <c r="F401" s="1">
        <v>0.81005899999999997</v>
      </c>
    </row>
    <row r="402" spans="5:6">
      <c r="E402" s="1">
        <v>3970</v>
      </c>
      <c r="F402" s="1">
        <v>0.815828</v>
      </c>
    </row>
    <row r="403" spans="5:6">
      <c r="E403" s="1">
        <v>3980</v>
      </c>
      <c r="F403" s="1">
        <v>0.812886</v>
      </c>
    </row>
    <row r="404" spans="5:6">
      <c r="E404" s="1">
        <v>3990</v>
      </c>
      <c r="F404" s="1">
        <v>0.81348500000000001</v>
      </c>
    </row>
    <row r="405" spans="5:6">
      <c r="E405" s="1">
        <v>4000</v>
      </c>
      <c r="F405" s="1">
        <v>0.81002099999999999</v>
      </c>
    </row>
    <row r="406" spans="5:6">
      <c r="E406" s="1">
        <v>4010</v>
      </c>
      <c r="F406" s="1">
        <v>0.80806199999999995</v>
      </c>
    </row>
    <row r="407" spans="5:6">
      <c r="E407" s="1">
        <v>4020</v>
      </c>
      <c r="F407" s="1">
        <v>0.81335500000000005</v>
      </c>
    </row>
    <row r="408" spans="5:6">
      <c r="E408" s="1">
        <v>4030</v>
      </c>
      <c r="F408" s="1">
        <v>0.813581</v>
      </c>
    </row>
    <row r="409" spans="5:6">
      <c r="E409" s="1">
        <v>4040</v>
      </c>
      <c r="F409" s="1">
        <v>0.81468600000000002</v>
      </c>
    </row>
    <row r="410" spans="5:6">
      <c r="E410" s="1">
        <v>4050</v>
      </c>
      <c r="F410" s="1">
        <v>0.814967</v>
      </c>
    </row>
    <row r="411" spans="5:6">
      <c r="E411" s="1">
        <v>4060</v>
      </c>
      <c r="F411" s="1">
        <v>0.81341200000000002</v>
      </c>
    </row>
    <row r="412" spans="5:6">
      <c r="E412" s="1">
        <v>4070</v>
      </c>
      <c r="F412" s="1">
        <v>0.81103599999999998</v>
      </c>
    </row>
    <row r="413" spans="5:6">
      <c r="E413" s="1">
        <v>4080</v>
      </c>
      <c r="F413" s="1">
        <v>0.81324300000000005</v>
      </c>
    </row>
    <row r="414" spans="5:6">
      <c r="E414" s="1">
        <v>4090</v>
      </c>
      <c r="F414" s="1">
        <v>0.81010899999999997</v>
      </c>
    </row>
    <row r="415" spans="5:6">
      <c r="E415" s="1">
        <v>4100</v>
      </c>
      <c r="F415" s="1">
        <v>0.81044099999999997</v>
      </c>
    </row>
    <row r="416" spans="5:6">
      <c r="E416" s="1">
        <v>4110</v>
      </c>
      <c r="F416" s="1">
        <v>0.81267800000000001</v>
      </c>
    </row>
    <row r="417" spans="5:6">
      <c r="E417" s="1">
        <v>4120</v>
      </c>
      <c r="F417" s="1">
        <v>0.81055299999999997</v>
      </c>
    </row>
    <row r="418" spans="5:6">
      <c r="E418" s="1">
        <v>4130</v>
      </c>
      <c r="F418" s="1">
        <v>0.80737199999999998</v>
      </c>
    </row>
    <row r="419" spans="5:6">
      <c r="E419" s="1">
        <v>4140</v>
      </c>
      <c r="F419" s="1">
        <v>0.810025</v>
      </c>
    </row>
    <row r="420" spans="5:6">
      <c r="E420" s="1">
        <v>4150</v>
      </c>
      <c r="F420" s="1">
        <v>0.81023800000000001</v>
      </c>
    </row>
    <row r="421" spans="5:6">
      <c r="E421" s="1">
        <v>4160</v>
      </c>
      <c r="F421" s="1">
        <v>0.81110199999999999</v>
      </c>
    </row>
    <row r="422" spans="5:6">
      <c r="E422" s="1">
        <v>4170</v>
      </c>
      <c r="F422" s="1">
        <v>0.807396</v>
      </c>
    </row>
    <row r="423" spans="5:6">
      <c r="E423" s="1">
        <v>4180</v>
      </c>
      <c r="F423" s="1">
        <v>0.80866099999999996</v>
      </c>
    </row>
    <row r="424" spans="5:6">
      <c r="E424" s="1">
        <v>4190</v>
      </c>
      <c r="F424" s="1">
        <v>0.80806599999999995</v>
      </c>
    </row>
    <row r="425" spans="5:6">
      <c r="E425" s="1">
        <v>4200</v>
      </c>
      <c r="F425" s="1">
        <v>0.80972299999999997</v>
      </c>
    </row>
    <row r="426" spans="5:6">
      <c r="E426" s="1">
        <v>4210</v>
      </c>
      <c r="F426" s="1">
        <v>0.81141099999999999</v>
      </c>
    </row>
    <row r="427" spans="5:6">
      <c r="E427" s="1">
        <v>4220</v>
      </c>
      <c r="F427" s="1">
        <v>0.80639799999999995</v>
      </c>
    </row>
    <row r="428" spans="5:6">
      <c r="E428" s="1">
        <v>4230</v>
      </c>
      <c r="F428" s="1">
        <v>0.80891299999999999</v>
      </c>
    </row>
    <row r="429" spans="5:6">
      <c r="E429" s="1">
        <v>4240</v>
      </c>
      <c r="F429" s="1">
        <v>0.81249800000000005</v>
      </c>
    </row>
    <row r="430" spans="5:6">
      <c r="E430" s="1">
        <v>4250</v>
      </c>
      <c r="F430" s="1">
        <v>0.81350800000000001</v>
      </c>
    </row>
    <row r="431" spans="5:6">
      <c r="E431" s="1">
        <v>4260</v>
      </c>
      <c r="F431" s="1">
        <v>0.81486099999999995</v>
      </c>
    </row>
    <row r="432" spans="5:6">
      <c r="E432" s="1">
        <v>4270</v>
      </c>
      <c r="F432" s="1">
        <v>0.81457199999999996</v>
      </c>
    </row>
    <row r="433" spans="5:6">
      <c r="E433" s="1">
        <v>4280</v>
      </c>
      <c r="F433" s="1">
        <v>0.81553900000000001</v>
      </c>
    </row>
    <row r="434" spans="5:6">
      <c r="E434" s="1">
        <v>4290</v>
      </c>
      <c r="F434" s="1">
        <v>0.81005099999999997</v>
      </c>
    </row>
    <row r="435" spans="5:6">
      <c r="E435" s="1">
        <v>4300</v>
      </c>
      <c r="F435" s="1">
        <v>0.81445400000000001</v>
      </c>
    </row>
    <row r="436" spans="5:6">
      <c r="E436" s="1">
        <v>4310</v>
      </c>
      <c r="F436" s="1">
        <v>0.81176999999999999</v>
      </c>
    </row>
    <row r="437" spans="5:6">
      <c r="E437" s="1">
        <v>4320</v>
      </c>
      <c r="F437" s="1">
        <v>0.81484199999999996</v>
      </c>
    </row>
    <row r="438" spans="5:6">
      <c r="E438" s="1">
        <v>4330</v>
      </c>
      <c r="F438" s="1">
        <v>0.81780399999999998</v>
      </c>
    </row>
    <row r="439" spans="5:6">
      <c r="E439" s="1">
        <v>4340</v>
      </c>
      <c r="F439" s="1">
        <v>0.81942700000000002</v>
      </c>
    </row>
    <row r="440" spans="5:6">
      <c r="E440" s="1">
        <v>4350</v>
      </c>
      <c r="F440" s="1">
        <v>0.81839799999999996</v>
      </c>
    </row>
    <row r="441" spans="5:6">
      <c r="E441" s="1">
        <v>4360</v>
      </c>
      <c r="F441" s="1">
        <v>0.81792399999999998</v>
      </c>
    </row>
    <row r="442" spans="5:6">
      <c r="E442" s="1">
        <v>4370</v>
      </c>
      <c r="F442" s="1">
        <v>0.81296400000000002</v>
      </c>
    </row>
    <row r="443" spans="5:6">
      <c r="E443" s="1">
        <v>4380</v>
      </c>
      <c r="F443" s="1">
        <v>0.81812399999999996</v>
      </c>
    </row>
    <row r="444" spans="5:6">
      <c r="E444" s="1">
        <v>4390</v>
      </c>
      <c r="F444" s="1">
        <v>0.81795300000000004</v>
      </c>
    </row>
    <row r="445" spans="5:6">
      <c r="E445" s="1">
        <v>4400</v>
      </c>
      <c r="F445" s="1">
        <v>0.81816100000000003</v>
      </c>
    </row>
    <row r="446" spans="5:6">
      <c r="E446" s="1">
        <v>4410</v>
      </c>
      <c r="F446" s="1">
        <v>0.81918899999999994</v>
      </c>
    </row>
    <row r="447" spans="5:6">
      <c r="E447" s="1">
        <v>4420</v>
      </c>
      <c r="F447" s="1">
        <v>0.81382500000000002</v>
      </c>
    </row>
    <row r="448" spans="5:6">
      <c r="E448" s="1">
        <v>4430</v>
      </c>
      <c r="F448" s="1">
        <v>0.81172999999999995</v>
      </c>
    </row>
    <row r="449" spans="5:6">
      <c r="E449" s="1">
        <v>4440</v>
      </c>
      <c r="F449" s="1">
        <v>0.81432199999999999</v>
      </c>
    </row>
    <row r="450" spans="5:6">
      <c r="E450" s="1">
        <v>4450</v>
      </c>
      <c r="F450" s="1">
        <v>0.810562</v>
      </c>
    </row>
    <row r="451" spans="5:6">
      <c r="E451" s="1">
        <v>4460</v>
      </c>
      <c r="F451" s="1">
        <v>0.81495899999999999</v>
      </c>
    </row>
    <row r="452" spans="5:6">
      <c r="E452" s="1">
        <v>4470</v>
      </c>
      <c r="F452" s="1">
        <v>0.81528</v>
      </c>
    </row>
    <row r="453" spans="5:6">
      <c r="E453" s="1">
        <v>4480</v>
      </c>
      <c r="F453" s="1">
        <v>0.81001100000000004</v>
      </c>
    </row>
    <row r="454" spans="5:6">
      <c r="E454" s="1">
        <v>4490</v>
      </c>
      <c r="F454" s="1">
        <v>0.81586899999999996</v>
      </c>
    </row>
    <row r="455" spans="5:6">
      <c r="E455" s="1">
        <v>4500</v>
      </c>
      <c r="F455" s="1">
        <v>0.81516500000000003</v>
      </c>
    </row>
    <row r="456" spans="5:6">
      <c r="E456" s="1">
        <v>4510</v>
      </c>
      <c r="F456" s="1">
        <v>0.81689900000000004</v>
      </c>
    </row>
    <row r="457" spans="5:6">
      <c r="E457" s="1">
        <v>4520</v>
      </c>
      <c r="F457" s="1">
        <v>0.81284699999999999</v>
      </c>
    </row>
    <row r="458" spans="5:6">
      <c r="E458" s="1">
        <v>4530</v>
      </c>
      <c r="F458" s="1">
        <v>0.81759000000000004</v>
      </c>
    </row>
    <row r="459" spans="5:6">
      <c r="E459" s="1">
        <v>4540</v>
      </c>
      <c r="F459" s="1">
        <v>0.81747599999999998</v>
      </c>
    </row>
    <row r="460" spans="5:6">
      <c r="E460" s="1">
        <v>4550</v>
      </c>
      <c r="F460" s="1">
        <v>0.81286000000000003</v>
      </c>
    </row>
    <row r="461" spans="5:6">
      <c r="E461" s="1">
        <v>4560</v>
      </c>
      <c r="F461" s="1">
        <v>0.814496</v>
      </c>
    </row>
    <row r="462" spans="5:6">
      <c r="E462" s="1">
        <v>4570</v>
      </c>
      <c r="F462" s="1">
        <v>0.811724</v>
      </c>
    </row>
    <row r="463" spans="5:6">
      <c r="E463" s="1">
        <v>4580</v>
      </c>
      <c r="F463" s="1">
        <v>0.809257</v>
      </c>
    </row>
    <row r="464" spans="5:6">
      <c r="E464" s="1">
        <v>4590</v>
      </c>
      <c r="F464" s="1">
        <v>0.81253399999999998</v>
      </c>
    </row>
    <row r="465" spans="5:6">
      <c r="E465" s="1">
        <v>4600</v>
      </c>
      <c r="F465" s="1">
        <v>0.81335000000000002</v>
      </c>
    </row>
    <row r="466" spans="5:6">
      <c r="E466" s="1">
        <v>4610</v>
      </c>
      <c r="F466" s="1">
        <v>0.81094699999999997</v>
      </c>
    </row>
    <row r="467" spans="5:6">
      <c r="E467" s="1">
        <v>4620</v>
      </c>
      <c r="F467" s="1">
        <v>0.81154999999999999</v>
      </c>
    </row>
    <row r="468" spans="5:6">
      <c r="E468" s="1">
        <v>4630</v>
      </c>
      <c r="F468" s="1">
        <v>0.81312600000000002</v>
      </c>
    </row>
    <row r="469" spans="5:6">
      <c r="E469" s="1">
        <v>4640</v>
      </c>
      <c r="F469" s="1">
        <v>0.815473</v>
      </c>
    </row>
    <row r="470" spans="5:6">
      <c r="E470" s="1">
        <v>4650</v>
      </c>
      <c r="F470" s="1">
        <v>0.81399900000000003</v>
      </c>
    </row>
    <row r="471" spans="5:6">
      <c r="E471" s="1">
        <v>4660</v>
      </c>
      <c r="F471" s="1">
        <v>0.81484400000000001</v>
      </c>
    </row>
    <row r="472" spans="5:6">
      <c r="E472" s="1">
        <v>4670</v>
      </c>
      <c r="F472" s="1">
        <v>0.81347700000000001</v>
      </c>
    </row>
    <row r="473" spans="5:6">
      <c r="E473" s="1">
        <v>4680</v>
      </c>
      <c r="F473" s="1">
        <v>0.81163099999999999</v>
      </c>
    </row>
    <row r="474" spans="5:6">
      <c r="E474" s="1">
        <v>4690</v>
      </c>
      <c r="F474" s="1">
        <v>0.81106400000000001</v>
      </c>
    </row>
    <row r="475" spans="5:6">
      <c r="E475" s="1">
        <v>4700</v>
      </c>
      <c r="F475" s="1">
        <v>0.81353200000000003</v>
      </c>
    </row>
    <row r="476" spans="5:6">
      <c r="E476" s="1">
        <v>4710</v>
      </c>
      <c r="F476" s="1">
        <v>0.81488899999999997</v>
      </c>
    </row>
    <row r="477" spans="5:6">
      <c r="E477" s="1">
        <v>4720</v>
      </c>
      <c r="F477" s="1">
        <v>0.811581</v>
      </c>
    </row>
    <row r="478" spans="5:6">
      <c r="E478" s="1">
        <v>4730</v>
      </c>
      <c r="F478" s="1">
        <v>0.81457900000000005</v>
      </c>
    </row>
    <row r="479" spans="5:6">
      <c r="E479" s="1">
        <v>4740</v>
      </c>
      <c r="F479" s="1">
        <v>0.81472699999999998</v>
      </c>
    </row>
    <row r="480" spans="5:6">
      <c r="E480" s="1">
        <v>4750</v>
      </c>
      <c r="F480" s="1">
        <v>0.81448600000000004</v>
      </c>
    </row>
    <row r="481" spans="5:6">
      <c r="E481" s="1">
        <v>4760</v>
      </c>
      <c r="F481" s="1">
        <v>0.81392500000000001</v>
      </c>
    </row>
    <row r="482" spans="5:6">
      <c r="E482" s="1">
        <v>4770</v>
      </c>
      <c r="F482" s="1">
        <v>0.81522700000000003</v>
      </c>
    </row>
    <row r="483" spans="5:6">
      <c r="E483" s="1">
        <v>4780</v>
      </c>
      <c r="F483" s="1">
        <v>0.81033699999999997</v>
      </c>
    </row>
    <row r="484" spans="5:6">
      <c r="E484" s="1">
        <v>4790</v>
      </c>
      <c r="F484" s="1">
        <v>0.81308800000000003</v>
      </c>
    </row>
    <row r="485" spans="5:6">
      <c r="E485" s="1">
        <v>4800</v>
      </c>
      <c r="F485" s="1">
        <v>0.81577100000000002</v>
      </c>
    </row>
    <row r="486" spans="5:6">
      <c r="E486" s="1">
        <v>4810</v>
      </c>
      <c r="F486" s="1">
        <v>0.81346600000000002</v>
      </c>
    </row>
    <row r="487" spans="5:6">
      <c r="E487" s="1">
        <v>4820</v>
      </c>
      <c r="F487" s="1">
        <v>0.81028900000000004</v>
      </c>
    </row>
    <row r="488" spans="5:6">
      <c r="E488" s="1">
        <v>4830</v>
      </c>
      <c r="F488" s="1">
        <v>0.81028</v>
      </c>
    </row>
    <row r="489" spans="5:6">
      <c r="E489" s="1">
        <v>4840</v>
      </c>
      <c r="F489" s="1">
        <v>0.81442599999999998</v>
      </c>
    </row>
    <row r="490" spans="5:6">
      <c r="E490" s="1">
        <v>4850</v>
      </c>
      <c r="F490" s="1">
        <v>0.81485600000000002</v>
      </c>
    </row>
    <row r="491" spans="5:6">
      <c r="E491" s="1">
        <v>4860</v>
      </c>
      <c r="F491" s="1">
        <v>0.81273200000000001</v>
      </c>
    </row>
    <row r="492" spans="5:6">
      <c r="E492" s="1">
        <v>4870</v>
      </c>
      <c r="F492" s="1">
        <v>0.81705099999999997</v>
      </c>
    </row>
    <row r="493" spans="5:6">
      <c r="E493" s="1">
        <v>4880</v>
      </c>
      <c r="F493" s="1">
        <v>0.812782</v>
      </c>
    </row>
    <row r="494" spans="5:6">
      <c r="E494" s="1">
        <v>4890</v>
      </c>
      <c r="F494" s="1">
        <v>0.80820899999999996</v>
      </c>
    </row>
    <row r="495" spans="5:6">
      <c r="E495" s="1">
        <v>4900</v>
      </c>
      <c r="F495" s="1">
        <v>0.812917</v>
      </c>
    </row>
    <row r="496" spans="5:6">
      <c r="E496" s="1">
        <v>4910</v>
      </c>
      <c r="F496" s="1">
        <v>0.80784800000000001</v>
      </c>
    </row>
    <row r="497" spans="5:6">
      <c r="E497" s="1">
        <v>4920</v>
      </c>
      <c r="F497" s="1">
        <v>0.81094900000000003</v>
      </c>
    </row>
    <row r="498" spans="5:6">
      <c r="E498" s="1">
        <v>4930</v>
      </c>
      <c r="F498" s="1">
        <v>0.81435800000000003</v>
      </c>
    </row>
    <row r="499" spans="5:6">
      <c r="E499" s="1">
        <v>4940</v>
      </c>
      <c r="F499" s="1">
        <v>0.81256300000000004</v>
      </c>
    </row>
    <row r="500" spans="5:6">
      <c r="E500" s="1">
        <v>4950</v>
      </c>
      <c r="F500" s="1">
        <v>0.80946600000000002</v>
      </c>
    </row>
    <row r="501" spans="5:6">
      <c r="E501" s="1">
        <v>4960</v>
      </c>
      <c r="F501" s="1">
        <v>0.81193300000000002</v>
      </c>
    </row>
    <row r="502" spans="5:6">
      <c r="E502" s="1">
        <v>4970</v>
      </c>
      <c r="F502" s="1">
        <v>0.81229700000000005</v>
      </c>
    </row>
    <row r="503" spans="5:6">
      <c r="E503" s="1">
        <v>4980</v>
      </c>
      <c r="F503" s="1">
        <v>0.81172299999999997</v>
      </c>
    </row>
    <row r="504" spans="5:6">
      <c r="E504" s="1">
        <v>4990</v>
      </c>
      <c r="F504" s="1">
        <v>0.81004500000000002</v>
      </c>
    </row>
    <row r="505" spans="5:6">
      <c r="E505" s="1">
        <v>5000</v>
      </c>
      <c r="F505" s="1">
        <v>0.80898899999999996</v>
      </c>
    </row>
    <row r="506" spans="5:6">
      <c r="E506" s="1">
        <v>5010</v>
      </c>
      <c r="F506" s="1">
        <v>0.80819799999999997</v>
      </c>
    </row>
    <row r="507" spans="5:6">
      <c r="E507" s="1">
        <v>5020</v>
      </c>
      <c r="F507" s="1">
        <v>0.80612799999999996</v>
      </c>
    </row>
    <row r="508" spans="5:6">
      <c r="E508" s="1">
        <v>5030</v>
      </c>
      <c r="F508" s="1">
        <v>0.80425899999999995</v>
      </c>
    </row>
    <row r="509" spans="5:6">
      <c r="E509" s="1">
        <v>5040</v>
      </c>
      <c r="F509" s="1">
        <v>0.80384</v>
      </c>
    </row>
    <row r="510" spans="5:6">
      <c r="E510" s="1">
        <v>5050</v>
      </c>
      <c r="F510" s="1">
        <v>0.80482500000000001</v>
      </c>
    </row>
    <row r="511" spans="5:6">
      <c r="E511" s="1">
        <v>5060</v>
      </c>
      <c r="F511" s="1">
        <v>0.80450200000000005</v>
      </c>
    </row>
    <row r="512" spans="5:6">
      <c r="E512" s="1">
        <v>5070</v>
      </c>
      <c r="F512" s="1">
        <v>0.80401199999999995</v>
      </c>
    </row>
    <row r="513" spans="5:6">
      <c r="E513" s="1">
        <v>5080</v>
      </c>
      <c r="F513" s="1">
        <v>0.80477500000000002</v>
      </c>
    </row>
    <row r="514" spans="5:6">
      <c r="E514" s="1">
        <v>5090</v>
      </c>
      <c r="F514" s="1">
        <v>0.80981099999999995</v>
      </c>
    </row>
    <row r="515" spans="5:6">
      <c r="E515" s="1">
        <v>5100</v>
      </c>
      <c r="F515" s="1">
        <v>0.80734799999999995</v>
      </c>
    </row>
    <row r="516" spans="5:6">
      <c r="E516" s="1">
        <v>5110</v>
      </c>
      <c r="F516" s="1">
        <v>0.80918800000000002</v>
      </c>
    </row>
    <row r="517" spans="5:6">
      <c r="E517" s="1">
        <v>5120</v>
      </c>
      <c r="F517" s="1">
        <v>0.80818000000000001</v>
      </c>
    </row>
    <row r="518" spans="5:6">
      <c r="E518" s="1">
        <v>5130</v>
      </c>
      <c r="F518" s="1">
        <v>0.80469999999999997</v>
      </c>
    </row>
    <row r="519" spans="5:6">
      <c r="E519" s="1">
        <v>5140</v>
      </c>
      <c r="F519" s="1">
        <v>0.80401900000000004</v>
      </c>
    </row>
    <row r="520" spans="5:6">
      <c r="E520" s="1">
        <v>5150</v>
      </c>
      <c r="F520" s="1">
        <v>0.80702799999999997</v>
      </c>
    </row>
    <row r="521" spans="5:6">
      <c r="E521" s="1">
        <v>5160</v>
      </c>
      <c r="F521" s="1">
        <v>0.80826600000000004</v>
      </c>
    </row>
    <row r="522" spans="5:6">
      <c r="E522" s="1">
        <v>5170</v>
      </c>
      <c r="F522" s="1">
        <v>0.81185499999999999</v>
      </c>
    </row>
    <row r="523" spans="5:6">
      <c r="E523" s="1">
        <v>5180</v>
      </c>
      <c r="F523" s="1">
        <v>0.80741200000000002</v>
      </c>
    </row>
    <row r="524" spans="5:6">
      <c r="E524" s="1">
        <v>5190</v>
      </c>
      <c r="F524" s="1">
        <v>0.80797099999999999</v>
      </c>
    </row>
    <row r="525" spans="5:6">
      <c r="E525" s="1">
        <v>5200</v>
      </c>
      <c r="F525" s="1">
        <v>0.80960399999999999</v>
      </c>
    </row>
    <row r="526" spans="5:6">
      <c r="E526" s="1">
        <v>5210</v>
      </c>
      <c r="F526" s="1">
        <v>0.809921</v>
      </c>
    </row>
    <row r="527" spans="5:6">
      <c r="E527" s="1">
        <v>5220</v>
      </c>
      <c r="F527" s="1">
        <v>0.80903000000000003</v>
      </c>
    </row>
    <row r="528" spans="5:6">
      <c r="E528" s="1">
        <v>5230</v>
      </c>
      <c r="F528" s="1">
        <v>0.80887200000000004</v>
      </c>
    </row>
    <row r="529" spans="5:6">
      <c r="E529" s="1">
        <v>5240</v>
      </c>
      <c r="F529" s="1">
        <v>0.80855200000000005</v>
      </c>
    </row>
    <row r="530" spans="5:6">
      <c r="E530" s="1">
        <v>5250</v>
      </c>
      <c r="F530" s="1">
        <v>0.809415</v>
      </c>
    </row>
    <row r="531" spans="5:6">
      <c r="E531" s="1">
        <v>5260</v>
      </c>
      <c r="F531" s="1">
        <v>0.80528200000000005</v>
      </c>
    </row>
    <row r="532" spans="5:6">
      <c r="E532" s="1">
        <v>5270</v>
      </c>
      <c r="F532" s="1">
        <v>0.80521699999999996</v>
      </c>
    </row>
    <row r="533" spans="5:6">
      <c r="E533" s="1">
        <v>5280</v>
      </c>
      <c r="F533" s="1">
        <v>0.81117799999999995</v>
      </c>
    </row>
    <row r="534" spans="5:6">
      <c r="E534" s="1">
        <v>5290</v>
      </c>
      <c r="F534" s="1">
        <v>0.80765699999999996</v>
      </c>
    </row>
    <row r="535" spans="5:6">
      <c r="E535" s="1">
        <v>5300</v>
      </c>
      <c r="F535" s="1">
        <v>0.81152999999999997</v>
      </c>
    </row>
    <row r="536" spans="5:6">
      <c r="E536" s="1">
        <v>5310</v>
      </c>
      <c r="F536" s="1">
        <v>0.81161099999999997</v>
      </c>
    </row>
    <row r="537" spans="5:6">
      <c r="E537" s="1">
        <v>5320</v>
      </c>
      <c r="F537" s="1">
        <v>0.81005300000000002</v>
      </c>
    </row>
    <row r="538" spans="5:6">
      <c r="E538" s="1">
        <v>5330</v>
      </c>
      <c r="F538" s="1">
        <v>0.80929099999999998</v>
      </c>
    </row>
    <row r="539" spans="5:6">
      <c r="E539" s="1">
        <v>5340</v>
      </c>
      <c r="F539" s="1">
        <v>0.80904699999999996</v>
      </c>
    </row>
    <row r="540" spans="5:6">
      <c r="E540" s="1">
        <v>5350</v>
      </c>
      <c r="F540" s="1">
        <v>0.81062500000000004</v>
      </c>
    </row>
    <row r="541" spans="5:6">
      <c r="E541" s="1">
        <v>5360</v>
      </c>
      <c r="F541" s="1">
        <v>0.80862199999999995</v>
      </c>
    </row>
    <row r="542" spans="5:6">
      <c r="E542" s="1">
        <v>5370</v>
      </c>
      <c r="F542" s="1">
        <v>0.80699200000000004</v>
      </c>
    </row>
    <row r="543" spans="5:6">
      <c r="E543" s="1">
        <v>5380</v>
      </c>
      <c r="F543" s="1">
        <v>0.80842400000000003</v>
      </c>
    </row>
    <row r="544" spans="5:6">
      <c r="E544" s="1">
        <v>5390</v>
      </c>
      <c r="F544" s="1">
        <v>0.80979900000000005</v>
      </c>
    </row>
    <row r="545" spans="5:6">
      <c r="E545" s="1">
        <v>5400</v>
      </c>
      <c r="F545" s="1">
        <v>0.81178399999999995</v>
      </c>
    </row>
    <row r="546" spans="5:6">
      <c r="E546" s="1">
        <v>5410</v>
      </c>
      <c r="F546" s="1">
        <v>0.814882</v>
      </c>
    </row>
    <row r="547" spans="5:6">
      <c r="E547" s="1">
        <v>5420</v>
      </c>
      <c r="F547" s="1">
        <v>0.81140800000000002</v>
      </c>
    </row>
    <row r="548" spans="5:6">
      <c r="E548" s="1">
        <v>5430</v>
      </c>
      <c r="F548" s="1">
        <v>0.81403599999999998</v>
      </c>
    </row>
    <row r="549" spans="5:6">
      <c r="E549" s="1">
        <v>5440</v>
      </c>
      <c r="F549" s="1">
        <v>0.812859</v>
      </c>
    </row>
    <row r="550" spans="5:6">
      <c r="E550" s="1">
        <v>5450</v>
      </c>
      <c r="F550" s="1">
        <v>0.81221299999999996</v>
      </c>
    </row>
    <row r="551" spans="5:6">
      <c r="E551" s="1">
        <v>5460</v>
      </c>
      <c r="F551" s="1">
        <v>0.81296400000000002</v>
      </c>
    </row>
    <row r="552" spans="5:6">
      <c r="E552" s="1">
        <v>5470</v>
      </c>
      <c r="F552" s="1">
        <v>0.81490399999999996</v>
      </c>
    </row>
    <row r="553" spans="5:6">
      <c r="E553" s="1">
        <v>5480</v>
      </c>
      <c r="F553" s="1">
        <v>0.81396199999999996</v>
      </c>
    </row>
    <row r="554" spans="5:6">
      <c r="E554" s="1">
        <v>5490</v>
      </c>
      <c r="F554" s="1">
        <v>0.81281999999999999</v>
      </c>
    </row>
    <row r="555" spans="5:6">
      <c r="E555" s="1">
        <v>5500</v>
      </c>
      <c r="F555" s="1">
        <v>0.80945299999999998</v>
      </c>
    </row>
    <row r="556" spans="5:6">
      <c r="E556" s="1">
        <v>5510</v>
      </c>
      <c r="F556" s="1">
        <v>0.81358299999999995</v>
      </c>
    </row>
    <row r="557" spans="5:6">
      <c r="E557" s="1">
        <v>5520</v>
      </c>
      <c r="F557" s="1">
        <v>0.81347999999999998</v>
      </c>
    </row>
    <row r="558" spans="5:6">
      <c r="E558" s="1">
        <v>5530</v>
      </c>
      <c r="F558" s="1">
        <v>0.81245699999999998</v>
      </c>
    </row>
    <row r="559" spans="5:6">
      <c r="E559" s="1">
        <v>5540</v>
      </c>
      <c r="F559" s="1">
        <v>0.81283399999999995</v>
      </c>
    </row>
    <row r="560" spans="5:6">
      <c r="E560" s="1">
        <v>5550</v>
      </c>
      <c r="F560" s="1">
        <v>0.81214900000000001</v>
      </c>
    </row>
    <row r="561" spans="5:6">
      <c r="E561" s="1">
        <v>5560</v>
      </c>
      <c r="F561" s="1">
        <v>0.81519399999999997</v>
      </c>
    </row>
    <row r="562" spans="5:6">
      <c r="E562" s="1">
        <v>5570</v>
      </c>
      <c r="F562" s="1">
        <v>0.81118699999999999</v>
      </c>
    </row>
    <row r="563" spans="5:6">
      <c r="E563" s="1">
        <v>5580</v>
      </c>
      <c r="F563" s="1">
        <v>0.81157100000000004</v>
      </c>
    </row>
    <row r="564" spans="5:6">
      <c r="E564" s="1">
        <v>5590</v>
      </c>
      <c r="F564" s="1">
        <v>0.81267400000000001</v>
      </c>
    </row>
    <row r="565" spans="5:6">
      <c r="E565" s="1">
        <v>5600</v>
      </c>
      <c r="F565" s="1">
        <v>0.81336600000000003</v>
      </c>
    </row>
    <row r="566" spans="5:6">
      <c r="E566" s="1">
        <v>5610</v>
      </c>
      <c r="F566" s="1">
        <v>0.81484800000000002</v>
      </c>
    </row>
    <row r="567" spans="5:6">
      <c r="E567" s="1">
        <v>5620</v>
      </c>
      <c r="F567" s="1">
        <v>0.81671199999999999</v>
      </c>
    </row>
    <row r="568" spans="5:6">
      <c r="E568" s="1">
        <v>5630</v>
      </c>
      <c r="F568" s="1">
        <v>0.81617499999999998</v>
      </c>
    </row>
    <row r="569" spans="5:6">
      <c r="E569" s="1">
        <v>5640</v>
      </c>
      <c r="F569" s="1">
        <v>0.81768799999999997</v>
      </c>
    </row>
    <row r="570" spans="5:6">
      <c r="E570" s="1">
        <v>5650</v>
      </c>
      <c r="F570" s="1">
        <v>0.81681700000000002</v>
      </c>
    </row>
    <row r="571" spans="5:6">
      <c r="E571" s="1">
        <v>5660</v>
      </c>
      <c r="F571" s="1">
        <v>0.81361300000000003</v>
      </c>
    </row>
    <row r="572" spans="5:6">
      <c r="E572" s="1">
        <v>5670</v>
      </c>
      <c r="F572" s="1">
        <v>0.816751</v>
      </c>
    </row>
    <row r="573" spans="5:6">
      <c r="E573" s="1">
        <v>5680</v>
      </c>
      <c r="F573" s="1">
        <v>0.81555200000000005</v>
      </c>
    </row>
    <row r="574" spans="5:6">
      <c r="E574" s="1">
        <v>5690</v>
      </c>
      <c r="F574" s="1">
        <v>0.81903499999999996</v>
      </c>
    </row>
    <row r="575" spans="5:6">
      <c r="E575" s="1">
        <v>5700</v>
      </c>
      <c r="F575" s="1">
        <v>0.81595600000000001</v>
      </c>
    </row>
    <row r="576" spans="5:6">
      <c r="E576" s="1">
        <v>5710</v>
      </c>
      <c r="F576" s="1">
        <v>0.81869000000000003</v>
      </c>
    </row>
    <row r="577" spans="5:6">
      <c r="E577" s="1">
        <v>5720</v>
      </c>
      <c r="F577" s="1">
        <v>0.81788300000000003</v>
      </c>
    </row>
    <row r="578" spans="5:6">
      <c r="E578" s="1">
        <v>5730</v>
      </c>
      <c r="F578" s="1">
        <v>0.81587399999999999</v>
      </c>
    </row>
    <row r="579" spans="5:6">
      <c r="E579" s="1">
        <v>5740</v>
      </c>
      <c r="F579" s="1">
        <v>0.81723999999999997</v>
      </c>
    </row>
    <row r="580" spans="5:6">
      <c r="E580" s="1">
        <v>5750</v>
      </c>
      <c r="F580" s="1">
        <v>0.81554300000000002</v>
      </c>
    </row>
    <row r="581" spans="5:6">
      <c r="E581" s="1">
        <v>5760</v>
      </c>
      <c r="F581" s="1">
        <v>0.81938800000000001</v>
      </c>
    </row>
    <row r="582" spans="5:6">
      <c r="E582" s="1">
        <v>5770</v>
      </c>
      <c r="F582" s="1">
        <v>0.81964700000000001</v>
      </c>
    </row>
    <row r="583" spans="5:6">
      <c r="E583" s="1">
        <v>5780</v>
      </c>
      <c r="F583" s="1">
        <v>0.81935999999999998</v>
      </c>
    </row>
    <row r="584" spans="5:6">
      <c r="E584" s="1">
        <v>5790</v>
      </c>
      <c r="F584" s="1">
        <v>0.81462299999999999</v>
      </c>
    </row>
    <row r="585" spans="5:6">
      <c r="E585" s="1">
        <v>5800</v>
      </c>
      <c r="F585" s="1">
        <v>0.81402200000000002</v>
      </c>
    </row>
    <row r="586" spans="5:6">
      <c r="E586" s="1">
        <v>5810</v>
      </c>
      <c r="F586" s="1">
        <v>0.81873399999999996</v>
      </c>
    </row>
    <row r="587" spans="5:6">
      <c r="E587" s="1">
        <v>5820</v>
      </c>
      <c r="F587" s="1">
        <v>0.81617600000000001</v>
      </c>
    </row>
    <row r="588" spans="5:6">
      <c r="E588" s="1">
        <v>5830</v>
      </c>
      <c r="F588" s="1">
        <v>0.813442</v>
      </c>
    </row>
    <row r="589" spans="5:6">
      <c r="E589" s="1">
        <v>5840</v>
      </c>
      <c r="F589" s="1">
        <v>0.81518100000000004</v>
      </c>
    </row>
    <row r="590" spans="5:6">
      <c r="E590" s="1">
        <v>5850</v>
      </c>
      <c r="F590" s="1">
        <v>0.81511400000000001</v>
      </c>
    </row>
    <row r="591" spans="5:6">
      <c r="E591" s="1">
        <v>5860</v>
      </c>
      <c r="F591" s="1">
        <v>0.82069499999999995</v>
      </c>
    </row>
    <row r="592" spans="5:6">
      <c r="E592" s="1">
        <v>5870</v>
      </c>
      <c r="F592" s="1">
        <v>0.81448200000000004</v>
      </c>
    </row>
    <row r="593" spans="5:6">
      <c r="E593" s="1">
        <v>5880</v>
      </c>
      <c r="F593" s="1">
        <v>0.81169400000000003</v>
      </c>
    </row>
    <row r="594" spans="5:6">
      <c r="E594" s="1">
        <v>5890</v>
      </c>
      <c r="F594" s="1">
        <v>0.81433299999999997</v>
      </c>
    </row>
    <row r="595" spans="5:6">
      <c r="E595" s="1">
        <v>5900</v>
      </c>
      <c r="F595" s="1">
        <v>0.81617399999999996</v>
      </c>
    </row>
    <row r="596" spans="5:6">
      <c r="E596" s="1">
        <v>5910</v>
      </c>
      <c r="F596" s="1">
        <v>0.81586199999999998</v>
      </c>
    </row>
    <row r="597" spans="5:6">
      <c r="E597" s="1">
        <v>5920</v>
      </c>
      <c r="F597" s="1">
        <v>0.81320700000000001</v>
      </c>
    </row>
    <row r="598" spans="5:6">
      <c r="E598" s="1">
        <v>5930</v>
      </c>
      <c r="F598" s="1">
        <v>0.81359300000000001</v>
      </c>
    </row>
    <row r="599" spans="5:6">
      <c r="E599" s="1">
        <v>5940</v>
      </c>
      <c r="F599" s="1">
        <v>0.81235999999999997</v>
      </c>
    </row>
    <row r="600" spans="5:6">
      <c r="E600" s="1">
        <v>5950</v>
      </c>
      <c r="F600" s="1">
        <v>0.81242599999999998</v>
      </c>
    </row>
    <row r="601" spans="5:6">
      <c r="E601" s="1">
        <v>5960</v>
      </c>
      <c r="F601" s="1">
        <v>0.81105899999999997</v>
      </c>
    </row>
    <row r="602" spans="5:6">
      <c r="E602" s="1">
        <v>5970</v>
      </c>
      <c r="F602" s="1">
        <v>0.81464599999999998</v>
      </c>
    </row>
    <row r="603" spans="5:6">
      <c r="E603" s="1">
        <v>5980</v>
      </c>
      <c r="F603" s="1">
        <v>0.812616</v>
      </c>
    </row>
    <row r="604" spans="5:6">
      <c r="E604" s="1">
        <v>5990</v>
      </c>
      <c r="F604" s="1">
        <v>0.81280600000000003</v>
      </c>
    </row>
    <row r="605" spans="5:6">
      <c r="E605" s="1">
        <v>6000</v>
      </c>
      <c r="F605" s="1">
        <v>0.81311299999999997</v>
      </c>
    </row>
    <row r="606" spans="5:6">
      <c r="E606" s="1">
        <v>6010</v>
      </c>
      <c r="F606" s="1">
        <v>0.81793099999999996</v>
      </c>
    </row>
    <row r="607" spans="5:6">
      <c r="E607" s="1">
        <v>6020</v>
      </c>
      <c r="F607" s="1">
        <v>0.81148500000000001</v>
      </c>
    </row>
    <row r="608" spans="5:6">
      <c r="E608" s="1">
        <v>6030</v>
      </c>
      <c r="F608" s="1">
        <v>0.81118599999999996</v>
      </c>
    </row>
    <row r="609" spans="5:6">
      <c r="E609" s="1">
        <v>6040</v>
      </c>
      <c r="F609" s="1">
        <v>0.81336200000000003</v>
      </c>
    </row>
    <row r="610" spans="5:6">
      <c r="E610" s="1">
        <v>6050</v>
      </c>
      <c r="F610" s="1">
        <v>0.81455</v>
      </c>
    </row>
    <row r="611" spans="5:6">
      <c r="E611" s="1">
        <v>6060</v>
      </c>
      <c r="F611" s="1">
        <v>0.81608199999999997</v>
      </c>
    </row>
    <row r="612" spans="5:6">
      <c r="E612" s="1">
        <v>6070</v>
      </c>
      <c r="F612" s="1">
        <v>0.81629099999999999</v>
      </c>
    </row>
    <row r="613" spans="5:6">
      <c r="E613" s="1">
        <v>6080</v>
      </c>
      <c r="F613" s="1">
        <v>0.81765200000000005</v>
      </c>
    </row>
    <row r="614" spans="5:6">
      <c r="E614" s="1">
        <v>6090</v>
      </c>
      <c r="F614" s="1">
        <v>0.81531299999999995</v>
      </c>
    </row>
    <row r="615" spans="5:6">
      <c r="E615" s="1">
        <v>6100</v>
      </c>
      <c r="F615" s="1">
        <v>0.81724600000000003</v>
      </c>
    </row>
    <row r="616" spans="5:6">
      <c r="E616" s="1">
        <v>6110</v>
      </c>
      <c r="F616" s="1">
        <v>0.81303300000000001</v>
      </c>
    </row>
    <row r="617" spans="5:6">
      <c r="E617" s="1">
        <v>6120</v>
      </c>
      <c r="F617" s="1">
        <v>0.81747199999999998</v>
      </c>
    </row>
    <row r="618" spans="5:6">
      <c r="E618" s="1">
        <v>6130</v>
      </c>
      <c r="F618" s="1">
        <v>0.81663600000000003</v>
      </c>
    </row>
    <row r="619" spans="5:6">
      <c r="E619" s="1">
        <v>6140</v>
      </c>
      <c r="F619" s="1">
        <v>0.81826399999999999</v>
      </c>
    </row>
    <row r="620" spans="5:6">
      <c r="E620" s="1">
        <v>6150</v>
      </c>
      <c r="F620" s="1">
        <v>0.81775399999999998</v>
      </c>
    </row>
    <row r="621" spans="5:6">
      <c r="E621" s="1">
        <v>6160</v>
      </c>
      <c r="F621" s="1">
        <v>0.81986499999999995</v>
      </c>
    </row>
    <row r="622" spans="5:6">
      <c r="E622" s="1">
        <v>6170</v>
      </c>
      <c r="F622" s="1">
        <v>0.81216999999999995</v>
      </c>
    </row>
    <row r="623" spans="5:6">
      <c r="E623" s="1">
        <v>6180</v>
      </c>
      <c r="F623" s="1">
        <v>0.82117700000000005</v>
      </c>
    </row>
    <row r="624" spans="5:6">
      <c r="E624" s="1">
        <v>6190</v>
      </c>
      <c r="F624" s="1">
        <v>0.81485700000000005</v>
      </c>
    </row>
    <row r="625" spans="5:6">
      <c r="E625" s="1">
        <v>6200</v>
      </c>
      <c r="F625" s="1">
        <v>0.81291599999999997</v>
      </c>
    </row>
    <row r="626" spans="5:6">
      <c r="E626" s="1">
        <v>6210</v>
      </c>
      <c r="F626" s="1">
        <v>0.81378499999999998</v>
      </c>
    </row>
    <row r="627" spans="5:6">
      <c r="E627" s="1">
        <v>6220</v>
      </c>
      <c r="F627" s="1">
        <v>0.81622399999999995</v>
      </c>
    </row>
    <row r="628" spans="5:6">
      <c r="E628" s="1">
        <v>6230</v>
      </c>
      <c r="F628" s="1">
        <v>0.81679800000000002</v>
      </c>
    </row>
    <row r="629" spans="5:6">
      <c r="E629" s="1">
        <v>6240</v>
      </c>
      <c r="F629" s="1">
        <v>0.81650699999999998</v>
      </c>
    </row>
    <row r="630" spans="5:6">
      <c r="E630" s="1">
        <v>6250</v>
      </c>
      <c r="F630" s="1">
        <v>0.82023100000000004</v>
      </c>
    </row>
    <row r="631" spans="5:6">
      <c r="E631" s="1">
        <v>6260</v>
      </c>
      <c r="F631" s="1">
        <v>0.81717799999999996</v>
      </c>
    </row>
    <row r="632" spans="5:6">
      <c r="E632" s="1">
        <v>6270</v>
      </c>
      <c r="F632" s="1">
        <v>0.81567800000000001</v>
      </c>
    </row>
    <row r="633" spans="5:6">
      <c r="E633" s="1">
        <v>6280</v>
      </c>
      <c r="F633" s="1">
        <v>0.81200399999999995</v>
      </c>
    </row>
    <row r="634" spans="5:6">
      <c r="E634" s="1">
        <v>6290</v>
      </c>
      <c r="F634" s="1">
        <v>0.80977600000000005</v>
      </c>
    </row>
    <row r="635" spans="5:6">
      <c r="E635" s="1">
        <v>6300</v>
      </c>
      <c r="F635" s="1">
        <v>0.81275200000000003</v>
      </c>
    </row>
    <row r="636" spans="5:6">
      <c r="E636" s="1">
        <v>6310</v>
      </c>
      <c r="F636" s="1">
        <v>0.813948</v>
      </c>
    </row>
    <row r="637" spans="5:6">
      <c r="E637" s="1">
        <v>6320</v>
      </c>
      <c r="F637" s="1">
        <v>0.81229899999999999</v>
      </c>
    </row>
    <row r="638" spans="5:6">
      <c r="E638" s="1">
        <v>6330</v>
      </c>
      <c r="F638" s="1">
        <v>0.81206</v>
      </c>
    </row>
    <row r="639" spans="5:6">
      <c r="E639" s="1">
        <v>6340</v>
      </c>
      <c r="F639" s="1">
        <v>0.81481800000000004</v>
      </c>
    </row>
    <row r="640" spans="5:6">
      <c r="E640" s="1">
        <v>6350</v>
      </c>
      <c r="F640" s="1">
        <v>0.81237700000000002</v>
      </c>
    </row>
    <row r="641" spans="5:6">
      <c r="E641" s="1">
        <v>6360</v>
      </c>
      <c r="F641" s="1">
        <v>0.81519699999999995</v>
      </c>
    </row>
    <row r="642" spans="5:6">
      <c r="E642" s="1">
        <v>6370</v>
      </c>
      <c r="F642" s="1">
        <v>0.82198700000000002</v>
      </c>
    </row>
    <row r="643" spans="5:6">
      <c r="E643" s="1">
        <v>6380</v>
      </c>
      <c r="F643" s="1">
        <v>0.81270799999999999</v>
      </c>
    </row>
    <row r="644" spans="5:6">
      <c r="E644" s="1">
        <v>6390</v>
      </c>
      <c r="F644" s="1">
        <v>0.81032400000000004</v>
      </c>
    </row>
    <row r="645" spans="5:6">
      <c r="E645" s="1">
        <v>6400</v>
      </c>
      <c r="F645" s="1">
        <v>0.81281499999999995</v>
      </c>
    </row>
    <row r="646" spans="5:6">
      <c r="E646" s="1">
        <v>6410</v>
      </c>
      <c r="F646" s="1">
        <v>0.81337300000000001</v>
      </c>
    </row>
    <row r="647" spans="5:6">
      <c r="E647" s="1">
        <v>6420</v>
      </c>
      <c r="F647" s="1">
        <v>0.81287100000000001</v>
      </c>
    </row>
    <row r="648" spans="5:6">
      <c r="E648" s="1">
        <v>6430</v>
      </c>
      <c r="F648" s="1">
        <v>0.81650299999999998</v>
      </c>
    </row>
    <row r="649" spans="5:6">
      <c r="E649" s="1">
        <v>6440</v>
      </c>
      <c r="F649" s="1">
        <v>0.81117499999999998</v>
      </c>
    </row>
    <row r="650" spans="5:6">
      <c r="E650" s="1">
        <v>6450</v>
      </c>
      <c r="F650" s="1">
        <v>0.81762599999999996</v>
      </c>
    </row>
    <row r="651" spans="5:6">
      <c r="E651" s="1">
        <v>6460</v>
      </c>
      <c r="F651" s="1">
        <v>0.81159999999999999</v>
      </c>
    </row>
    <row r="652" spans="5:6">
      <c r="E652" s="1">
        <v>6470</v>
      </c>
      <c r="F652" s="1">
        <v>0.81460900000000003</v>
      </c>
    </row>
    <row r="653" spans="5:6">
      <c r="E653" s="1">
        <v>6480</v>
      </c>
      <c r="F653" s="1">
        <v>0.81611599999999995</v>
      </c>
    </row>
    <row r="654" spans="5:6">
      <c r="E654" s="1">
        <v>6490</v>
      </c>
      <c r="F654" s="1">
        <v>0.81409900000000002</v>
      </c>
    </row>
    <row r="655" spans="5:6">
      <c r="E655" s="1">
        <v>6500</v>
      </c>
      <c r="F655" s="1">
        <v>0.81843399999999999</v>
      </c>
    </row>
    <row r="656" spans="5:6">
      <c r="E656" s="1">
        <v>6510</v>
      </c>
      <c r="F656" s="1">
        <v>0.81990499999999999</v>
      </c>
    </row>
    <row r="657" spans="5:6">
      <c r="E657" s="1">
        <v>6520</v>
      </c>
      <c r="F657" s="1">
        <v>0.816307</v>
      </c>
    </row>
    <row r="658" spans="5:6">
      <c r="E658" s="1">
        <v>6530</v>
      </c>
      <c r="F658" s="1">
        <v>0.81071300000000002</v>
      </c>
    </row>
    <row r="659" spans="5:6">
      <c r="E659" s="1">
        <v>6540</v>
      </c>
      <c r="F659" s="1">
        <v>0.81204900000000002</v>
      </c>
    </row>
    <row r="660" spans="5:6">
      <c r="E660" s="1">
        <v>6550</v>
      </c>
      <c r="F660" s="1">
        <v>0.81468700000000005</v>
      </c>
    </row>
    <row r="661" spans="5:6">
      <c r="E661" s="1">
        <v>6560</v>
      </c>
      <c r="F661" s="1">
        <v>0.81532300000000002</v>
      </c>
    </row>
    <row r="662" spans="5:6">
      <c r="E662" s="1">
        <v>6570</v>
      </c>
      <c r="F662" s="1">
        <v>0.81335900000000005</v>
      </c>
    </row>
    <row r="663" spans="5:6">
      <c r="E663" s="1">
        <v>6580</v>
      </c>
      <c r="F663" s="1">
        <v>0.81639600000000001</v>
      </c>
    </row>
    <row r="664" spans="5:6">
      <c r="E664" s="1">
        <v>6590</v>
      </c>
      <c r="F664" s="1">
        <v>0.81605399999999995</v>
      </c>
    </row>
    <row r="665" spans="5:6">
      <c r="E665" s="1">
        <v>6600</v>
      </c>
      <c r="F665" s="1">
        <v>0.81669899999999995</v>
      </c>
    </row>
    <row r="666" spans="5:6">
      <c r="E666" s="1">
        <v>6610</v>
      </c>
      <c r="F666" s="1">
        <v>0.81675500000000001</v>
      </c>
    </row>
    <row r="667" spans="5:6">
      <c r="E667" s="1">
        <v>6620</v>
      </c>
      <c r="F667" s="1">
        <v>0.81229899999999999</v>
      </c>
    </row>
    <row r="668" spans="5:6">
      <c r="E668" s="1">
        <v>6630</v>
      </c>
      <c r="F668" s="1">
        <v>0.81790200000000002</v>
      </c>
    </row>
    <row r="669" spans="5:6">
      <c r="E669" s="1">
        <v>6640</v>
      </c>
      <c r="F669" s="1">
        <v>0.81694100000000003</v>
      </c>
    </row>
    <row r="670" spans="5:6">
      <c r="E670" s="1">
        <v>6650</v>
      </c>
      <c r="F670" s="1">
        <v>0.81415499999999996</v>
      </c>
    </row>
    <row r="671" spans="5:6">
      <c r="E671" s="1">
        <v>6660</v>
      </c>
      <c r="F671" s="1">
        <v>0.81566499999999997</v>
      </c>
    </row>
    <row r="672" spans="5:6">
      <c r="E672" s="1">
        <v>6670</v>
      </c>
      <c r="F672" s="1">
        <v>0.81182100000000001</v>
      </c>
    </row>
    <row r="673" spans="5:6">
      <c r="E673" s="1">
        <v>6680</v>
      </c>
      <c r="F673" s="1">
        <v>0.81770200000000004</v>
      </c>
    </row>
    <row r="674" spans="5:6">
      <c r="E674" s="1">
        <v>6690</v>
      </c>
      <c r="F674" s="1">
        <v>0.813886</v>
      </c>
    </row>
    <row r="675" spans="5:6">
      <c r="E675" s="1">
        <v>6700</v>
      </c>
      <c r="F675" s="1">
        <v>0.81622099999999997</v>
      </c>
    </row>
    <row r="676" spans="5:6">
      <c r="E676" s="1">
        <v>6710</v>
      </c>
      <c r="F676" s="1">
        <v>0.82110700000000003</v>
      </c>
    </row>
    <row r="677" spans="5:6">
      <c r="E677" s="1">
        <v>6720</v>
      </c>
      <c r="F677" s="1">
        <v>0.81395399999999996</v>
      </c>
    </row>
    <row r="678" spans="5:6">
      <c r="E678" s="1">
        <v>6730</v>
      </c>
      <c r="F678" s="1">
        <v>0.82065900000000003</v>
      </c>
    </row>
    <row r="679" spans="5:6">
      <c r="E679" s="1">
        <v>6740</v>
      </c>
      <c r="F679" s="1">
        <v>0.81483000000000005</v>
      </c>
    </row>
    <row r="680" spans="5:6">
      <c r="E680" s="1">
        <v>6750</v>
      </c>
      <c r="F680" s="1">
        <v>0.81731699999999996</v>
      </c>
    </row>
    <row r="681" spans="5:6">
      <c r="E681" s="1">
        <v>6760</v>
      </c>
      <c r="F681" s="1">
        <v>0.81423599999999996</v>
      </c>
    </row>
    <row r="682" spans="5:6">
      <c r="E682" s="1">
        <v>6770</v>
      </c>
      <c r="F682" s="1">
        <v>0.81547000000000003</v>
      </c>
    </row>
    <row r="683" spans="5:6">
      <c r="E683" s="1">
        <v>6780</v>
      </c>
      <c r="F683" s="1">
        <v>0.81696899999999995</v>
      </c>
    </row>
    <row r="684" spans="5:6">
      <c r="E684" s="1">
        <v>6790</v>
      </c>
      <c r="F684" s="1">
        <v>0.81800600000000001</v>
      </c>
    </row>
    <row r="685" spans="5:6">
      <c r="E685" s="1">
        <v>6800</v>
      </c>
      <c r="F685" s="1">
        <v>0.82316999999999996</v>
      </c>
    </row>
    <row r="686" spans="5:6">
      <c r="E686" s="1">
        <v>6810</v>
      </c>
      <c r="F686" s="1">
        <v>0.81411100000000003</v>
      </c>
    </row>
    <row r="687" spans="5:6">
      <c r="E687" s="1">
        <v>6820</v>
      </c>
      <c r="F687" s="1">
        <v>0.80960100000000002</v>
      </c>
    </row>
    <row r="688" spans="5:6">
      <c r="E688" s="1">
        <v>6830</v>
      </c>
      <c r="F688" s="1">
        <v>0.81157000000000001</v>
      </c>
    </row>
    <row r="689" spans="5:6">
      <c r="E689" s="1">
        <v>6840</v>
      </c>
      <c r="F689" s="1">
        <v>0.81447099999999995</v>
      </c>
    </row>
    <row r="690" spans="5:6">
      <c r="E690" s="1">
        <v>6850</v>
      </c>
      <c r="F690" s="1">
        <v>0.813469</v>
      </c>
    </row>
    <row r="691" spans="5:6">
      <c r="E691" s="1">
        <v>6860</v>
      </c>
      <c r="F691" s="1">
        <v>0.81342400000000004</v>
      </c>
    </row>
    <row r="692" spans="5:6">
      <c r="E692" s="1">
        <v>6870</v>
      </c>
      <c r="F692" s="1">
        <v>0.81830199999999997</v>
      </c>
    </row>
    <row r="693" spans="5:6">
      <c r="E693" s="1">
        <v>6880</v>
      </c>
      <c r="F693" s="1">
        <v>0.81590799999999997</v>
      </c>
    </row>
    <row r="694" spans="5:6">
      <c r="E694" s="1">
        <v>6890</v>
      </c>
      <c r="F694" s="1">
        <v>0.81469800000000003</v>
      </c>
    </row>
    <row r="695" spans="5:6">
      <c r="E695" s="1">
        <v>6900</v>
      </c>
      <c r="F695" s="1">
        <v>0.81414900000000001</v>
      </c>
    </row>
    <row r="696" spans="5:6">
      <c r="E696" s="1">
        <v>6910</v>
      </c>
      <c r="F696" s="1">
        <v>0.81294500000000003</v>
      </c>
    </row>
    <row r="697" spans="5:6">
      <c r="E697" s="1">
        <v>6920</v>
      </c>
      <c r="F697" s="1">
        <v>0.81038100000000002</v>
      </c>
    </row>
    <row r="698" spans="5:6">
      <c r="E698" s="1">
        <v>6930</v>
      </c>
      <c r="F698" s="1">
        <v>0.81747000000000003</v>
      </c>
    </row>
    <row r="699" spans="5:6">
      <c r="E699" s="1">
        <v>6940</v>
      </c>
      <c r="F699" s="1">
        <v>0.81186000000000003</v>
      </c>
    </row>
    <row r="700" spans="5:6">
      <c r="E700" s="1">
        <v>6950</v>
      </c>
      <c r="F700" s="1">
        <v>0.81742400000000004</v>
      </c>
    </row>
    <row r="701" spans="5:6">
      <c r="E701" s="1">
        <v>6960</v>
      </c>
      <c r="F701" s="1">
        <v>0.81399500000000002</v>
      </c>
    </row>
    <row r="702" spans="5:6">
      <c r="E702" s="1">
        <v>6970</v>
      </c>
      <c r="F702" s="1">
        <v>0.81383799999999995</v>
      </c>
    </row>
    <row r="703" spans="5:6">
      <c r="E703" s="1">
        <v>6980</v>
      </c>
      <c r="F703" s="1">
        <v>0.81194100000000002</v>
      </c>
    </row>
    <row r="704" spans="5:6">
      <c r="E704" s="1">
        <v>6990</v>
      </c>
      <c r="F704" s="1">
        <v>0.81372699999999998</v>
      </c>
    </row>
    <row r="705" spans="5:6">
      <c r="E705" s="1">
        <v>7000</v>
      </c>
      <c r="F705" s="1">
        <v>0.81153299999999995</v>
      </c>
    </row>
    <row r="706" spans="5:6">
      <c r="E706" s="1">
        <v>7010</v>
      </c>
      <c r="F706" s="1">
        <v>0.80898499999999995</v>
      </c>
    </row>
    <row r="707" spans="5:6">
      <c r="E707" s="1">
        <v>7020</v>
      </c>
      <c r="F707" s="1">
        <v>0.81041200000000002</v>
      </c>
    </row>
    <row r="708" spans="5:6">
      <c r="E708" s="1">
        <v>7030</v>
      </c>
      <c r="F708" s="1">
        <v>0.81093499999999996</v>
      </c>
    </row>
    <row r="709" spans="5:6">
      <c r="E709" s="1">
        <v>7040</v>
      </c>
      <c r="F709" s="1">
        <v>0.81418699999999999</v>
      </c>
    </row>
    <row r="710" spans="5:6">
      <c r="E710" s="1">
        <v>7050</v>
      </c>
      <c r="F710" s="1">
        <v>0.81579599999999997</v>
      </c>
    </row>
    <row r="711" spans="5:6">
      <c r="E711" s="1">
        <v>7060</v>
      </c>
      <c r="F711" s="1">
        <v>0.81348200000000004</v>
      </c>
    </row>
    <row r="712" spans="5:6">
      <c r="E712" s="1">
        <v>7070</v>
      </c>
      <c r="F712" s="1">
        <v>0.81395799999999996</v>
      </c>
    </row>
    <row r="713" spans="5:6">
      <c r="E713" s="1">
        <v>7080</v>
      </c>
      <c r="F713" s="1">
        <v>0.81677699999999998</v>
      </c>
    </row>
    <row r="714" spans="5:6">
      <c r="E714" s="1">
        <v>7090</v>
      </c>
      <c r="F714" s="1">
        <v>0.81364599999999998</v>
      </c>
    </row>
    <row r="715" spans="5:6">
      <c r="E715" s="1">
        <v>7100</v>
      </c>
      <c r="F715" s="1">
        <v>0.81050999999999995</v>
      </c>
    </row>
    <row r="716" spans="5:6">
      <c r="E716" s="1">
        <v>7110</v>
      </c>
      <c r="F716" s="1">
        <v>0.80935199999999996</v>
      </c>
    </row>
    <row r="717" spans="5:6">
      <c r="E717" s="1">
        <v>7120</v>
      </c>
      <c r="F717" s="1">
        <v>0.80781499999999995</v>
      </c>
    </row>
    <row r="718" spans="5:6">
      <c r="E718" s="1">
        <v>7130</v>
      </c>
      <c r="F718" s="1">
        <v>0.81187299999999996</v>
      </c>
    </row>
    <row r="719" spans="5:6">
      <c r="E719" s="1">
        <v>7140</v>
      </c>
      <c r="F719" s="1">
        <v>0.81051200000000001</v>
      </c>
    </row>
    <row r="720" spans="5:6">
      <c r="E720" s="1">
        <v>7150</v>
      </c>
      <c r="F720" s="1">
        <v>0.81029799999999996</v>
      </c>
    </row>
    <row r="721" spans="5:6">
      <c r="E721" s="1">
        <v>7160</v>
      </c>
      <c r="F721" s="1">
        <v>0.81294900000000003</v>
      </c>
    </row>
    <row r="722" spans="5:6">
      <c r="E722" s="1">
        <v>7170</v>
      </c>
      <c r="F722" s="1">
        <v>0.81589</v>
      </c>
    </row>
    <row r="723" spans="5:6">
      <c r="E723" s="1">
        <v>7180</v>
      </c>
      <c r="F723" s="1">
        <v>0.81328800000000001</v>
      </c>
    </row>
    <row r="724" spans="5:6">
      <c r="E724" s="1">
        <v>7190</v>
      </c>
      <c r="F724" s="1">
        <v>0.81545100000000004</v>
      </c>
    </row>
    <row r="725" spans="5:6">
      <c r="E725" s="1">
        <v>7200</v>
      </c>
      <c r="F725" s="1">
        <v>0.81122700000000003</v>
      </c>
    </row>
    <row r="726" spans="5:6">
      <c r="E726" s="1">
        <v>7210</v>
      </c>
      <c r="F726" s="1">
        <v>0.81744700000000003</v>
      </c>
    </row>
    <row r="727" spans="5:6">
      <c r="E727" s="1">
        <v>7220</v>
      </c>
      <c r="F727" s="1">
        <v>0.81728400000000001</v>
      </c>
    </row>
    <row r="728" spans="5:6">
      <c r="E728" s="1">
        <v>7230</v>
      </c>
      <c r="F728" s="1">
        <v>0.81563099999999999</v>
      </c>
    </row>
    <row r="729" spans="5:6">
      <c r="E729" s="1">
        <v>7240</v>
      </c>
      <c r="F729" s="1">
        <v>0.81067500000000003</v>
      </c>
    </row>
    <row r="730" spans="5:6">
      <c r="E730" s="1">
        <v>7250</v>
      </c>
      <c r="F730" s="1">
        <v>0.80742700000000001</v>
      </c>
    </row>
    <row r="731" spans="5:6">
      <c r="E731" s="1">
        <v>7260</v>
      </c>
      <c r="F731" s="1">
        <v>0.80882699999999996</v>
      </c>
    </row>
    <row r="732" spans="5:6">
      <c r="E732" s="1">
        <v>7270</v>
      </c>
      <c r="F732" s="1">
        <v>0.81920899999999996</v>
      </c>
    </row>
    <row r="733" spans="5:6">
      <c r="E733" s="1">
        <v>7280</v>
      </c>
      <c r="F733" s="1">
        <v>0.81706100000000004</v>
      </c>
    </row>
    <row r="734" spans="5:6">
      <c r="E734" s="1">
        <v>7290</v>
      </c>
      <c r="F734" s="1">
        <v>0.81733599999999995</v>
      </c>
    </row>
    <row r="735" spans="5:6">
      <c r="E735" s="1">
        <v>7300</v>
      </c>
      <c r="F735" s="1">
        <v>0.81572100000000003</v>
      </c>
    </row>
    <row r="736" spans="5:6">
      <c r="E736" s="1">
        <v>7310</v>
      </c>
      <c r="F736" s="1">
        <v>0.81969999999999998</v>
      </c>
    </row>
    <row r="737" spans="5:6">
      <c r="E737" s="1">
        <v>7320</v>
      </c>
      <c r="F737" s="1">
        <v>0.81131399999999998</v>
      </c>
    </row>
    <row r="738" spans="5:6">
      <c r="E738" s="1">
        <v>7330</v>
      </c>
      <c r="F738" s="1">
        <v>0.81181400000000004</v>
      </c>
    </row>
    <row r="739" spans="5:6">
      <c r="E739" s="1">
        <v>7340</v>
      </c>
      <c r="F739" s="1">
        <v>0.81119699999999995</v>
      </c>
    </row>
    <row r="740" spans="5:6">
      <c r="E740" s="1">
        <v>7350</v>
      </c>
      <c r="F740" s="1">
        <v>0.81414200000000003</v>
      </c>
    </row>
    <row r="741" spans="5:6">
      <c r="E741" s="1">
        <v>7360</v>
      </c>
      <c r="F741" s="1">
        <v>0.81389100000000003</v>
      </c>
    </row>
    <row r="742" spans="5:6">
      <c r="E742" s="1">
        <v>7370</v>
      </c>
      <c r="F742" s="1">
        <v>0.812307</v>
      </c>
    </row>
    <row r="743" spans="5:6">
      <c r="E743" s="1">
        <v>7380</v>
      </c>
      <c r="F743" s="1">
        <v>0.81220999999999999</v>
      </c>
    </row>
    <row r="744" spans="5:6">
      <c r="E744" s="1">
        <v>7390</v>
      </c>
      <c r="F744" s="1">
        <v>0.81977699999999998</v>
      </c>
    </row>
    <row r="745" spans="5:6">
      <c r="E745" s="1">
        <v>7400</v>
      </c>
      <c r="F745" s="1">
        <v>0.81306199999999995</v>
      </c>
    </row>
    <row r="746" spans="5:6">
      <c r="E746" s="1">
        <v>7410</v>
      </c>
      <c r="F746" s="1">
        <v>0.81107899999999999</v>
      </c>
    </row>
    <row r="747" spans="5:6">
      <c r="E747" s="1">
        <v>7420</v>
      </c>
      <c r="F747" s="1">
        <v>0.80945199999999995</v>
      </c>
    </row>
    <row r="748" spans="5:6">
      <c r="E748" s="1">
        <v>7430</v>
      </c>
      <c r="F748" s="1">
        <v>0.81370299999999995</v>
      </c>
    </row>
    <row r="749" spans="5:6">
      <c r="E749" s="1">
        <v>7440</v>
      </c>
      <c r="F749" s="1">
        <v>0.81190899999999999</v>
      </c>
    </row>
    <row r="750" spans="5:6">
      <c r="E750" s="1">
        <v>7450</v>
      </c>
      <c r="F750" s="1">
        <v>0.80846200000000001</v>
      </c>
    </row>
    <row r="751" spans="5:6">
      <c r="E751" s="1">
        <v>7460</v>
      </c>
      <c r="F751" s="1">
        <v>0.80932400000000004</v>
      </c>
    </row>
    <row r="752" spans="5:6">
      <c r="E752" s="1">
        <v>7470</v>
      </c>
      <c r="F752" s="1">
        <v>0.81724600000000003</v>
      </c>
    </row>
    <row r="753" spans="5:6">
      <c r="E753" s="1">
        <v>7480</v>
      </c>
      <c r="F753" s="1">
        <v>0.81206</v>
      </c>
    </row>
    <row r="754" spans="5:6">
      <c r="E754" s="1">
        <v>7490</v>
      </c>
      <c r="F754" s="1">
        <v>0.81120800000000004</v>
      </c>
    </row>
    <row r="755" spans="5:6">
      <c r="E755" s="1">
        <v>7500</v>
      </c>
      <c r="F755" s="1">
        <v>0.810643</v>
      </c>
    </row>
    <row r="756" spans="5:6">
      <c r="E756" s="1">
        <v>7510</v>
      </c>
      <c r="F756" s="1">
        <v>0.81407399999999996</v>
      </c>
    </row>
    <row r="757" spans="5:6">
      <c r="E757" s="1">
        <v>7520</v>
      </c>
      <c r="F757" s="1">
        <v>0.81405899999999998</v>
      </c>
    </row>
    <row r="758" spans="5:6">
      <c r="E758" s="1">
        <v>7530</v>
      </c>
      <c r="F758" s="1">
        <v>0.81135400000000002</v>
      </c>
    </row>
    <row r="759" spans="5:6">
      <c r="E759" s="1">
        <v>7540</v>
      </c>
      <c r="F759" s="1">
        <v>0.81216100000000002</v>
      </c>
    </row>
    <row r="760" spans="5:6">
      <c r="E760" s="1">
        <v>7550</v>
      </c>
      <c r="F760" s="1">
        <v>0.81484699999999999</v>
      </c>
    </row>
    <row r="761" spans="5:6">
      <c r="E761" s="1">
        <v>7560</v>
      </c>
      <c r="F761" s="1">
        <v>0.81800499999999998</v>
      </c>
    </row>
    <row r="762" spans="5:6">
      <c r="E762" s="1">
        <v>7570</v>
      </c>
      <c r="F762" s="1">
        <v>0.81103499999999995</v>
      </c>
    </row>
    <row r="763" spans="5:6">
      <c r="E763" s="1">
        <v>7580</v>
      </c>
      <c r="F763" s="1">
        <v>0.81741900000000001</v>
      </c>
    </row>
    <row r="764" spans="5:6">
      <c r="E764" s="1">
        <v>7590</v>
      </c>
      <c r="F764" s="1">
        <v>0.81104500000000002</v>
      </c>
    </row>
    <row r="765" spans="5:6">
      <c r="E765" s="1">
        <v>7600</v>
      </c>
      <c r="F765" s="1">
        <v>0.81257100000000004</v>
      </c>
    </row>
    <row r="766" spans="5:6">
      <c r="E766" s="1">
        <v>7610</v>
      </c>
      <c r="F766" s="1">
        <v>0.81548100000000001</v>
      </c>
    </row>
    <row r="767" spans="5:6">
      <c r="E767" s="1">
        <v>7620</v>
      </c>
      <c r="F767" s="1">
        <v>0.81003899999999995</v>
      </c>
    </row>
    <row r="768" spans="5:6">
      <c r="E768" s="1">
        <v>7630</v>
      </c>
      <c r="F768" s="1">
        <v>0.81495200000000001</v>
      </c>
    </row>
    <row r="769" spans="5:6">
      <c r="E769" s="1">
        <v>7640</v>
      </c>
      <c r="F769" s="1">
        <v>0.81440000000000001</v>
      </c>
    </row>
    <row r="770" spans="5:6">
      <c r="E770" s="1">
        <v>7650</v>
      </c>
      <c r="F770" s="1">
        <v>0.81659300000000001</v>
      </c>
    </row>
    <row r="771" spans="5:6">
      <c r="E771" s="1">
        <v>7660</v>
      </c>
      <c r="F771" s="1">
        <v>0.81392100000000001</v>
      </c>
    </row>
    <row r="772" spans="5:6">
      <c r="E772" s="1">
        <v>7670</v>
      </c>
      <c r="F772" s="1">
        <v>0.81398199999999998</v>
      </c>
    </row>
    <row r="773" spans="5:6">
      <c r="E773" s="1">
        <v>7680</v>
      </c>
      <c r="F773" s="1">
        <v>0.81297799999999998</v>
      </c>
    </row>
    <row r="774" spans="5:6">
      <c r="E774" s="1">
        <v>7690</v>
      </c>
      <c r="F774" s="1">
        <v>0.80716100000000002</v>
      </c>
    </row>
    <row r="775" spans="5:6">
      <c r="E775" s="1">
        <v>7700</v>
      </c>
      <c r="F775" s="1">
        <v>0.80722899999999997</v>
      </c>
    </row>
    <row r="776" spans="5:6">
      <c r="E776" s="1">
        <v>7710</v>
      </c>
      <c r="F776" s="1">
        <v>0.81481199999999998</v>
      </c>
    </row>
    <row r="777" spans="5:6">
      <c r="E777" s="1">
        <v>7720</v>
      </c>
      <c r="F777" s="1">
        <v>0.81447899999999995</v>
      </c>
    </row>
    <row r="778" spans="5:6">
      <c r="E778" s="1">
        <v>7730</v>
      </c>
      <c r="F778" s="1">
        <v>0.81254400000000004</v>
      </c>
    </row>
    <row r="779" spans="5:6">
      <c r="E779" s="1">
        <v>7740</v>
      </c>
      <c r="F779" s="1">
        <v>0.81205000000000005</v>
      </c>
    </row>
    <row r="780" spans="5:6">
      <c r="E780" s="1">
        <v>7750</v>
      </c>
      <c r="F780" s="1">
        <v>0.81248200000000004</v>
      </c>
    </row>
    <row r="781" spans="5:6">
      <c r="E781" s="1">
        <v>7760</v>
      </c>
      <c r="F781" s="1">
        <v>0.81107499999999999</v>
      </c>
    </row>
    <row r="782" spans="5:6">
      <c r="E782" s="1">
        <v>7770</v>
      </c>
      <c r="F782" s="1">
        <v>0.81351799999999996</v>
      </c>
    </row>
    <row r="783" spans="5:6">
      <c r="E783" s="1">
        <v>7780</v>
      </c>
      <c r="F783" s="1">
        <v>0.81149199999999999</v>
      </c>
    </row>
    <row r="784" spans="5:6">
      <c r="E784" s="1">
        <v>7790</v>
      </c>
      <c r="F784" s="1">
        <v>0.81178899999999998</v>
      </c>
    </row>
    <row r="785" spans="5:6">
      <c r="E785" s="1">
        <v>7800</v>
      </c>
      <c r="F785" s="1">
        <v>0.81284100000000004</v>
      </c>
    </row>
    <row r="786" spans="5:6">
      <c r="E786" s="1">
        <v>7810</v>
      </c>
      <c r="F786" s="1">
        <v>0.813276</v>
      </c>
    </row>
    <row r="787" spans="5:6">
      <c r="E787" s="1">
        <v>7820</v>
      </c>
      <c r="F787" s="1">
        <v>0.80798000000000003</v>
      </c>
    </row>
    <row r="788" spans="5:6">
      <c r="E788" s="1">
        <v>7830</v>
      </c>
      <c r="F788" s="1">
        <v>0.80932099999999996</v>
      </c>
    </row>
    <row r="789" spans="5:6">
      <c r="E789" s="1">
        <v>7840</v>
      </c>
      <c r="F789" s="1">
        <v>0.80888599999999999</v>
      </c>
    </row>
    <row r="790" spans="5:6">
      <c r="E790" s="1">
        <v>7850</v>
      </c>
      <c r="F790" s="1">
        <v>0.80734700000000004</v>
      </c>
    </row>
    <row r="791" spans="5:6">
      <c r="E791" s="1">
        <v>7860</v>
      </c>
      <c r="F791" s="1">
        <v>0.81118100000000004</v>
      </c>
    </row>
    <row r="792" spans="5:6">
      <c r="E792" s="1">
        <v>7870</v>
      </c>
      <c r="F792" s="1">
        <v>0.80929899999999999</v>
      </c>
    </row>
    <row r="793" spans="5:6">
      <c r="E793" s="1">
        <v>7880</v>
      </c>
      <c r="F793" s="1">
        <v>0.80816699999999997</v>
      </c>
    </row>
    <row r="794" spans="5:6">
      <c r="E794" s="1">
        <v>7890</v>
      </c>
      <c r="F794" s="1">
        <v>0.80869500000000005</v>
      </c>
    </row>
    <row r="795" spans="5:6">
      <c r="E795" s="1">
        <v>7900</v>
      </c>
      <c r="F795" s="1">
        <v>0.80822300000000002</v>
      </c>
    </row>
    <row r="796" spans="5:6">
      <c r="E796" s="1">
        <v>7910</v>
      </c>
      <c r="F796" s="1">
        <v>0.80688599999999999</v>
      </c>
    </row>
    <row r="797" spans="5:6">
      <c r="E797" s="1">
        <v>7920</v>
      </c>
      <c r="F797" s="1">
        <v>0.80601400000000001</v>
      </c>
    </row>
    <row r="798" spans="5:6">
      <c r="E798" s="1">
        <v>7930</v>
      </c>
      <c r="F798" s="1">
        <v>0.80867299999999998</v>
      </c>
    </row>
    <row r="799" spans="5:6">
      <c r="E799" s="1">
        <v>7940</v>
      </c>
      <c r="F799" s="1">
        <v>0.81135100000000004</v>
      </c>
    </row>
    <row r="800" spans="5:6">
      <c r="E800" s="1">
        <v>7950</v>
      </c>
      <c r="F800" s="1">
        <v>0.80595700000000003</v>
      </c>
    </row>
    <row r="801" spans="5:6">
      <c r="E801" s="1">
        <v>7960</v>
      </c>
      <c r="F801" s="1">
        <v>0.80820499999999995</v>
      </c>
    </row>
    <row r="802" spans="5:6">
      <c r="E802" s="1">
        <v>7970</v>
      </c>
      <c r="F802" s="1">
        <v>0.80754000000000004</v>
      </c>
    </row>
    <row r="803" spans="5:6">
      <c r="E803" s="1">
        <v>7980</v>
      </c>
      <c r="F803" s="1">
        <v>0.80791299999999999</v>
      </c>
    </row>
    <row r="804" spans="5:6">
      <c r="E804" s="1">
        <v>7990</v>
      </c>
      <c r="F804" s="1">
        <v>0.80547999999999997</v>
      </c>
    </row>
    <row r="805" spans="5:6">
      <c r="E805" s="1">
        <v>8000</v>
      </c>
      <c r="F805" s="1">
        <v>0.80854000000000004</v>
      </c>
    </row>
    <row r="806" spans="5:6">
      <c r="E806" s="1">
        <v>8010</v>
      </c>
      <c r="F806" s="1">
        <v>0.80689299999999997</v>
      </c>
    </row>
    <row r="807" spans="5:6">
      <c r="E807" s="1">
        <v>8020</v>
      </c>
      <c r="F807" s="1">
        <v>0.80399200000000004</v>
      </c>
    </row>
    <row r="808" spans="5:6">
      <c r="E808" s="1">
        <v>8030</v>
      </c>
      <c r="F808" s="1">
        <v>0.809091</v>
      </c>
    </row>
    <row r="809" spans="5:6">
      <c r="E809" s="1">
        <v>8040</v>
      </c>
      <c r="F809" s="1">
        <v>0.80633200000000005</v>
      </c>
    </row>
    <row r="810" spans="5:6">
      <c r="E810" s="1">
        <v>8050</v>
      </c>
      <c r="F810" s="1">
        <v>0.811948</v>
      </c>
    </row>
    <row r="811" spans="5:6">
      <c r="E811" s="1">
        <v>8060</v>
      </c>
      <c r="F811" s="1">
        <v>0.81257100000000004</v>
      </c>
    </row>
    <row r="812" spans="5:6">
      <c r="E812" s="1">
        <v>8070</v>
      </c>
      <c r="F812" s="1">
        <v>0.81437099999999996</v>
      </c>
    </row>
    <row r="813" spans="5:6">
      <c r="E813" s="1">
        <v>8080</v>
      </c>
      <c r="F813" s="1">
        <v>0.81573200000000001</v>
      </c>
    </row>
    <row r="814" spans="5:6">
      <c r="E814" s="1">
        <v>8090</v>
      </c>
      <c r="F814" s="1">
        <v>0.81572699999999998</v>
      </c>
    </row>
    <row r="815" spans="5:6">
      <c r="E815" s="1">
        <v>8100</v>
      </c>
      <c r="F815" s="1">
        <v>0.81519299999999995</v>
      </c>
    </row>
    <row r="816" spans="5:6">
      <c r="E816" s="1">
        <v>8110</v>
      </c>
      <c r="F816" s="1">
        <v>0.81647899999999995</v>
      </c>
    </row>
    <row r="817" spans="5:6">
      <c r="E817" s="1">
        <v>8120</v>
      </c>
      <c r="F817" s="1">
        <v>0.81689800000000001</v>
      </c>
    </row>
    <row r="818" spans="5:6">
      <c r="E818" s="1">
        <v>8130</v>
      </c>
      <c r="F818" s="1">
        <v>0.81387799999999999</v>
      </c>
    </row>
    <row r="819" spans="5:6">
      <c r="E819" s="1">
        <v>8140</v>
      </c>
      <c r="F819" s="1">
        <v>0.81615099999999996</v>
      </c>
    </row>
    <row r="820" spans="5:6">
      <c r="E820" s="1">
        <v>8150</v>
      </c>
      <c r="F820" s="1">
        <v>0.817218</v>
      </c>
    </row>
    <row r="821" spans="5:6">
      <c r="E821" s="1">
        <v>8160</v>
      </c>
      <c r="F821" s="1">
        <v>0.81623199999999996</v>
      </c>
    </row>
    <row r="822" spans="5:6">
      <c r="E822" s="1">
        <v>8170</v>
      </c>
      <c r="F822" s="1">
        <v>0.81438100000000002</v>
      </c>
    </row>
    <row r="823" spans="5:6">
      <c r="E823" s="1">
        <v>8180</v>
      </c>
      <c r="F823" s="1">
        <v>0.81845400000000001</v>
      </c>
    </row>
    <row r="824" spans="5:6">
      <c r="E824" s="1">
        <v>8190</v>
      </c>
      <c r="F824" s="1">
        <v>0.81503400000000004</v>
      </c>
    </row>
    <row r="825" spans="5:6">
      <c r="E825" s="1">
        <v>8200</v>
      </c>
      <c r="F825" s="1">
        <v>0.81398499999999996</v>
      </c>
    </row>
    <row r="826" spans="5:6">
      <c r="E826" s="1">
        <v>8210</v>
      </c>
      <c r="F826" s="1">
        <v>0.81738</v>
      </c>
    </row>
    <row r="827" spans="5:6">
      <c r="E827" s="1">
        <v>8220</v>
      </c>
      <c r="F827" s="1">
        <v>0.82139099999999998</v>
      </c>
    </row>
    <row r="828" spans="5:6">
      <c r="E828" s="1">
        <v>8230</v>
      </c>
      <c r="F828" s="1">
        <v>0.81750400000000001</v>
      </c>
    </row>
    <row r="829" spans="5:6">
      <c r="E829" s="1">
        <v>8240</v>
      </c>
      <c r="F829" s="1">
        <v>0.81375399999999998</v>
      </c>
    </row>
    <row r="830" spans="5:6">
      <c r="E830" s="1">
        <v>8250</v>
      </c>
      <c r="F830" s="1">
        <v>0.81277200000000005</v>
      </c>
    </row>
    <row r="831" spans="5:6">
      <c r="E831" s="1">
        <v>8260</v>
      </c>
      <c r="F831" s="1">
        <v>0.81425700000000001</v>
      </c>
    </row>
    <row r="832" spans="5:6">
      <c r="E832" s="1">
        <v>8270</v>
      </c>
      <c r="F832" s="1">
        <v>0.81503400000000004</v>
      </c>
    </row>
    <row r="833" spans="5:6">
      <c r="E833" s="1">
        <v>8280</v>
      </c>
      <c r="F833" s="1">
        <v>0.813975</v>
      </c>
    </row>
    <row r="834" spans="5:6">
      <c r="E834" s="1">
        <v>8290</v>
      </c>
      <c r="F834" s="1">
        <v>0.81487600000000004</v>
      </c>
    </row>
    <row r="835" spans="5:6">
      <c r="E835" s="1">
        <v>8300</v>
      </c>
      <c r="F835" s="1">
        <v>0.81212499999999999</v>
      </c>
    </row>
    <row r="836" spans="5:6">
      <c r="E836" s="1">
        <v>8310</v>
      </c>
      <c r="F836" s="1">
        <v>0.81799900000000003</v>
      </c>
    </row>
    <row r="837" spans="5:6">
      <c r="E837" s="1">
        <v>8320</v>
      </c>
      <c r="F837" s="1">
        <v>0.812782</v>
      </c>
    </row>
    <row r="838" spans="5:6">
      <c r="E838" s="1">
        <v>8330</v>
      </c>
      <c r="F838" s="1">
        <v>0.81497200000000003</v>
      </c>
    </row>
    <row r="839" spans="5:6">
      <c r="E839" s="1">
        <v>8340</v>
      </c>
      <c r="F839" s="1">
        <v>0.80981700000000001</v>
      </c>
    </row>
    <row r="840" spans="5:6">
      <c r="E840" s="1">
        <v>8350</v>
      </c>
      <c r="F840" s="1">
        <v>0.80974900000000005</v>
      </c>
    </row>
    <row r="841" spans="5:6">
      <c r="E841" s="1">
        <v>8360</v>
      </c>
      <c r="F841" s="1">
        <v>0.80924200000000002</v>
      </c>
    </row>
    <row r="842" spans="5:6">
      <c r="E842" s="1">
        <v>8370</v>
      </c>
      <c r="F842" s="1">
        <v>0.80825100000000005</v>
      </c>
    </row>
    <row r="843" spans="5:6">
      <c r="E843" s="1">
        <v>8380</v>
      </c>
      <c r="F843" s="1">
        <v>0.80862900000000004</v>
      </c>
    </row>
    <row r="844" spans="5:6">
      <c r="E844" s="1">
        <v>8390</v>
      </c>
      <c r="F844" s="1">
        <v>0.80865299999999996</v>
      </c>
    </row>
    <row r="845" spans="5:6">
      <c r="E845" s="1">
        <v>8400</v>
      </c>
      <c r="F845" s="1">
        <v>0.80825499999999995</v>
      </c>
    </row>
    <row r="846" spans="5:6">
      <c r="E846" s="1">
        <v>8410</v>
      </c>
      <c r="F846" s="1">
        <v>0.80791599999999997</v>
      </c>
    </row>
    <row r="847" spans="5:6">
      <c r="E847" s="1">
        <v>8420</v>
      </c>
      <c r="F847" s="1">
        <v>0.81087799999999999</v>
      </c>
    </row>
    <row r="848" spans="5:6">
      <c r="E848" s="1">
        <v>8430</v>
      </c>
      <c r="F848" s="1">
        <v>0.80708800000000003</v>
      </c>
    </row>
    <row r="849" spans="5:6">
      <c r="E849" s="1">
        <v>8440</v>
      </c>
      <c r="F849" s="1">
        <v>0.80859199999999998</v>
      </c>
    </row>
    <row r="850" spans="5:6">
      <c r="E850" s="1">
        <v>8450</v>
      </c>
      <c r="F850" s="1">
        <v>0.80701199999999995</v>
      </c>
    </row>
    <row r="851" spans="5:6">
      <c r="E851" s="1">
        <v>8460</v>
      </c>
      <c r="F851" s="1">
        <v>0.80836699999999995</v>
      </c>
    </row>
    <row r="852" spans="5:6">
      <c r="E852" s="1">
        <v>8470</v>
      </c>
      <c r="F852" s="1">
        <v>0.80957800000000002</v>
      </c>
    </row>
    <row r="853" spans="5:6">
      <c r="E853" s="1">
        <v>8480</v>
      </c>
      <c r="F853" s="1">
        <v>0.81245599999999996</v>
      </c>
    </row>
    <row r="854" spans="5:6">
      <c r="E854" s="1">
        <v>8490</v>
      </c>
      <c r="F854" s="1">
        <v>0.80639300000000003</v>
      </c>
    </row>
    <row r="855" spans="5:6">
      <c r="E855" s="1">
        <v>8500</v>
      </c>
      <c r="F855" s="1">
        <v>0.80671000000000004</v>
      </c>
    </row>
    <row r="856" spans="5:6">
      <c r="E856" s="1">
        <v>8510</v>
      </c>
      <c r="F856" s="1">
        <v>0.80773099999999998</v>
      </c>
    </row>
    <row r="857" spans="5:6">
      <c r="E857" s="1">
        <v>8520</v>
      </c>
      <c r="F857" s="1">
        <v>0.80721299999999996</v>
      </c>
    </row>
    <row r="858" spans="5:6">
      <c r="E858" s="1">
        <v>8530</v>
      </c>
      <c r="F858" s="1">
        <v>0.81024200000000002</v>
      </c>
    </row>
    <row r="859" spans="5:6">
      <c r="E859" s="1">
        <v>8540</v>
      </c>
      <c r="F859" s="1">
        <v>0.80601500000000004</v>
      </c>
    </row>
    <row r="860" spans="5:6">
      <c r="E860" s="1">
        <v>8550</v>
      </c>
      <c r="F860" s="1">
        <v>0.810446</v>
      </c>
    </row>
    <row r="861" spans="5:6">
      <c r="E861" s="1">
        <v>8560</v>
      </c>
      <c r="F861" s="1">
        <v>0.80878000000000005</v>
      </c>
    </row>
    <row r="862" spans="5:6">
      <c r="E862" s="1">
        <v>8570</v>
      </c>
      <c r="F862" s="1">
        <v>0.81031299999999995</v>
      </c>
    </row>
    <row r="863" spans="5:6">
      <c r="E863" s="1">
        <v>8580</v>
      </c>
      <c r="F863" s="1">
        <v>0.80811699999999997</v>
      </c>
    </row>
    <row r="864" spans="5:6">
      <c r="E864" s="1">
        <v>8590</v>
      </c>
      <c r="F864" s="1">
        <v>0.80829300000000004</v>
      </c>
    </row>
    <row r="865" spans="5:6">
      <c r="E865" s="1">
        <v>8600</v>
      </c>
      <c r="F865" s="1">
        <v>0.81103499999999995</v>
      </c>
    </row>
    <row r="866" spans="5:6">
      <c r="E866" s="1">
        <v>8610</v>
      </c>
      <c r="F866" s="1">
        <v>0.81015899999999996</v>
      </c>
    </row>
    <row r="867" spans="5:6">
      <c r="E867" s="1">
        <v>8620</v>
      </c>
      <c r="F867" s="1">
        <v>0.810145</v>
      </c>
    </row>
    <row r="868" spans="5:6">
      <c r="E868" s="1">
        <v>8630</v>
      </c>
      <c r="F868" s="1">
        <v>0.81352999999999998</v>
      </c>
    </row>
    <row r="869" spans="5:6">
      <c r="E869" s="1">
        <v>8640</v>
      </c>
      <c r="F869" s="1">
        <v>0.81280600000000003</v>
      </c>
    </row>
    <row r="870" spans="5:6">
      <c r="E870" s="1">
        <v>8650</v>
      </c>
      <c r="F870" s="1">
        <v>0.81142800000000004</v>
      </c>
    </row>
    <row r="871" spans="5:6">
      <c r="E871" s="1">
        <v>8660</v>
      </c>
      <c r="F871" s="1">
        <v>0.80846600000000002</v>
      </c>
    </row>
    <row r="872" spans="5:6">
      <c r="E872" s="1">
        <v>8670</v>
      </c>
      <c r="F872" s="1">
        <v>0.80875300000000006</v>
      </c>
    </row>
    <row r="873" spans="5:6">
      <c r="E873" s="1">
        <v>8680</v>
      </c>
      <c r="F873" s="1">
        <v>0.80931900000000001</v>
      </c>
    </row>
    <row r="874" spans="5:6">
      <c r="E874" s="1">
        <v>8690</v>
      </c>
      <c r="F874" s="1">
        <v>0.81026600000000004</v>
      </c>
    </row>
    <row r="875" spans="5:6">
      <c r="E875" s="1">
        <v>8700</v>
      </c>
      <c r="F875" s="1">
        <v>0.80984699999999998</v>
      </c>
    </row>
    <row r="876" spans="5:6">
      <c r="E876" s="1">
        <v>8710</v>
      </c>
      <c r="F876" s="1">
        <v>0.81389299999999998</v>
      </c>
    </row>
    <row r="877" spans="5:6">
      <c r="E877" s="1">
        <v>8720</v>
      </c>
      <c r="F877" s="1">
        <v>0.81492399999999998</v>
      </c>
    </row>
    <row r="878" spans="5:6">
      <c r="E878" s="1">
        <v>8730</v>
      </c>
      <c r="F878" s="1">
        <v>0.81474599999999997</v>
      </c>
    </row>
    <row r="879" spans="5:6">
      <c r="E879" s="1">
        <v>8740</v>
      </c>
      <c r="F879" s="1">
        <v>0.81111900000000003</v>
      </c>
    </row>
    <row r="880" spans="5:6">
      <c r="E880" s="1">
        <v>8750</v>
      </c>
      <c r="F880" s="1">
        <v>0.80664000000000002</v>
      </c>
    </row>
    <row r="881" spans="5:6">
      <c r="E881" s="1">
        <v>8760</v>
      </c>
      <c r="F881" s="1">
        <v>0.80962999999999996</v>
      </c>
    </row>
    <row r="882" spans="5:6">
      <c r="E882" s="1">
        <v>8770</v>
      </c>
      <c r="F882" s="1">
        <v>0.81173700000000004</v>
      </c>
    </row>
    <row r="883" spans="5:6">
      <c r="E883" s="1">
        <v>8780</v>
      </c>
      <c r="F883" s="1">
        <v>0.80967199999999995</v>
      </c>
    </row>
    <row r="884" spans="5:6">
      <c r="E884" s="1">
        <v>8790</v>
      </c>
      <c r="F884" s="1">
        <v>0.80761000000000005</v>
      </c>
    </row>
    <row r="885" spans="5:6">
      <c r="E885" s="1">
        <v>8800</v>
      </c>
      <c r="F885" s="1">
        <v>0.81311800000000001</v>
      </c>
    </row>
    <row r="886" spans="5:6">
      <c r="E886" s="1">
        <v>8810</v>
      </c>
      <c r="F886" s="1">
        <v>0.81142599999999998</v>
      </c>
    </row>
    <row r="887" spans="5:6">
      <c r="E887" s="1">
        <v>8820</v>
      </c>
      <c r="F887" s="1">
        <v>0.81234499999999998</v>
      </c>
    </row>
    <row r="888" spans="5:6">
      <c r="E888" s="1">
        <v>8830</v>
      </c>
      <c r="F888" s="1">
        <v>0.81516100000000002</v>
      </c>
    </row>
    <row r="889" spans="5:6">
      <c r="E889" s="1">
        <v>8840</v>
      </c>
      <c r="F889" s="1">
        <v>0.81293000000000004</v>
      </c>
    </row>
    <row r="890" spans="5:6">
      <c r="E890" s="1">
        <v>8850</v>
      </c>
      <c r="F890" s="1">
        <v>0.81900499999999998</v>
      </c>
    </row>
    <row r="891" spans="5:6">
      <c r="E891" s="1">
        <v>8860</v>
      </c>
      <c r="F891" s="1">
        <v>0.81573200000000001</v>
      </c>
    </row>
    <row r="892" spans="5:6">
      <c r="E892" s="1">
        <v>8870</v>
      </c>
      <c r="F892" s="1">
        <v>0.81848699999999996</v>
      </c>
    </row>
    <row r="893" spans="5:6">
      <c r="E893" s="1">
        <v>8880</v>
      </c>
      <c r="F893" s="1">
        <v>0.81345800000000001</v>
      </c>
    </row>
    <row r="894" spans="5:6">
      <c r="E894" s="1">
        <v>8890</v>
      </c>
      <c r="F894" s="1">
        <v>0.81058200000000002</v>
      </c>
    </row>
    <row r="895" spans="5:6">
      <c r="E895" s="1">
        <v>8900</v>
      </c>
      <c r="F895" s="1">
        <v>0.81321299999999996</v>
      </c>
    </row>
    <row r="896" spans="5:6">
      <c r="E896" s="1">
        <v>8910</v>
      </c>
      <c r="F896" s="1">
        <v>0.81486499999999995</v>
      </c>
    </row>
    <row r="897" spans="5:6">
      <c r="E897" s="1">
        <v>8920</v>
      </c>
      <c r="F897" s="1">
        <v>0.81673799999999996</v>
      </c>
    </row>
    <row r="898" spans="5:6">
      <c r="E898" s="1">
        <v>8930</v>
      </c>
      <c r="F898" s="1">
        <v>0.81341699999999995</v>
      </c>
    </row>
    <row r="899" spans="5:6">
      <c r="E899" s="1">
        <v>8940</v>
      </c>
      <c r="F899" s="1">
        <v>0.81091899999999995</v>
      </c>
    </row>
    <row r="900" spans="5:6">
      <c r="E900" s="1">
        <v>8950</v>
      </c>
      <c r="F900" s="1">
        <v>0.81108000000000002</v>
      </c>
    </row>
    <row r="901" spans="5:6">
      <c r="E901" s="1">
        <v>8960</v>
      </c>
      <c r="F901" s="1">
        <v>0.81243500000000002</v>
      </c>
    </row>
    <row r="902" spans="5:6">
      <c r="E902" s="1">
        <v>8970</v>
      </c>
      <c r="F902" s="1">
        <v>0.81562999999999997</v>
      </c>
    </row>
    <row r="903" spans="5:6">
      <c r="E903" s="1">
        <v>8980</v>
      </c>
      <c r="F903" s="1">
        <v>0.812558</v>
      </c>
    </row>
    <row r="904" spans="5:6">
      <c r="E904" s="1">
        <v>8990</v>
      </c>
      <c r="F904" s="1">
        <v>0.81361399999999995</v>
      </c>
    </row>
    <row r="905" spans="5:6">
      <c r="E905" s="1">
        <v>9000</v>
      </c>
      <c r="F905" s="1">
        <v>0.81055299999999997</v>
      </c>
    </row>
    <row r="906" spans="5:6">
      <c r="E906" s="1">
        <v>9010</v>
      </c>
      <c r="F906" s="1">
        <v>0.81282500000000002</v>
      </c>
    </row>
    <row r="907" spans="5:6">
      <c r="E907" s="1">
        <v>9020</v>
      </c>
      <c r="F907" s="1">
        <v>0.81245599999999996</v>
      </c>
    </row>
    <row r="908" spans="5:6">
      <c r="E908" s="1">
        <v>9030</v>
      </c>
      <c r="F908" s="1">
        <v>0.81463200000000002</v>
      </c>
    </row>
    <row r="909" spans="5:6">
      <c r="E909" s="1">
        <v>9040</v>
      </c>
      <c r="F909" s="1">
        <v>0.81408199999999997</v>
      </c>
    </row>
    <row r="910" spans="5:6">
      <c r="E910" s="1">
        <v>9050</v>
      </c>
      <c r="F910" s="1">
        <v>0.81094999999999995</v>
      </c>
    </row>
    <row r="911" spans="5:6">
      <c r="E911" s="1">
        <v>9060</v>
      </c>
      <c r="F911" s="1">
        <v>0.81234799999999996</v>
      </c>
    </row>
    <row r="912" spans="5:6">
      <c r="E912" s="1">
        <v>9070</v>
      </c>
      <c r="F912" s="1">
        <v>0.81035100000000004</v>
      </c>
    </row>
    <row r="913" spans="5:6">
      <c r="E913" s="1">
        <v>9080</v>
      </c>
      <c r="F913" s="1">
        <v>0.81059499999999995</v>
      </c>
    </row>
    <row r="914" spans="5:6">
      <c r="E914" s="1">
        <v>9090</v>
      </c>
      <c r="F914" s="1">
        <v>0.81315999999999999</v>
      </c>
    </row>
    <row r="915" spans="5:6">
      <c r="E915" s="1">
        <v>9100</v>
      </c>
      <c r="F915" s="1">
        <v>0.81573600000000002</v>
      </c>
    </row>
    <row r="916" spans="5:6">
      <c r="E916" s="1">
        <v>9110</v>
      </c>
      <c r="F916" s="1">
        <v>0.81094500000000003</v>
      </c>
    </row>
    <row r="917" spans="5:6">
      <c r="E917" s="1">
        <v>9120</v>
      </c>
      <c r="F917" s="1">
        <v>0.81321600000000005</v>
      </c>
    </row>
    <row r="918" spans="5:6">
      <c r="E918" s="1">
        <v>9130</v>
      </c>
      <c r="F918" s="1">
        <v>0.81730100000000006</v>
      </c>
    </row>
    <row r="919" spans="5:6">
      <c r="E919" s="1">
        <v>9140</v>
      </c>
      <c r="F919" s="1">
        <v>0.81063799999999997</v>
      </c>
    </row>
    <row r="920" spans="5:6">
      <c r="E920" s="1">
        <v>9150</v>
      </c>
      <c r="F920" s="1">
        <v>0.81242300000000001</v>
      </c>
    </row>
    <row r="921" spans="5:6">
      <c r="E921" s="1">
        <v>9160</v>
      </c>
      <c r="F921" s="1">
        <v>0.814361</v>
      </c>
    </row>
    <row r="922" spans="5:6">
      <c r="E922" s="1">
        <v>9170</v>
      </c>
      <c r="F922" s="1">
        <v>0.81379699999999999</v>
      </c>
    </row>
    <row r="923" spans="5:6">
      <c r="E923" s="1">
        <v>9180</v>
      </c>
      <c r="F923" s="1">
        <v>0.81488099999999997</v>
      </c>
    </row>
    <row r="924" spans="5:6">
      <c r="E924" s="1">
        <v>9190</v>
      </c>
      <c r="F924" s="1">
        <v>0.81768300000000005</v>
      </c>
    </row>
    <row r="925" spans="5:6">
      <c r="E925" s="1">
        <v>9200</v>
      </c>
      <c r="F925" s="1">
        <v>0.81359599999999999</v>
      </c>
    </row>
    <row r="926" spans="5:6">
      <c r="E926" s="1">
        <v>9210</v>
      </c>
      <c r="F926" s="1">
        <v>0.81083400000000005</v>
      </c>
    </row>
    <row r="927" spans="5:6">
      <c r="E927" s="1">
        <v>9220</v>
      </c>
      <c r="F927" s="1">
        <v>0.81547499999999995</v>
      </c>
    </row>
    <row r="928" spans="5:6">
      <c r="E928" s="1">
        <v>9230</v>
      </c>
      <c r="F928" s="1">
        <v>0.81431299999999995</v>
      </c>
    </row>
    <row r="929" spans="5:6">
      <c r="E929" s="1">
        <v>9240</v>
      </c>
      <c r="F929" s="1">
        <v>0.80973300000000004</v>
      </c>
    </row>
    <row r="930" spans="5:6">
      <c r="E930" s="1">
        <v>9250</v>
      </c>
      <c r="F930" s="1">
        <v>0.80798400000000004</v>
      </c>
    </row>
    <row r="931" spans="5:6">
      <c r="E931" s="1">
        <v>9260</v>
      </c>
      <c r="F931" s="1">
        <v>0.81181700000000001</v>
      </c>
    </row>
    <row r="932" spans="5:6">
      <c r="E932" s="1">
        <v>9270</v>
      </c>
      <c r="F932" s="1">
        <v>0.81193700000000002</v>
      </c>
    </row>
    <row r="933" spans="5:6">
      <c r="E933" s="1">
        <v>9280</v>
      </c>
      <c r="F933" s="1">
        <v>0.81811400000000001</v>
      </c>
    </row>
    <row r="934" spans="5:6">
      <c r="E934" s="1">
        <v>9290</v>
      </c>
      <c r="F934" s="1">
        <v>0.81180099999999999</v>
      </c>
    </row>
    <row r="935" spans="5:6">
      <c r="E935" s="1">
        <v>9300</v>
      </c>
      <c r="F935" s="1">
        <v>0.81257400000000002</v>
      </c>
    </row>
    <row r="936" spans="5:6">
      <c r="E936" s="1">
        <v>9310</v>
      </c>
      <c r="F936" s="1">
        <v>0.81370200000000004</v>
      </c>
    </row>
    <row r="937" spans="5:6">
      <c r="E937" s="1">
        <v>9320</v>
      </c>
      <c r="F937" s="1">
        <v>0.81477999999999995</v>
      </c>
    </row>
    <row r="938" spans="5:6">
      <c r="E938" s="1">
        <v>9330</v>
      </c>
      <c r="F938" s="1">
        <v>0.81056899999999998</v>
      </c>
    </row>
    <row r="939" spans="5:6">
      <c r="E939" s="1">
        <v>9340</v>
      </c>
      <c r="F939" s="1">
        <v>0.81367599999999995</v>
      </c>
    </row>
    <row r="940" spans="5:6">
      <c r="E940" s="1">
        <v>9350</v>
      </c>
      <c r="F940" s="1">
        <v>0.81234600000000001</v>
      </c>
    </row>
    <row r="941" spans="5:6">
      <c r="E941" s="1">
        <v>9360</v>
      </c>
      <c r="F941" s="1">
        <v>0.81231600000000004</v>
      </c>
    </row>
    <row r="942" spans="5:6">
      <c r="E942" s="1">
        <v>9370</v>
      </c>
      <c r="F942" s="1">
        <v>0.81192900000000001</v>
      </c>
    </row>
    <row r="943" spans="5:6">
      <c r="E943" s="1">
        <v>9380</v>
      </c>
      <c r="F943" s="1">
        <v>0.81582200000000005</v>
      </c>
    </row>
    <row r="944" spans="5:6">
      <c r="E944" s="1">
        <v>9390</v>
      </c>
      <c r="F944" s="1">
        <v>0.81419699999999995</v>
      </c>
    </row>
    <row r="945" spans="5:6">
      <c r="E945" s="1">
        <v>9400</v>
      </c>
      <c r="F945" s="1">
        <v>0.81430400000000003</v>
      </c>
    </row>
    <row r="946" spans="5:6">
      <c r="E946" s="1">
        <v>9410</v>
      </c>
      <c r="F946" s="1">
        <v>0.81413400000000002</v>
      </c>
    </row>
    <row r="947" spans="5:6">
      <c r="E947" s="1">
        <v>9420</v>
      </c>
      <c r="F947" s="1">
        <v>0.81198400000000004</v>
      </c>
    </row>
    <row r="948" spans="5:6">
      <c r="E948" s="1">
        <v>9430</v>
      </c>
      <c r="F948" s="1">
        <v>0.81111999999999995</v>
      </c>
    </row>
    <row r="949" spans="5:6">
      <c r="E949" s="1">
        <v>9440</v>
      </c>
      <c r="F949" s="1">
        <v>0.81578499999999998</v>
      </c>
    </row>
    <row r="950" spans="5:6">
      <c r="E950" s="1">
        <v>9450</v>
      </c>
      <c r="F950" s="1">
        <v>0.81197200000000003</v>
      </c>
    </row>
    <row r="951" spans="5:6">
      <c r="E951" s="1">
        <v>9460</v>
      </c>
      <c r="F951" s="1">
        <v>0.815882</v>
      </c>
    </row>
    <row r="952" spans="5:6">
      <c r="E952" s="1">
        <v>9470</v>
      </c>
      <c r="F952" s="1">
        <v>0.8145</v>
      </c>
    </row>
    <row r="953" spans="5:6">
      <c r="E953" s="1">
        <v>9480</v>
      </c>
      <c r="F953" s="1">
        <v>0.81380200000000003</v>
      </c>
    </row>
    <row r="954" spans="5:6">
      <c r="E954" s="1">
        <v>9490</v>
      </c>
      <c r="F954" s="1">
        <v>0.810562</v>
      </c>
    </row>
    <row r="955" spans="5:6">
      <c r="E955" s="1">
        <v>9500</v>
      </c>
      <c r="F955" s="1">
        <v>0.81403300000000001</v>
      </c>
    </row>
    <row r="956" spans="5:6">
      <c r="E956" s="1">
        <v>9510</v>
      </c>
      <c r="F956" s="1">
        <v>0.81562199999999996</v>
      </c>
    </row>
    <row r="957" spans="5:6">
      <c r="E957" s="1">
        <v>9520</v>
      </c>
      <c r="F957" s="1">
        <v>0.81306699999999998</v>
      </c>
    </row>
    <row r="958" spans="5:6">
      <c r="E958" s="1">
        <v>9530</v>
      </c>
      <c r="F958" s="1">
        <v>0.81730400000000003</v>
      </c>
    </row>
    <row r="959" spans="5:6">
      <c r="E959" s="1">
        <v>9540</v>
      </c>
      <c r="F959" s="1">
        <v>0.81206900000000004</v>
      </c>
    </row>
    <row r="960" spans="5:6">
      <c r="E960" s="1">
        <v>9550</v>
      </c>
      <c r="F960" s="1">
        <v>0.81524200000000002</v>
      </c>
    </row>
    <row r="961" spans="5:6">
      <c r="E961" s="1">
        <v>9560</v>
      </c>
      <c r="F961" s="1">
        <v>0.81892799999999999</v>
      </c>
    </row>
    <row r="962" spans="5:6">
      <c r="E962" s="1">
        <v>9570</v>
      </c>
      <c r="F962" s="1">
        <v>0.81971300000000002</v>
      </c>
    </row>
    <row r="963" spans="5:6">
      <c r="E963" s="1">
        <v>9580</v>
      </c>
      <c r="F963" s="1">
        <v>0.81831900000000002</v>
      </c>
    </row>
    <row r="964" spans="5:6">
      <c r="E964" s="1">
        <v>9590</v>
      </c>
      <c r="F964" s="1">
        <v>0.81914600000000004</v>
      </c>
    </row>
    <row r="965" spans="5:6">
      <c r="E965" s="1">
        <v>9600</v>
      </c>
      <c r="F965" s="1">
        <v>0.81838100000000003</v>
      </c>
    </row>
    <row r="966" spans="5:6">
      <c r="E966" s="1">
        <v>9610</v>
      </c>
      <c r="F966" s="1">
        <v>0.81528199999999995</v>
      </c>
    </row>
    <row r="967" spans="5:6">
      <c r="E967" s="1">
        <v>9620</v>
      </c>
      <c r="F967" s="1">
        <v>0.81415400000000004</v>
      </c>
    </row>
    <row r="968" spans="5:6">
      <c r="E968" s="1">
        <v>9630</v>
      </c>
      <c r="F968" s="1">
        <v>0.81578499999999998</v>
      </c>
    </row>
    <row r="969" spans="5:6">
      <c r="E969" s="1">
        <v>9640</v>
      </c>
      <c r="F969" s="1">
        <v>0.81440000000000001</v>
      </c>
    </row>
    <row r="970" spans="5:6">
      <c r="E970" s="1">
        <v>9650</v>
      </c>
      <c r="F970" s="1">
        <v>0.81625499999999995</v>
      </c>
    </row>
    <row r="971" spans="5:6">
      <c r="E971" s="1">
        <v>9660</v>
      </c>
      <c r="F971" s="1">
        <v>0.81514500000000001</v>
      </c>
    </row>
    <row r="972" spans="5:6">
      <c r="E972" s="1">
        <v>9670</v>
      </c>
      <c r="F972" s="1">
        <v>0.81720800000000005</v>
      </c>
    </row>
    <row r="973" spans="5:6">
      <c r="E973" s="1">
        <v>9680</v>
      </c>
      <c r="F973" s="1">
        <v>0.81390200000000001</v>
      </c>
    </row>
    <row r="974" spans="5:6">
      <c r="E974" s="1">
        <v>9690</v>
      </c>
      <c r="F974" s="1">
        <v>0.81814600000000004</v>
      </c>
    </row>
    <row r="975" spans="5:6">
      <c r="E975" s="1">
        <v>9700</v>
      </c>
      <c r="F975" s="1">
        <v>0.81448100000000001</v>
      </c>
    </row>
    <row r="976" spans="5:6">
      <c r="E976" s="1">
        <v>9710</v>
      </c>
      <c r="F976" s="1">
        <v>0.81301199999999996</v>
      </c>
    </row>
    <row r="977" spans="5:6">
      <c r="E977" s="1">
        <v>9720</v>
      </c>
      <c r="F977" s="1">
        <v>0.81707600000000002</v>
      </c>
    </row>
    <row r="978" spans="5:6">
      <c r="E978" s="1">
        <v>9730</v>
      </c>
      <c r="F978" s="1">
        <v>0.81910899999999998</v>
      </c>
    </row>
    <row r="979" spans="5:6">
      <c r="E979" s="1">
        <v>9740</v>
      </c>
      <c r="F979" s="1">
        <v>0.81112200000000001</v>
      </c>
    </row>
    <row r="980" spans="5:6">
      <c r="E980" s="1">
        <v>9750</v>
      </c>
      <c r="F980" s="1">
        <v>0.81521699999999997</v>
      </c>
    </row>
    <row r="981" spans="5:6">
      <c r="E981" s="1">
        <v>9760</v>
      </c>
      <c r="F981" s="1">
        <v>0.81517499999999998</v>
      </c>
    </row>
    <row r="982" spans="5:6">
      <c r="E982" s="1">
        <v>9770</v>
      </c>
      <c r="F982" s="1">
        <v>0.81196400000000002</v>
      </c>
    </row>
    <row r="983" spans="5:6">
      <c r="E983" s="1">
        <v>9780</v>
      </c>
      <c r="F983" s="1">
        <v>0.81666499999999997</v>
      </c>
    </row>
    <row r="984" spans="5:6">
      <c r="E984" s="1">
        <v>9790</v>
      </c>
      <c r="F984" s="1">
        <v>0.82008499999999995</v>
      </c>
    </row>
    <row r="985" spans="5:6">
      <c r="E985" s="1">
        <v>9800</v>
      </c>
      <c r="F985" s="1">
        <v>0.81877999999999995</v>
      </c>
    </row>
    <row r="986" spans="5:6">
      <c r="E986" s="1">
        <v>9810</v>
      </c>
      <c r="F986" s="1">
        <v>0.819326</v>
      </c>
    </row>
    <row r="987" spans="5:6">
      <c r="E987" s="1">
        <v>9820</v>
      </c>
      <c r="F987" s="1">
        <v>0.81483499999999998</v>
      </c>
    </row>
    <row r="988" spans="5:6">
      <c r="E988" s="1">
        <v>9830</v>
      </c>
      <c r="F988" s="1">
        <v>0.81379299999999999</v>
      </c>
    </row>
    <row r="989" spans="5:6">
      <c r="E989" s="1">
        <v>9840</v>
      </c>
      <c r="F989" s="1">
        <v>0.81818900000000006</v>
      </c>
    </row>
    <row r="990" spans="5:6">
      <c r="E990" s="1">
        <v>9850</v>
      </c>
      <c r="F990" s="1">
        <v>0.81544799999999995</v>
      </c>
    </row>
    <row r="991" spans="5:6">
      <c r="E991" s="1">
        <v>9860</v>
      </c>
      <c r="F991" s="1">
        <v>0.81329300000000004</v>
      </c>
    </row>
    <row r="992" spans="5:6">
      <c r="E992" s="1">
        <v>9870</v>
      </c>
      <c r="F992" s="1">
        <v>0.81666399999999995</v>
      </c>
    </row>
    <row r="993" spans="5:6">
      <c r="E993" s="1">
        <v>9880</v>
      </c>
      <c r="F993" s="1">
        <v>0.81083300000000003</v>
      </c>
    </row>
    <row r="994" spans="5:6">
      <c r="E994" s="1">
        <v>9890</v>
      </c>
      <c r="F994" s="1">
        <v>0.81340699999999999</v>
      </c>
    </row>
    <row r="995" spans="5:6">
      <c r="E995" s="1">
        <v>9900</v>
      </c>
      <c r="F995" s="1">
        <v>0.81288899999999997</v>
      </c>
    </row>
    <row r="996" spans="5:6">
      <c r="E996" s="1">
        <v>9910</v>
      </c>
      <c r="F996" s="1">
        <v>0.80995600000000001</v>
      </c>
    </row>
    <row r="997" spans="5:6">
      <c r="E997" s="1">
        <v>9920</v>
      </c>
      <c r="F997" s="1">
        <v>0.80696699999999999</v>
      </c>
    </row>
    <row r="998" spans="5:6">
      <c r="E998" s="1">
        <v>9930</v>
      </c>
      <c r="F998" s="1">
        <v>0.81064000000000003</v>
      </c>
    </row>
    <row r="999" spans="5:6">
      <c r="E999" s="1">
        <v>9940</v>
      </c>
      <c r="F999" s="1">
        <v>0.81003099999999995</v>
      </c>
    </row>
    <row r="1000" spans="5:6">
      <c r="E1000" s="1">
        <v>9950</v>
      </c>
      <c r="F1000" s="1">
        <v>0.81209900000000002</v>
      </c>
    </row>
    <row r="1001" spans="5:6">
      <c r="E1001" s="1">
        <v>9960</v>
      </c>
      <c r="F1001" s="1">
        <v>0.81165799999999999</v>
      </c>
    </row>
    <row r="1002" spans="5:6">
      <c r="E1002" s="1">
        <v>9970</v>
      </c>
      <c r="F1002" s="1">
        <v>0.809971</v>
      </c>
    </row>
    <row r="1003" spans="5:6">
      <c r="E1003" s="1">
        <v>9980</v>
      </c>
      <c r="F1003" s="1">
        <v>0.81281199999999998</v>
      </c>
    </row>
    <row r="1004" spans="5:6">
      <c r="E1004" s="1">
        <v>9990</v>
      </c>
      <c r="F1004" s="1">
        <v>0.81525700000000001</v>
      </c>
    </row>
    <row r="1005" spans="5:6">
      <c r="E1005" s="1">
        <v>10000</v>
      </c>
      <c r="F1005" s="1">
        <v>0.81419900000000001</v>
      </c>
    </row>
    <row r="1006" spans="5:6">
      <c r="E1006" s="1">
        <v>10010</v>
      </c>
      <c r="F1006" s="1">
        <v>0.81330499999999994</v>
      </c>
    </row>
    <row r="1007" spans="5:6">
      <c r="E1007" s="1">
        <v>10020</v>
      </c>
      <c r="F1007" s="1">
        <v>0.81212899999999999</v>
      </c>
    </row>
    <row r="1008" spans="5:6">
      <c r="E1008" s="1">
        <v>10030</v>
      </c>
      <c r="F1008" s="1">
        <v>0.81195099999999998</v>
      </c>
    </row>
    <row r="1009" spans="5:6">
      <c r="E1009" s="1">
        <v>10040</v>
      </c>
      <c r="F1009" s="1">
        <v>0.81276300000000001</v>
      </c>
    </row>
    <row r="1010" spans="5:6">
      <c r="E1010" s="1">
        <v>10050</v>
      </c>
      <c r="F1010" s="1">
        <v>0.81133699999999997</v>
      </c>
    </row>
    <row r="1011" spans="5:6">
      <c r="E1011" s="1">
        <v>10060</v>
      </c>
      <c r="F1011" s="1">
        <v>0.80875200000000003</v>
      </c>
    </row>
    <row r="1012" spans="5:6">
      <c r="E1012" s="1">
        <v>10070</v>
      </c>
      <c r="F1012" s="1">
        <v>0.80694200000000005</v>
      </c>
    </row>
    <row r="1013" spans="5:6">
      <c r="E1013" s="1">
        <v>10080</v>
      </c>
      <c r="F1013" s="1">
        <v>0.81256899999999999</v>
      </c>
    </row>
    <row r="1014" spans="5:6">
      <c r="E1014" s="1">
        <v>10090</v>
      </c>
      <c r="F1014" s="1">
        <v>0.81055600000000005</v>
      </c>
    </row>
    <row r="1015" spans="5:6">
      <c r="E1015" s="1">
        <v>10100</v>
      </c>
      <c r="F1015" s="1">
        <v>0.81303000000000003</v>
      </c>
    </row>
    <row r="1016" spans="5:6">
      <c r="E1016" s="1">
        <v>10110</v>
      </c>
      <c r="F1016" s="1">
        <v>0.81577599999999995</v>
      </c>
    </row>
    <row r="1017" spans="5:6">
      <c r="E1017" s="1">
        <v>10120</v>
      </c>
      <c r="F1017" s="1">
        <v>0.81313800000000003</v>
      </c>
    </row>
    <row r="1018" spans="5:6">
      <c r="E1018" s="1">
        <v>10130</v>
      </c>
      <c r="F1018" s="1">
        <v>0.81162199999999995</v>
      </c>
    </row>
    <row r="1019" spans="5:6">
      <c r="E1019" s="1">
        <v>10140</v>
      </c>
      <c r="F1019" s="1">
        <v>0.81460399999999999</v>
      </c>
    </row>
    <row r="1020" spans="5:6">
      <c r="E1020" s="1">
        <v>10150</v>
      </c>
      <c r="F1020" s="1">
        <v>0.813141</v>
      </c>
    </row>
    <row r="1021" spans="5:6">
      <c r="E1021" s="1">
        <v>10160</v>
      </c>
      <c r="F1021" s="1">
        <v>0.80917300000000003</v>
      </c>
    </row>
    <row r="1022" spans="5:6">
      <c r="E1022" s="1">
        <v>10170</v>
      </c>
      <c r="F1022" s="1">
        <v>0.810415</v>
      </c>
    </row>
    <row r="1023" spans="5:6">
      <c r="E1023" s="1">
        <v>10180</v>
      </c>
      <c r="F1023" s="1">
        <v>0.81270299999999995</v>
      </c>
    </row>
    <row r="1024" spans="5:6">
      <c r="E1024" s="1">
        <v>10190</v>
      </c>
      <c r="F1024" s="1">
        <v>0.81310400000000005</v>
      </c>
    </row>
    <row r="1025" spans="5:6">
      <c r="E1025" s="1">
        <v>10200</v>
      </c>
      <c r="F1025" s="1">
        <v>0.81431399999999998</v>
      </c>
    </row>
    <row r="1026" spans="5:6">
      <c r="E1026" s="1">
        <v>10210</v>
      </c>
      <c r="F1026" s="1">
        <v>0.81537999999999999</v>
      </c>
    </row>
    <row r="1027" spans="5:6">
      <c r="E1027" s="1">
        <v>10220</v>
      </c>
      <c r="F1027" s="1">
        <v>0.81786400000000004</v>
      </c>
    </row>
    <row r="1028" spans="5:6">
      <c r="E1028" s="1">
        <v>10230</v>
      </c>
      <c r="F1028" s="1">
        <v>0.82047099999999995</v>
      </c>
    </row>
    <row r="1029" spans="5:6">
      <c r="E1029" s="1">
        <v>10240</v>
      </c>
      <c r="F1029" s="1">
        <v>0.81367100000000003</v>
      </c>
    </row>
    <row r="1030" spans="5:6">
      <c r="E1030" s="1">
        <v>10250</v>
      </c>
      <c r="F1030" s="1">
        <v>0.81543200000000005</v>
      </c>
    </row>
    <row r="1031" spans="5:6">
      <c r="E1031" s="1">
        <v>10260</v>
      </c>
      <c r="F1031" s="1">
        <v>0.81606100000000004</v>
      </c>
    </row>
    <row r="1032" spans="5:6">
      <c r="E1032" s="1">
        <v>10270</v>
      </c>
      <c r="F1032" s="1">
        <v>0.81490300000000004</v>
      </c>
    </row>
    <row r="1033" spans="5:6">
      <c r="E1033" s="1">
        <v>10280</v>
      </c>
      <c r="F1033" s="1">
        <v>0.81189699999999998</v>
      </c>
    </row>
    <row r="1034" spans="5:6">
      <c r="E1034" s="1">
        <v>10290</v>
      </c>
      <c r="F1034" s="1">
        <v>0.81005099999999997</v>
      </c>
    </row>
    <row r="1035" spans="5:6">
      <c r="E1035" s="1">
        <v>10300</v>
      </c>
      <c r="F1035" s="1">
        <v>0.81222099999999997</v>
      </c>
    </row>
    <row r="1036" spans="5:6">
      <c r="E1036" s="1">
        <v>10310</v>
      </c>
      <c r="F1036" s="1">
        <v>0.80834300000000003</v>
      </c>
    </row>
    <row r="1037" spans="5:6">
      <c r="E1037" s="1">
        <v>10320</v>
      </c>
      <c r="F1037" s="1">
        <v>0.81019099999999999</v>
      </c>
    </row>
    <row r="1038" spans="5:6">
      <c r="E1038" s="1">
        <v>10330</v>
      </c>
      <c r="F1038" s="1">
        <v>0.81045999999999996</v>
      </c>
    </row>
    <row r="1039" spans="5:6">
      <c r="E1039" s="1">
        <v>10340</v>
      </c>
      <c r="F1039" s="1">
        <v>0.808836</v>
      </c>
    </row>
    <row r="1040" spans="5:6">
      <c r="E1040" s="1">
        <v>10350</v>
      </c>
      <c r="F1040" s="1">
        <v>0.81002799999999997</v>
      </c>
    </row>
    <row r="1041" spans="5:6">
      <c r="E1041" s="1">
        <v>10360</v>
      </c>
      <c r="F1041" s="1">
        <v>0.811917</v>
      </c>
    </row>
    <row r="1042" spans="5:6">
      <c r="E1042" s="1">
        <v>10370</v>
      </c>
      <c r="F1042" s="1">
        <v>0.80692900000000001</v>
      </c>
    </row>
    <row r="1043" spans="5:6">
      <c r="E1043" s="1">
        <v>10380</v>
      </c>
      <c r="F1043" s="1">
        <v>0.80812499999999998</v>
      </c>
    </row>
    <row r="1044" spans="5:6">
      <c r="E1044" s="1">
        <v>10390</v>
      </c>
      <c r="F1044" s="1">
        <v>0.80929799999999996</v>
      </c>
    </row>
    <row r="1045" spans="5:6">
      <c r="E1045" s="1">
        <v>10400</v>
      </c>
      <c r="F1045" s="1">
        <v>0.80859000000000003</v>
      </c>
    </row>
    <row r="1046" spans="5:6">
      <c r="E1046" s="1">
        <v>10410</v>
      </c>
      <c r="F1046" s="1">
        <v>0.81060900000000002</v>
      </c>
    </row>
    <row r="1047" spans="5:6">
      <c r="E1047" s="1">
        <v>10420</v>
      </c>
      <c r="F1047" s="1">
        <v>0.80820199999999998</v>
      </c>
    </row>
    <row r="1048" spans="5:6">
      <c r="E1048" s="1">
        <v>10430</v>
      </c>
      <c r="F1048" s="1">
        <v>0.81533199999999995</v>
      </c>
    </row>
    <row r="1049" spans="5:6">
      <c r="E1049" s="1">
        <v>10440</v>
      </c>
      <c r="F1049" s="1">
        <v>0.81294299999999997</v>
      </c>
    </row>
    <row r="1050" spans="5:6">
      <c r="E1050" s="1">
        <v>10450</v>
      </c>
      <c r="F1050" s="1">
        <v>0.81516299999999997</v>
      </c>
    </row>
    <row r="1051" spans="5:6">
      <c r="E1051" s="1">
        <v>10460</v>
      </c>
      <c r="F1051" s="1">
        <v>0.81252100000000005</v>
      </c>
    </row>
    <row r="1052" spans="5:6">
      <c r="E1052" s="1">
        <v>10470</v>
      </c>
      <c r="F1052" s="1">
        <v>0.81012799999999996</v>
      </c>
    </row>
    <row r="1053" spans="5:6">
      <c r="E1053" s="1">
        <v>10480</v>
      </c>
      <c r="F1053" s="1">
        <v>0.81259899999999996</v>
      </c>
    </row>
    <row r="1054" spans="5:6">
      <c r="E1054" s="1">
        <v>10490</v>
      </c>
      <c r="F1054" s="1">
        <v>0.81002300000000005</v>
      </c>
    </row>
    <row r="1055" spans="5:6">
      <c r="E1055" s="1">
        <v>10500</v>
      </c>
      <c r="F1055" s="1">
        <v>0.80807499999999999</v>
      </c>
    </row>
    <row r="1056" spans="5:6">
      <c r="E1056" s="1">
        <v>10510</v>
      </c>
      <c r="F1056" s="1">
        <v>0.80478799999999995</v>
      </c>
    </row>
    <row r="1057" spans="5:6">
      <c r="E1057" s="1">
        <v>10520</v>
      </c>
      <c r="F1057" s="1">
        <v>0.80578000000000005</v>
      </c>
    </row>
    <row r="1058" spans="5:6">
      <c r="E1058" s="1">
        <v>10530</v>
      </c>
      <c r="F1058" s="1">
        <v>0.80505700000000002</v>
      </c>
    </row>
    <row r="1059" spans="5:6">
      <c r="E1059" s="1">
        <v>10540</v>
      </c>
      <c r="F1059" s="1">
        <v>0.80430699999999999</v>
      </c>
    </row>
    <row r="1060" spans="5:6">
      <c r="E1060" s="1">
        <v>10550</v>
      </c>
      <c r="F1060" s="1">
        <v>0.80803800000000003</v>
      </c>
    </row>
    <row r="1061" spans="5:6">
      <c r="E1061" s="1">
        <v>10560</v>
      </c>
      <c r="F1061" s="1">
        <v>0.80844000000000005</v>
      </c>
    </row>
    <row r="1062" spans="5:6">
      <c r="E1062" s="1">
        <v>10570</v>
      </c>
      <c r="F1062" s="1">
        <v>0.80764599999999998</v>
      </c>
    </row>
    <row r="1063" spans="5:6">
      <c r="E1063" s="1">
        <v>10580</v>
      </c>
      <c r="F1063" s="1">
        <v>0.80986899999999995</v>
      </c>
    </row>
    <row r="1064" spans="5:6">
      <c r="E1064" s="1">
        <v>10590</v>
      </c>
      <c r="F1064" s="1">
        <v>0.80513599999999996</v>
      </c>
    </row>
    <row r="1065" spans="5:6">
      <c r="E1065" s="1">
        <v>10600</v>
      </c>
      <c r="F1065" s="1">
        <v>0.80875600000000003</v>
      </c>
    </row>
    <row r="1066" spans="5:6">
      <c r="E1066" s="1">
        <v>10610</v>
      </c>
      <c r="F1066" s="1">
        <v>0.80558099999999999</v>
      </c>
    </row>
    <row r="1067" spans="5:6">
      <c r="E1067" s="1">
        <v>10620</v>
      </c>
      <c r="F1067" s="1">
        <v>0.80477900000000002</v>
      </c>
    </row>
    <row r="1068" spans="5:6">
      <c r="E1068" s="1">
        <v>10630</v>
      </c>
      <c r="F1068" s="1">
        <v>0.80862599999999996</v>
      </c>
    </row>
    <row r="1069" spans="5:6">
      <c r="E1069" s="1">
        <v>10640</v>
      </c>
      <c r="F1069" s="1">
        <v>0.80581100000000006</v>
      </c>
    </row>
    <row r="1070" spans="5:6">
      <c r="E1070" s="1">
        <v>10650</v>
      </c>
      <c r="F1070" s="1">
        <v>0.804647</v>
      </c>
    </row>
    <row r="1071" spans="5:6">
      <c r="E1071" s="1">
        <v>10660</v>
      </c>
      <c r="F1071" s="1">
        <v>0.80320499999999995</v>
      </c>
    </row>
    <row r="1072" spans="5:6">
      <c r="E1072" s="1">
        <v>10670</v>
      </c>
      <c r="F1072" s="1">
        <v>0.80591199999999996</v>
      </c>
    </row>
    <row r="1073" spans="5:6">
      <c r="E1073" s="1">
        <v>10680</v>
      </c>
      <c r="F1073" s="1">
        <v>0.80573499999999998</v>
      </c>
    </row>
    <row r="1074" spans="5:6">
      <c r="E1074" s="1">
        <v>10690</v>
      </c>
      <c r="F1074" s="1">
        <v>0.80479299999999998</v>
      </c>
    </row>
    <row r="1075" spans="5:6">
      <c r="E1075" s="1">
        <v>10700</v>
      </c>
      <c r="F1075" s="1">
        <v>0.80753399999999997</v>
      </c>
    </row>
    <row r="1076" spans="5:6">
      <c r="E1076" s="1">
        <v>10710</v>
      </c>
      <c r="F1076" s="1">
        <v>0.80722700000000003</v>
      </c>
    </row>
    <row r="1077" spans="5:6">
      <c r="E1077" s="1">
        <v>10720</v>
      </c>
      <c r="F1077" s="1">
        <v>0.80333399999999999</v>
      </c>
    </row>
    <row r="1078" spans="5:6">
      <c r="E1078" s="1">
        <v>10730</v>
      </c>
      <c r="F1078" s="1">
        <v>0.80469800000000002</v>
      </c>
    </row>
    <row r="1079" spans="5:6">
      <c r="E1079" s="1">
        <v>10740</v>
      </c>
      <c r="F1079" s="1">
        <v>0.80805099999999996</v>
      </c>
    </row>
    <row r="1080" spans="5:6">
      <c r="E1080" s="1">
        <v>10750</v>
      </c>
      <c r="F1080" s="1">
        <v>0.807361</v>
      </c>
    </row>
    <row r="1081" spans="5:6">
      <c r="E1081" s="1">
        <v>10760</v>
      </c>
      <c r="F1081" s="1">
        <v>0.81091199999999997</v>
      </c>
    </row>
    <row r="1082" spans="5:6">
      <c r="E1082" s="1">
        <v>10770</v>
      </c>
      <c r="F1082" s="1">
        <v>0.80840199999999995</v>
      </c>
    </row>
    <row r="1083" spans="5:6">
      <c r="E1083" s="1">
        <v>10780</v>
      </c>
      <c r="F1083" s="1">
        <v>0.80829799999999996</v>
      </c>
    </row>
    <row r="1084" spans="5:6">
      <c r="E1084" s="1">
        <v>10790</v>
      </c>
      <c r="F1084" s="1">
        <v>0.80691500000000005</v>
      </c>
    </row>
    <row r="1085" spans="5:6">
      <c r="E1085" s="1">
        <v>10800</v>
      </c>
      <c r="F1085" s="1">
        <v>0.809473</v>
      </c>
    </row>
    <row r="1086" spans="5:6">
      <c r="E1086" s="1">
        <v>10810</v>
      </c>
      <c r="F1086" s="1">
        <v>0.80498899999999995</v>
      </c>
    </row>
    <row r="1087" spans="5:6">
      <c r="E1087" s="1">
        <v>10820</v>
      </c>
      <c r="F1087" s="1">
        <v>0.80345800000000001</v>
      </c>
    </row>
    <row r="1088" spans="5:6">
      <c r="E1088" s="1">
        <v>10830</v>
      </c>
      <c r="F1088" s="1">
        <v>0.804925</v>
      </c>
    </row>
    <row r="1089" spans="5:6">
      <c r="E1089" s="1">
        <v>10840</v>
      </c>
      <c r="F1089" s="1">
        <v>0.80492799999999998</v>
      </c>
    </row>
    <row r="1090" spans="5:6">
      <c r="E1090" s="1">
        <v>10850</v>
      </c>
      <c r="F1090" s="1">
        <v>0.80763700000000005</v>
      </c>
    </row>
    <row r="1091" spans="5:6">
      <c r="E1091" s="1">
        <v>10860</v>
      </c>
      <c r="F1091" s="1">
        <v>0.81168700000000005</v>
      </c>
    </row>
    <row r="1092" spans="5:6">
      <c r="E1092" s="1">
        <v>10870</v>
      </c>
      <c r="F1092" s="1">
        <v>0.81024700000000005</v>
      </c>
    </row>
    <row r="1093" spans="5:6">
      <c r="E1093" s="1">
        <v>10880</v>
      </c>
      <c r="F1093" s="1">
        <v>0.80817099999999997</v>
      </c>
    </row>
    <row r="1094" spans="5:6">
      <c r="E1094" s="1">
        <v>10890</v>
      </c>
      <c r="F1094" s="1">
        <v>0.815446</v>
      </c>
    </row>
    <row r="1095" spans="5:6">
      <c r="E1095" s="1">
        <v>10900</v>
      </c>
      <c r="F1095" s="1">
        <v>0.80825599999999997</v>
      </c>
    </row>
    <row r="1096" spans="5:6">
      <c r="E1096" s="1">
        <v>10910</v>
      </c>
      <c r="F1096" s="1">
        <v>0.81088099999999996</v>
      </c>
    </row>
    <row r="1097" spans="5:6">
      <c r="E1097" s="1">
        <v>10920</v>
      </c>
      <c r="F1097" s="1">
        <v>0.80667999999999995</v>
      </c>
    </row>
    <row r="1098" spans="5:6">
      <c r="E1098" s="1">
        <v>10930</v>
      </c>
      <c r="F1098" s="1">
        <v>0.81029899999999999</v>
      </c>
    </row>
    <row r="1099" spans="5:6">
      <c r="E1099" s="1">
        <v>10940</v>
      </c>
      <c r="F1099" s="1">
        <v>0.80818000000000001</v>
      </c>
    </row>
    <row r="1100" spans="5:6">
      <c r="E1100" s="1">
        <v>10950</v>
      </c>
      <c r="F1100" s="1">
        <v>0.80646600000000002</v>
      </c>
    </row>
    <row r="1101" spans="5:6">
      <c r="E1101" s="1">
        <v>10960</v>
      </c>
      <c r="F1101" s="1">
        <v>0.80760399999999999</v>
      </c>
    </row>
    <row r="1102" spans="5:6">
      <c r="E1102" s="1">
        <v>10970</v>
      </c>
      <c r="F1102" s="1">
        <v>0.80712200000000001</v>
      </c>
    </row>
    <row r="1103" spans="5:6">
      <c r="E1103" s="1">
        <v>10980</v>
      </c>
      <c r="F1103" s="1">
        <v>0.80841200000000002</v>
      </c>
    </row>
    <row r="1104" spans="5:6">
      <c r="E1104" s="1">
        <v>10990</v>
      </c>
      <c r="F1104" s="1">
        <v>0.80682299999999996</v>
      </c>
    </row>
    <row r="1105" spans="5:6">
      <c r="E1105" s="1">
        <v>11000</v>
      </c>
      <c r="F1105" s="1">
        <v>0.80793899999999996</v>
      </c>
    </row>
    <row r="1106" spans="5:6">
      <c r="E1106" s="1">
        <v>11010</v>
      </c>
      <c r="F1106" s="1">
        <v>0.80609900000000001</v>
      </c>
    </row>
    <row r="1107" spans="5:6">
      <c r="E1107" s="1">
        <v>11020</v>
      </c>
      <c r="F1107" s="1">
        <v>0.802311</v>
      </c>
    </row>
    <row r="1108" spans="5:6">
      <c r="E1108" s="1">
        <v>11030</v>
      </c>
      <c r="F1108" s="1">
        <v>0.80529300000000004</v>
      </c>
    </row>
    <row r="1109" spans="5:6">
      <c r="E1109" s="1">
        <v>11040</v>
      </c>
      <c r="F1109" s="1">
        <v>0.80451099999999998</v>
      </c>
    </row>
    <row r="1110" spans="5:6">
      <c r="E1110" s="1">
        <v>11050</v>
      </c>
      <c r="F1110" s="1">
        <v>0.80467599999999995</v>
      </c>
    </row>
    <row r="1111" spans="5:6">
      <c r="E1111" s="1">
        <v>11060</v>
      </c>
      <c r="F1111" s="1">
        <v>0.80559700000000001</v>
      </c>
    </row>
    <row r="1112" spans="5:6">
      <c r="E1112" s="1">
        <v>11070</v>
      </c>
      <c r="F1112" s="1">
        <v>0.80806299999999998</v>
      </c>
    </row>
    <row r="1113" spans="5:6">
      <c r="E1113" s="1">
        <v>11080</v>
      </c>
      <c r="F1113" s="1">
        <v>0.80688400000000005</v>
      </c>
    </row>
    <row r="1114" spans="5:6">
      <c r="E1114" s="1">
        <v>11090</v>
      </c>
      <c r="F1114" s="1">
        <v>0.80743699999999996</v>
      </c>
    </row>
    <row r="1115" spans="5:6">
      <c r="E1115" s="1">
        <v>11100</v>
      </c>
      <c r="F1115" s="1">
        <v>0.804172</v>
      </c>
    </row>
    <row r="1116" spans="5:6">
      <c r="E1116" s="1">
        <v>11110</v>
      </c>
      <c r="F1116" s="1">
        <v>0.805925</v>
      </c>
    </row>
    <row r="1117" spans="5:6">
      <c r="E1117" s="1">
        <v>11120</v>
      </c>
      <c r="F1117" s="1">
        <v>0.80890799999999996</v>
      </c>
    </row>
    <row r="1118" spans="5:6">
      <c r="E1118" s="1">
        <v>11130</v>
      </c>
      <c r="F1118" s="1">
        <v>0.80747400000000003</v>
      </c>
    </row>
    <row r="1119" spans="5:6">
      <c r="E1119" s="1">
        <v>11140</v>
      </c>
      <c r="F1119" s="1">
        <v>0.80683899999999997</v>
      </c>
    </row>
    <row r="1120" spans="5:6">
      <c r="E1120" s="1">
        <v>11150</v>
      </c>
      <c r="F1120" s="1">
        <v>0.80288599999999999</v>
      </c>
    </row>
    <row r="1121" spans="5:6">
      <c r="E1121" s="1">
        <v>11160</v>
      </c>
      <c r="F1121" s="1">
        <v>0.80424099999999998</v>
      </c>
    </row>
    <row r="1122" spans="5:6">
      <c r="E1122" s="1">
        <v>11170</v>
      </c>
      <c r="F1122" s="1">
        <v>0.809446</v>
      </c>
    </row>
    <row r="1123" spans="5:6">
      <c r="E1123" s="1">
        <v>11180</v>
      </c>
      <c r="F1123" s="1">
        <v>0.80815099999999995</v>
      </c>
    </row>
    <row r="1124" spans="5:6">
      <c r="E1124" s="1">
        <v>11190</v>
      </c>
      <c r="F1124" s="1">
        <v>0.80825000000000002</v>
      </c>
    </row>
    <row r="1125" spans="5:6">
      <c r="E1125" s="1">
        <v>11200</v>
      </c>
      <c r="F1125" s="1">
        <v>0.80966199999999999</v>
      </c>
    </row>
    <row r="1126" spans="5:6">
      <c r="E1126" s="1">
        <v>11210</v>
      </c>
      <c r="F1126" s="1">
        <v>0.80570799999999998</v>
      </c>
    </row>
    <row r="1127" spans="5:6">
      <c r="E1127" s="1">
        <v>11220</v>
      </c>
      <c r="F1127" s="1">
        <v>0.80437499999999995</v>
      </c>
    </row>
    <row r="1128" spans="5:6">
      <c r="E1128" s="1">
        <v>11230</v>
      </c>
      <c r="F1128" s="1">
        <v>0.80627899999999997</v>
      </c>
    </row>
    <row r="1129" spans="5:6">
      <c r="E1129" s="1">
        <v>11240</v>
      </c>
      <c r="F1129" s="1">
        <v>0.80794100000000002</v>
      </c>
    </row>
    <row r="1130" spans="5:6">
      <c r="E1130" s="1">
        <v>11250</v>
      </c>
      <c r="F1130" s="1">
        <v>0.80629600000000001</v>
      </c>
    </row>
    <row r="1131" spans="5:6">
      <c r="E1131" s="1">
        <v>11260</v>
      </c>
      <c r="F1131" s="1">
        <v>0.80563899999999999</v>
      </c>
    </row>
    <row r="1132" spans="5:6">
      <c r="E1132" s="1">
        <v>11270</v>
      </c>
      <c r="F1132" s="1">
        <v>0.80926500000000001</v>
      </c>
    </row>
    <row r="1133" spans="5:6">
      <c r="E1133" s="1">
        <v>11280</v>
      </c>
      <c r="F1133" s="1">
        <v>0.80653600000000003</v>
      </c>
    </row>
    <row r="1134" spans="5:6">
      <c r="E1134" s="1">
        <v>11290</v>
      </c>
      <c r="F1134" s="1">
        <v>0.80798599999999998</v>
      </c>
    </row>
    <row r="1135" spans="5:6">
      <c r="E1135" s="1">
        <v>11300</v>
      </c>
      <c r="F1135" s="1">
        <v>0.80968899999999999</v>
      </c>
    </row>
    <row r="1136" spans="5:6">
      <c r="E1136" s="1">
        <v>11310</v>
      </c>
      <c r="F1136" s="1">
        <v>0.80879500000000004</v>
      </c>
    </row>
    <row r="1137" spans="5:6">
      <c r="E1137" s="1">
        <v>11320</v>
      </c>
      <c r="F1137" s="1">
        <v>0.80694699999999997</v>
      </c>
    </row>
    <row r="1138" spans="5:6">
      <c r="E1138" s="1">
        <v>11330</v>
      </c>
      <c r="F1138" s="1">
        <v>0.807199</v>
      </c>
    </row>
    <row r="1139" spans="5:6">
      <c r="E1139" s="1">
        <v>11340</v>
      </c>
      <c r="F1139" s="1">
        <v>0.81169400000000003</v>
      </c>
    </row>
    <row r="1140" spans="5:6">
      <c r="E1140" s="1">
        <v>11350</v>
      </c>
      <c r="F1140" s="1">
        <v>0.80989500000000003</v>
      </c>
    </row>
    <row r="1141" spans="5:6">
      <c r="E1141" s="1">
        <v>11360</v>
      </c>
      <c r="F1141" s="1">
        <v>0.808558</v>
      </c>
    </row>
    <row r="1142" spans="5:6">
      <c r="E1142" s="1">
        <v>11370</v>
      </c>
      <c r="F1142" s="1">
        <v>0.81201299999999998</v>
      </c>
    </row>
    <row r="1143" spans="5:6">
      <c r="E1143" s="1">
        <v>11380</v>
      </c>
      <c r="F1143" s="1">
        <v>0.81089299999999997</v>
      </c>
    </row>
    <row r="1144" spans="5:6">
      <c r="E1144" s="1">
        <v>11390</v>
      </c>
      <c r="F1144" s="1">
        <v>0.81237300000000001</v>
      </c>
    </row>
    <row r="1145" spans="5:6">
      <c r="E1145" s="1">
        <v>11400</v>
      </c>
      <c r="F1145" s="1">
        <v>0.81193400000000004</v>
      </c>
    </row>
    <row r="1146" spans="5:6">
      <c r="E1146" s="1">
        <v>11410</v>
      </c>
      <c r="F1146" s="1">
        <v>0.81329099999999999</v>
      </c>
    </row>
    <row r="1147" spans="5:6">
      <c r="E1147" s="1">
        <v>11420</v>
      </c>
      <c r="F1147" s="1">
        <v>0.81117600000000001</v>
      </c>
    </row>
    <row r="1148" spans="5:6">
      <c r="E1148" s="1">
        <v>11430</v>
      </c>
      <c r="F1148" s="1">
        <v>0.81208100000000005</v>
      </c>
    </row>
    <row r="1149" spans="5:6">
      <c r="E1149" s="1">
        <v>11440</v>
      </c>
      <c r="F1149" s="1">
        <v>0.810608</v>
      </c>
    </row>
    <row r="1150" spans="5:6">
      <c r="E1150" s="1">
        <v>11450</v>
      </c>
      <c r="F1150" s="1">
        <v>0.80699699999999996</v>
      </c>
    </row>
    <row r="1151" spans="5:6">
      <c r="E1151" s="1">
        <v>11460</v>
      </c>
      <c r="F1151" s="1">
        <v>0.81030100000000005</v>
      </c>
    </row>
    <row r="1152" spans="5:6">
      <c r="E1152" s="1">
        <v>11470</v>
      </c>
      <c r="F1152" s="1">
        <v>0.81292799999999998</v>
      </c>
    </row>
    <row r="1153" spans="5:6">
      <c r="E1153" s="1">
        <v>11480</v>
      </c>
      <c r="F1153" s="1">
        <v>0.80899699999999997</v>
      </c>
    </row>
    <row r="1154" spans="5:6">
      <c r="E1154" s="1">
        <v>11490</v>
      </c>
      <c r="F1154" s="1">
        <v>0.81083099999999997</v>
      </c>
    </row>
    <row r="1155" spans="5:6">
      <c r="E1155" s="1">
        <v>11500</v>
      </c>
      <c r="F1155" s="1">
        <v>0.80986800000000003</v>
      </c>
    </row>
    <row r="1156" spans="5:6">
      <c r="E1156" s="1">
        <v>11510</v>
      </c>
      <c r="F1156" s="1">
        <v>0.80949599999999999</v>
      </c>
    </row>
    <row r="1157" spans="5:6">
      <c r="E1157" s="1">
        <v>11520</v>
      </c>
      <c r="F1157" s="1">
        <v>0.81501400000000002</v>
      </c>
    </row>
    <row r="1158" spans="5:6">
      <c r="E1158" s="1">
        <v>11530</v>
      </c>
      <c r="F1158" s="1">
        <v>0.81603999999999999</v>
      </c>
    </row>
    <row r="1159" spans="5:6">
      <c r="E1159" s="1">
        <v>11540</v>
      </c>
      <c r="F1159" s="1">
        <v>0.812917</v>
      </c>
    </row>
    <row r="1160" spans="5:6">
      <c r="E1160" s="1">
        <v>11550</v>
      </c>
      <c r="F1160" s="1">
        <v>0.81067</v>
      </c>
    </row>
    <row r="1161" spans="5:6">
      <c r="E1161" s="1">
        <v>11560</v>
      </c>
      <c r="F1161" s="1">
        <v>0.81070799999999998</v>
      </c>
    </row>
    <row r="1162" spans="5:6">
      <c r="E1162" s="1">
        <v>11570</v>
      </c>
      <c r="F1162" s="1">
        <v>0.81369599999999997</v>
      </c>
    </row>
    <row r="1163" spans="5:6">
      <c r="E1163" s="1">
        <v>11580</v>
      </c>
      <c r="F1163" s="1">
        <v>0.81051600000000001</v>
      </c>
    </row>
    <row r="1164" spans="5:6">
      <c r="E1164" s="1">
        <v>11590</v>
      </c>
      <c r="F1164" s="1">
        <v>0.80724499999999999</v>
      </c>
    </row>
    <row r="1165" spans="5:6">
      <c r="E1165" s="1">
        <v>11600</v>
      </c>
      <c r="F1165" s="1">
        <v>0.81021299999999996</v>
      </c>
    </row>
    <row r="1166" spans="5:6">
      <c r="E1166" s="1">
        <v>11610</v>
      </c>
      <c r="F1166" s="1">
        <v>0.81221299999999996</v>
      </c>
    </row>
    <row r="1167" spans="5:6">
      <c r="E1167" s="1">
        <v>11620</v>
      </c>
      <c r="F1167" s="1">
        <v>0.81304399999999999</v>
      </c>
    </row>
    <row r="1168" spans="5:6">
      <c r="E1168" s="1">
        <v>11630</v>
      </c>
      <c r="F1168" s="1">
        <v>0.81123000000000001</v>
      </c>
    </row>
    <row r="1169" spans="5:6">
      <c r="E1169" s="1">
        <v>11640</v>
      </c>
      <c r="F1169" s="1">
        <v>0.80973499999999998</v>
      </c>
    </row>
    <row r="1170" spans="5:6">
      <c r="E1170" s="1">
        <v>11650</v>
      </c>
      <c r="F1170" s="1">
        <v>0.81071300000000002</v>
      </c>
    </row>
    <row r="1171" spans="5:6">
      <c r="E1171" s="1">
        <v>11660</v>
      </c>
      <c r="F1171" s="1">
        <v>0.81303999999999998</v>
      </c>
    </row>
    <row r="1172" spans="5:6">
      <c r="E1172" s="1">
        <v>11670</v>
      </c>
      <c r="F1172" s="1">
        <v>0.81478200000000001</v>
      </c>
    </row>
    <row r="1173" spans="5:6">
      <c r="E1173" s="1">
        <v>11680</v>
      </c>
      <c r="F1173" s="1">
        <v>0.80800000000000005</v>
      </c>
    </row>
    <row r="1174" spans="5:6">
      <c r="E1174" s="1">
        <v>11690</v>
      </c>
      <c r="F1174" s="1">
        <v>0.81268700000000005</v>
      </c>
    </row>
    <row r="1175" spans="5:6">
      <c r="E1175" s="1">
        <v>11700</v>
      </c>
      <c r="F1175" s="1">
        <v>0.80947999999999998</v>
      </c>
    </row>
    <row r="1176" spans="5:6">
      <c r="E1176" s="1">
        <v>11710</v>
      </c>
      <c r="F1176" s="1">
        <v>0.81314399999999998</v>
      </c>
    </row>
    <row r="1177" spans="5:6">
      <c r="E1177" s="1">
        <v>11720</v>
      </c>
      <c r="F1177" s="1">
        <v>0.80964499999999995</v>
      </c>
    </row>
    <row r="1178" spans="5:6">
      <c r="E1178" s="1">
        <v>11730</v>
      </c>
      <c r="F1178" s="1">
        <v>0.80676700000000001</v>
      </c>
    </row>
    <row r="1179" spans="5:6">
      <c r="E1179" s="1">
        <v>11740</v>
      </c>
      <c r="F1179" s="1">
        <v>0.81013199999999996</v>
      </c>
    </row>
    <row r="1180" spans="5:6">
      <c r="E1180" s="1">
        <v>11750</v>
      </c>
      <c r="F1180" s="1">
        <v>0.81003000000000003</v>
      </c>
    </row>
    <row r="1181" spans="5:6">
      <c r="E1181" s="1">
        <v>11760</v>
      </c>
      <c r="F1181" s="1">
        <v>0.81220400000000004</v>
      </c>
    </row>
    <row r="1182" spans="5:6">
      <c r="E1182" s="1">
        <v>11770</v>
      </c>
      <c r="F1182" s="1">
        <v>0.81502300000000005</v>
      </c>
    </row>
    <row r="1183" spans="5:6">
      <c r="E1183" s="1">
        <v>11780</v>
      </c>
      <c r="F1183" s="1">
        <v>0.81088099999999996</v>
      </c>
    </row>
    <row r="1184" spans="5:6">
      <c r="E1184" s="1">
        <v>11790</v>
      </c>
      <c r="F1184" s="1">
        <v>0.81242099999999995</v>
      </c>
    </row>
    <row r="1185" spans="5:6">
      <c r="E1185" s="1">
        <v>11800</v>
      </c>
      <c r="F1185" s="1">
        <v>0.81539200000000001</v>
      </c>
    </row>
    <row r="1186" spans="5:6">
      <c r="E1186" s="1">
        <v>11810</v>
      </c>
      <c r="F1186" s="1">
        <v>0.81140400000000001</v>
      </c>
    </row>
    <row r="1187" spans="5:6">
      <c r="E1187" s="1">
        <v>11820</v>
      </c>
      <c r="F1187" s="1">
        <v>0.80965500000000001</v>
      </c>
    </row>
    <row r="1188" spans="5:6">
      <c r="E1188" s="1">
        <v>11830</v>
      </c>
      <c r="F1188" s="1">
        <v>0.81015400000000004</v>
      </c>
    </row>
    <row r="1189" spans="5:6">
      <c r="E1189" s="1">
        <v>11840</v>
      </c>
      <c r="F1189" s="1">
        <v>0.80869500000000005</v>
      </c>
    </row>
    <row r="1190" spans="5:6">
      <c r="E1190" s="1">
        <v>11850</v>
      </c>
      <c r="F1190" s="1">
        <v>0.81153699999999995</v>
      </c>
    </row>
    <row r="1191" spans="5:6">
      <c r="E1191" s="1">
        <v>11860</v>
      </c>
      <c r="F1191" s="1">
        <v>0.81665399999999999</v>
      </c>
    </row>
    <row r="1192" spans="5:6">
      <c r="E1192" s="1">
        <v>11870</v>
      </c>
      <c r="F1192" s="1">
        <v>0.81832199999999999</v>
      </c>
    </row>
    <row r="1193" spans="5:6">
      <c r="E1193" s="1">
        <v>11880</v>
      </c>
      <c r="F1193" s="1">
        <v>0.81170500000000001</v>
      </c>
    </row>
    <row r="1194" spans="5:6">
      <c r="E1194" s="1">
        <v>11890</v>
      </c>
      <c r="F1194" s="1">
        <v>0.80929099999999998</v>
      </c>
    </row>
    <row r="1195" spans="5:6">
      <c r="E1195" s="1">
        <v>11900</v>
      </c>
      <c r="F1195" s="1">
        <v>0.80891599999999997</v>
      </c>
    </row>
    <row r="1196" spans="5:6">
      <c r="E1196" s="1">
        <v>11910</v>
      </c>
      <c r="F1196" s="1">
        <v>0.80923599999999996</v>
      </c>
    </row>
    <row r="1197" spans="5:6">
      <c r="E1197" s="1">
        <v>11920</v>
      </c>
      <c r="F1197" s="1">
        <v>0.80863799999999997</v>
      </c>
    </row>
    <row r="1198" spans="5:6">
      <c r="E1198" s="1">
        <v>11930</v>
      </c>
      <c r="F1198" s="1">
        <v>0.80721100000000001</v>
      </c>
    </row>
    <row r="1199" spans="5:6">
      <c r="E1199" s="1">
        <v>11940</v>
      </c>
      <c r="F1199" s="1">
        <v>0.80550299999999997</v>
      </c>
    </row>
    <row r="1200" spans="5:6">
      <c r="E1200" s="1">
        <v>11950</v>
      </c>
      <c r="F1200" s="1">
        <v>0.80308000000000002</v>
      </c>
    </row>
    <row r="1201" spans="5:6">
      <c r="E1201" s="1">
        <v>11960</v>
      </c>
      <c r="F1201" s="1">
        <v>0.80322099999999996</v>
      </c>
    </row>
    <row r="1202" spans="5:6">
      <c r="E1202" s="1">
        <v>11970</v>
      </c>
      <c r="F1202" s="1">
        <v>0.81062199999999995</v>
      </c>
    </row>
    <row r="1203" spans="5:6">
      <c r="E1203" s="1">
        <v>11980</v>
      </c>
      <c r="F1203" s="1">
        <v>0.80920199999999998</v>
      </c>
    </row>
    <row r="1204" spans="5:6">
      <c r="E1204" s="1">
        <v>11990</v>
      </c>
      <c r="F1204" s="1">
        <v>0.80536700000000006</v>
      </c>
    </row>
    <row r="1205" spans="5:6">
      <c r="E1205" s="1">
        <v>12000</v>
      </c>
      <c r="F1205" s="1">
        <v>0.80467500000000003</v>
      </c>
    </row>
    <row r="1206" spans="5:6">
      <c r="E1206" s="1">
        <v>12010</v>
      </c>
      <c r="F1206" s="1">
        <v>0.80424300000000004</v>
      </c>
    </row>
    <row r="1207" spans="5:6">
      <c r="E1207" s="1">
        <v>12020</v>
      </c>
      <c r="F1207" s="1">
        <v>0.80810400000000004</v>
      </c>
    </row>
    <row r="1208" spans="5:6">
      <c r="E1208" s="1">
        <v>12030</v>
      </c>
      <c r="F1208" s="1">
        <v>0.80608400000000002</v>
      </c>
    </row>
    <row r="1209" spans="5:6">
      <c r="E1209" s="1">
        <v>12040</v>
      </c>
      <c r="F1209" s="1">
        <v>0.81259800000000004</v>
      </c>
    </row>
    <row r="1210" spans="5:6">
      <c r="E1210" s="1">
        <v>12050</v>
      </c>
      <c r="F1210" s="1">
        <v>0.81128299999999998</v>
      </c>
    </row>
    <row r="1211" spans="5:6">
      <c r="E1211" s="1">
        <v>12060</v>
      </c>
      <c r="F1211" s="1">
        <v>0.809338</v>
      </c>
    </row>
    <row r="1212" spans="5:6">
      <c r="E1212" s="1">
        <v>12070</v>
      </c>
      <c r="F1212" s="1">
        <v>0.80998000000000003</v>
      </c>
    </row>
    <row r="1213" spans="5:6">
      <c r="E1213" s="1">
        <v>12080</v>
      </c>
      <c r="F1213" s="1">
        <v>0.80778899999999998</v>
      </c>
    </row>
    <row r="1214" spans="5:6">
      <c r="E1214" s="1">
        <v>12090</v>
      </c>
      <c r="F1214" s="1">
        <v>0.81018000000000001</v>
      </c>
    </row>
    <row r="1215" spans="5:6">
      <c r="E1215" s="1">
        <v>12100</v>
      </c>
      <c r="F1215" s="1">
        <v>0.80813699999999999</v>
      </c>
    </row>
    <row r="1216" spans="5:6">
      <c r="E1216" s="1">
        <v>12110</v>
      </c>
      <c r="F1216" s="1">
        <v>0.81139899999999998</v>
      </c>
    </row>
    <row r="1217" spans="5:6">
      <c r="E1217" s="1">
        <v>12120</v>
      </c>
      <c r="F1217" s="1">
        <v>0.80778700000000003</v>
      </c>
    </row>
    <row r="1218" spans="5:6">
      <c r="E1218" s="1">
        <v>12130</v>
      </c>
      <c r="F1218" s="1">
        <v>0.81455500000000003</v>
      </c>
    </row>
    <row r="1219" spans="5:6">
      <c r="E1219" s="1">
        <v>12140</v>
      </c>
      <c r="F1219" s="1">
        <v>0.81111100000000003</v>
      </c>
    </row>
    <row r="1220" spans="5:6">
      <c r="E1220" s="1">
        <v>12150</v>
      </c>
      <c r="F1220" s="1">
        <v>0.80644499999999997</v>
      </c>
    </row>
    <row r="1221" spans="5:6">
      <c r="E1221" s="1">
        <v>12160</v>
      </c>
      <c r="F1221" s="1">
        <v>0.81062500000000004</v>
      </c>
    </row>
    <row r="1222" spans="5:6">
      <c r="E1222" s="1">
        <v>12170</v>
      </c>
      <c r="F1222" s="1">
        <v>0.81148799999999999</v>
      </c>
    </row>
    <row r="1223" spans="5:6">
      <c r="E1223" s="1">
        <v>12180</v>
      </c>
      <c r="F1223" s="1">
        <v>0.81221600000000005</v>
      </c>
    </row>
    <row r="1224" spans="5:6">
      <c r="E1224" s="1">
        <v>12190</v>
      </c>
      <c r="F1224" s="1">
        <v>0.81154000000000004</v>
      </c>
    </row>
    <row r="1225" spans="5:6">
      <c r="E1225" s="1">
        <v>12200</v>
      </c>
      <c r="F1225" s="1">
        <v>0.81401900000000005</v>
      </c>
    </row>
    <row r="1226" spans="5:6">
      <c r="E1226" s="1">
        <v>12210</v>
      </c>
      <c r="F1226" s="1">
        <v>0.81274199999999996</v>
      </c>
    </row>
    <row r="1227" spans="5:6">
      <c r="E1227" s="1">
        <v>12220</v>
      </c>
      <c r="F1227" s="1">
        <v>0.81495799999999996</v>
      </c>
    </row>
    <row r="1228" spans="5:6">
      <c r="E1228" s="1">
        <v>12230</v>
      </c>
      <c r="F1228" s="1">
        <v>0.81532199999999999</v>
      </c>
    </row>
    <row r="1229" spans="5:6">
      <c r="E1229" s="1">
        <v>12240</v>
      </c>
      <c r="F1229" s="1">
        <v>0.81402300000000005</v>
      </c>
    </row>
    <row r="1230" spans="5:6">
      <c r="E1230" s="1">
        <v>12250</v>
      </c>
      <c r="F1230" s="1">
        <v>0.81617600000000001</v>
      </c>
    </row>
    <row r="1231" spans="5:6">
      <c r="E1231" s="1">
        <v>12260</v>
      </c>
      <c r="F1231" s="1">
        <v>0.81313199999999997</v>
      </c>
    </row>
    <row r="1232" spans="5:6">
      <c r="E1232" s="1">
        <v>12270</v>
      </c>
      <c r="F1232" s="1">
        <v>0.81364999999999998</v>
      </c>
    </row>
    <row r="1233" spans="5:6">
      <c r="E1233" s="1">
        <v>12280</v>
      </c>
      <c r="F1233" s="1">
        <v>0.81198599999999999</v>
      </c>
    </row>
    <row r="1234" spans="5:6">
      <c r="E1234" s="1">
        <v>12290</v>
      </c>
      <c r="F1234" s="1">
        <v>0.81254099999999996</v>
      </c>
    </row>
    <row r="1235" spans="5:6">
      <c r="E1235" s="1">
        <v>12300</v>
      </c>
      <c r="F1235" s="1">
        <v>0.81210099999999996</v>
      </c>
    </row>
    <row r="1236" spans="5:6">
      <c r="E1236" s="1">
        <v>12310</v>
      </c>
      <c r="F1236" s="1">
        <v>0.80876499999999996</v>
      </c>
    </row>
    <row r="1237" spans="5:6">
      <c r="E1237" s="1">
        <v>12320</v>
      </c>
      <c r="F1237" s="1">
        <v>0.81131399999999998</v>
      </c>
    </row>
    <row r="1238" spans="5:6">
      <c r="E1238" s="1">
        <v>12330</v>
      </c>
      <c r="F1238" s="1">
        <v>0.80830999999999997</v>
      </c>
    </row>
    <row r="1239" spans="5:6">
      <c r="E1239" s="1">
        <v>12340</v>
      </c>
      <c r="F1239" s="1">
        <v>0.81172800000000001</v>
      </c>
    </row>
    <row r="1240" spans="5:6">
      <c r="E1240" s="1">
        <v>12350</v>
      </c>
      <c r="F1240" s="1">
        <v>0.806284</v>
      </c>
    </row>
    <row r="1241" spans="5:6">
      <c r="E1241" s="1">
        <v>12360</v>
      </c>
      <c r="F1241" s="1">
        <v>0.81103899999999995</v>
      </c>
    </row>
    <row r="1242" spans="5:6">
      <c r="E1242" s="1">
        <v>12370</v>
      </c>
      <c r="F1242" s="1">
        <v>0.81445000000000001</v>
      </c>
    </row>
    <row r="1243" spans="5:6">
      <c r="E1243" s="1">
        <v>12380</v>
      </c>
      <c r="F1243" s="1">
        <v>0.80653799999999998</v>
      </c>
    </row>
    <row r="1244" spans="5:6">
      <c r="E1244" s="1">
        <v>12390</v>
      </c>
      <c r="F1244" s="1">
        <v>0.80911299999999997</v>
      </c>
    </row>
    <row r="1245" spans="5:6">
      <c r="E1245" s="1">
        <v>12400</v>
      </c>
      <c r="F1245" s="1">
        <v>0.80996299999999999</v>
      </c>
    </row>
    <row r="1246" spans="5:6">
      <c r="E1246" s="1">
        <v>12410</v>
      </c>
      <c r="F1246" s="1">
        <v>0.81134600000000001</v>
      </c>
    </row>
    <row r="1247" spans="5:6">
      <c r="E1247" s="1">
        <v>12420</v>
      </c>
      <c r="F1247" s="1">
        <v>0.80984100000000003</v>
      </c>
    </row>
    <row r="1248" spans="5:6">
      <c r="E1248" s="1">
        <v>12430</v>
      </c>
      <c r="F1248" s="1">
        <v>0.80663700000000005</v>
      </c>
    </row>
    <row r="1249" spans="5:6">
      <c r="E1249" s="1">
        <v>12440</v>
      </c>
      <c r="F1249" s="1">
        <v>0.80892399999999998</v>
      </c>
    </row>
    <row r="1250" spans="5:6">
      <c r="E1250" s="1">
        <v>12450</v>
      </c>
      <c r="F1250" s="1">
        <v>0.81109500000000001</v>
      </c>
    </row>
    <row r="1251" spans="5:6">
      <c r="E1251" s="1">
        <v>12460</v>
      </c>
      <c r="F1251" s="1">
        <v>0.81086599999999998</v>
      </c>
    </row>
    <row r="1252" spans="5:6">
      <c r="E1252" s="1">
        <v>12470</v>
      </c>
      <c r="F1252" s="1">
        <v>0.81044899999999997</v>
      </c>
    </row>
    <row r="1253" spans="5:6">
      <c r="E1253" s="1">
        <v>12480</v>
      </c>
      <c r="F1253" s="1">
        <v>0.810867</v>
      </c>
    </row>
    <row r="1254" spans="5:6">
      <c r="E1254" s="1">
        <v>12490</v>
      </c>
      <c r="F1254" s="1">
        <v>0.81375399999999998</v>
      </c>
    </row>
    <row r="1255" spans="5:6">
      <c r="E1255" s="1">
        <v>12500</v>
      </c>
      <c r="F1255" s="1">
        <v>0.80613299999999999</v>
      </c>
    </row>
    <row r="1256" spans="5:6">
      <c r="E1256" s="1">
        <v>12510</v>
      </c>
      <c r="F1256" s="1">
        <v>0.80933100000000002</v>
      </c>
    </row>
    <row r="1257" spans="5:6">
      <c r="E1257" s="1">
        <v>12520</v>
      </c>
      <c r="F1257" s="1">
        <v>0.807508</v>
      </c>
    </row>
    <row r="1258" spans="5:6">
      <c r="E1258" s="1">
        <v>12530</v>
      </c>
      <c r="F1258" s="1">
        <v>0.81351700000000005</v>
      </c>
    </row>
    <row r="1259" spans="5:6">
      <c r="E1259" s="1">
        <v>12540</v>
      </c>
      <c r="F1259" s="1">
        <v>0.807975</v>
      </c>
    </row>
    <row r="1260" spans="5:6">
      <c r="E1260" s="1">
        <v>12550</v>
      </c>
      <c r="F1260" s="1">
        <v>0.80755600000000005</v>
      </c>
    </row>
    <row r="1261" spans="5:6">
      <c r="E1261" s="1">
        <v>12560</v>
      </c>
      <c r="F1261" s="1">
        <v>0.81086199999999997</v>
      </c>
    </row>
    <row r="1262" spans="5:6">
      <c r="E1262" s="1">
        <v>12570</v>
      </c>
      <c r="F1262" s="1">
        <v>0.81162699999999999</v>
      </c>
    </row>
    <row r="1263" spans="5:6">
      <c r="E1263" s="1">
        <v>12580</v>
      </c>
      <c r="F1263" s="1">
        <v>0.80897300000000005</v>
      </c>
    </row>
    <row r="1264" spans="5:6">
      <c r="E1264" s="1">
        <v>12590</v>
      </c>
      <c r="F1264" s="1">
        <v>0.80720899999999995</v>
      </c>
    </row>
    <row r="1265" spans="5:6">
      <c r="E1265" s="1">
        <v>12600</v>
      </c>
      <c r="F1265" s="1">
        <v>0.80761000000000005</v>
      </c>
    </row>
    <row r="1266" spans="5:6">
      <c r="E1266" s="1">
        <v>12610</v>
      </c>
      <c r="F1266" s="1">
        <v>0.80949000000000004</v>
      </c>
    </row>
    <row r="1267" spans="5:6">
      <c r="E1267" s="1">
        <v>12620</v>
      </c>
      <c r="F1267" s="1">
        <v>0.80731600000000003</v>
      </c>
    </row>
    <row r="1268" spans="5:6">
      <c r="E1268" s="1">
        <v>12630</v>
      </c>
      <c r="F1268" s="1">
        <v>0.81257900000000005</v>
      </c>
    </row>
    <row r="1269" spans="5:6">
      <c r="E1269" s="1">
        <v>12640</v>
      </c>
      <c r="F1269" s="1">
        <v>0.81493700000000002</v>
      </c>
    </row>
    <row r="1270" spans="5:6">
      <c r="E1270" s="1">
        <v>12650</v>
      </c>
      <c r="F1270" s="1">
        <v>0.810747</v>
      </c>
    </row>
    <row r="1271" spans="5:6">
      <c r="E1271" s="1">
        <v>12660</v>
      </c>
      <c r="F1271" s="1">
        <v>0.80942800000000004</v>
      </c>
    </row>
    <row r="1272" spans="5:6">
      <c r="E1272" s="1">
        <v>12670</v>
      </c>
      <c r="F1272" s="1">
        <v>0.80797600000000003</v>
      </c>
    </row>
    <row r="1273" spans="5:6">
      <c r="E1273" s="1">
        <v>12680</v>
      </c>
      <c r="F1273" s="1">
        <v>0.81203999999999998</v>
      </c>
    </row>
    <row r="1274" spans="5:6">
      <c r="E1274" s="1">
        <v>12690</v>
      </c>
      <c r="F1274" s="1">
        <v>0.81240299999999999</v>
      </c>
    </row>
    <row r="1275" spans="5:6">
      <c r="E1275" s="1">
        <v>12700</v>
      </c>
      <c r="F1275" s="1">
        <v>0.80998599999999998</v>
      </c>
    </row>
    <row r="1276" spans="5:6">
      <c r="E1276" s="1">
        <v>12710</v>
      </c>
      <c r="F1276" s="1">
        <v>0.81007300000000004</v>
      </c>
    </row>
    <row r="1277" spans="5:6">
      <c r="E1277" s="1">
        <v>12720</v>
      </c>
      <c r="F1277" s="1">
        <v>0.80514200000000002</v>
      </c>
    </row>
    <row r="1278" spans="5:6">
      <c r="E1278" s="1">
        <v>12730</v>
      </c>
      <c r="F1278" s="1">
        <v>0.80954300000000001</v>
      </c>
    </row>
    <row r="1279" spans="5:6">
      <c r="E1279" s="1">
        <v>12740</v>
      </c>
      <c r="F1279" s="1">
        <v>0.80968499999999999</v>
      </c>
    </row>
    <row r="1280" spans="5:6">
      <c r="E1280" s="1">
        <v>12750</v>
      </c>
      <c r="F1280" s="1">
        <v>0.80885899999999999</v>
      </c>
    </row>
    <row r="1281" spans="5:6">
      <c r="E1281" s="1">
        <v>12760</v>
      </c>
      <c r="F1281" s="1">
        <v>0.80774599999999996</v>
      </c>
    </row>
    <row r="1282" spans="5:6">
      <c r="E1282" s="1">
        <v>12770</v>
      </c>
      <c r="F1282" s="1">
        <v>0.81081599999999998</v>
      </c>
    </row>
    <row r="1283" spans="5:6">
      <c r="E1283" s="1">
        <v>12780</v>
      </c>
      <c r="F1283" s="1">
        <v>0.80894299999999997</v>
      </c>
    </row>
    <row r="1284" spans="5:6">
      <c r="E1284" s="1">
        <v>12790</v>
      </c>
      <c r="F1284" s="1">
        <v>0.81050199999999994</v>
      </c>
    </row>
    <row r="1285" spans="5:6">
      <c r="E1285" s="1">
        <v>12800</v>
      </c>
      <c r="F1285" s="1">
        <v>0.80805499999999997</v>
      </c>
    </row>
    <row r="1286" spans="5:6">
      <c r="E1286" s="1">
        <v>12810</v>
      </c>
      <c r="F1286" s="1">
        <v>0.80882799999999999</v>
      </c>
    </row>
    <row r="1287" spans="5:6">
      <c r="E1287" s="1">
        <v>12820</v>
      </c>
      <c r="F1287" s="1">
        <v>0.81026699999999996</v>
      </c>
    </row>
    <row r="1288" spans="5:6">
      <c r="E1288" s="1">
        <v>12830</v>
      </c>
      <c r="F1288" s="1">
        <v>0.81086599999999998</v>
      </c>
    </row>
    <row r="1289" spans="5:6">
      <c r="E1289" s="1">
        <v>12840</v>
      </c>
      <c r="F1289" s="1">
        <v>0.80660200000000004</v>
      </c>
    </row>
    <row r="1290" spans="5:6">
      <c r="E1290" s="1">
        <v>12850</v>
      </c>
      <c r="F1290" s="1">
        <v>0.81005099999999997</v>
      </c>
    </row>
    <row r="1291" spans="5:6">
      <c r="E1291" s="1">
        <v>12860</v>
      </c>
      <c r="F1291" s="1">
        <v>0.80884999999999996</v>
      </c>
    </row>
    <row r="1292" spans="5:6">
      <c r="E1292" s="1">
        <v>12870</v>
      </c>
      <c r="F1292" s="1">
        <v>0.81054300000000001</v>
      </c>
    </row>
    <row r="1293" spans="5:6">
      <c r="E1293" s="1">
        <v>12880</v>
      </c>
      <c r="F1293" s="1">
        <v>0.80782699999999996</v>
      </c>
    </row>
    <row r="1294" spans="5:6">
      <c r="E1294" s="1">
        <v>12890</v>
      </c>
      <c r="F1294" s="1">
        <v>0.80675799999999998</v>
      </c>
    </row>
    <row r="1295" spans="5:6">
      <c r="E1295" s="1">
        <v>12900</v>
      </c>
      <c r="F1295" s="1">
        <v>0.81062599999999996</v>
      </c>
    </row>
    <row r="1296" spans="5:6">
      <c r="E1296" s="1">
        <v>12910</v>
      </c>
      <c r="F1296" s="1">
        <v>0.80927400000000005</v>
      </c>
    </row>
    <row r="1297" spans="5:6">
      <c r="E1297" s="1">
        <v>12920</v>
      </c>
      <c r="F1297" s="1">
        <v>0.80612700000000004</v>
      </c>
    </row>
    <row r="1298" spans="5:6">
      <c r="E1298" s="1">
        <v>12930</v>
      </c>
      <c r="F1298" s="1">
        <v>0.80848100000000001</v>
      </c>
    </row>
    <row r="1299" spans="5:6">
      <c r="E1299" s="1">
        <v>12940</v>
      </c>
      <c r="F1299" s="1">
        <v>0.80423900000000004</v>
      </c>
    </row>
    <row r="1300" spans="5:6">
      <c r="E1300" s="1">
        <v>12950</v>
      </c>
      <c r="F1300" s="1">
        <v>0.80959499999999995</v>
      </c>
    </row>
    <row r="1301" spans="5:6">
      <c r="E1301" s="1">
        <v>12960</v>
      </c>
      <c r="F1301" s="1">
        <v>0.80807700000000005</v>
      </c>
    </row>
    <row r="1302" spans="5:6">
      <c r="E1302" s="1">
        <v>12970</v>
      </c>
      <c r="F1302" s="1">
        <v>0.80530299999999999</v>
      </c>
    </row>
    <row r="1303" spans="5:6">
      <c r="E1303" s="1">
        <v>12980</v>
      </c>
      <c r="F1303" s="1">
        <v>0.80422400000000005</v>
      </c>
    </row>
    <row r="1304" spans="5:6">
      <c r="E1304" s="1">
        <v>12990</v>
      </c>
      <c r="F1304" s="1">
        <v>0.80938900000000003</v>
      </c>
    </row>
    <row r="1305" spans="5:6">
      <c r="E1305" s="1">
        <v>13000</v>
      </c>
      <c r="F1305" s="1">
        <v>0.80882200000000004</v>
      </c>
    </row>
    <row r="1306" spans="5:6">
      <c r="E1306" s="1">
        <v>13010</v>
      </c>
      <c r="F1306" s="1">
        <v>0.80859000000000003</v>
      </c>
    </row>
    <row r="1307" spans="5:6">
      <c r="E1307" s="1">
        <v>13020</v>
      </c>
      <c r="F1307" s="1">
        <v>0.80959899999999996</v>
      </c>
    </row>
    <row r="1308" spans="5:6">
      <c r="E1308" s="1">
        <v>13030</v>
      </c>
      <c r="F1308" s="1">
        <v>0.81254999999999999</v>
      </c>
    </row>
    <row r="1309" spans="5:6">
      <c r="E1309" s="1">
        <v>13040</v>
      </c>
      <c r="F1309" s="1">
        <v>0.80958399999999997</v>
      </c>
    </row>
    <row r="1310" spans="5:6">
      <c r="E1310" s="1">
        <v>13050</v>
      </c>
      <c r="F1310" s="1">
        <v>0.80604100000000001</v>
      </c>
    </row>
    <row r="1311" spans="5:6">
      <c r="E1311" s="1">
        <v>13060</v>
      </c>
      <c r="F1311" s="1">
        <v>0.80643299999999996</v>
      </c>
    </row>
    <row r="1312" spans="5:6">
      <c r="E1312" s="1">
        <v>13070</v>
      </c>
      <c r="F1312" s="1">
        <v>0.80655900000000003</v>
      </c>
    </row>
    <row r="1313" spans="5:6">
      <c r="E1313" s="1">
        <v>13080</v>
      </c>
      <c r="F1313" s="1">
        <v>0.80824099999999999</v>
      </c>
    </row>
    <row r="1314" spans="5:6">
      <c r="E1314" s="1">
        <v>13090</v>
      </c>
      <c r="F1314" s="1">
        <v>0.80821100000000001</v>
      </c>
    </row>
    <row r="1315" spans="5:6">
      <c r="E1315" s="1">
        <v>13100</v>
      </c>
      <c r="F1315" s="1">
        <v>0.80733500000000002</v>
      </c>
    </row>
    <row r="1316" spans="5:6">
      <c r="E1316" s="1">
        <v>13110</v>
      </c>
      <c r="F1316" s="1">
        <v>0.80883499999999997</v>
      </c>
    </row>
    <row r="1317" spans="5:6">
      <c r="E1317" s="1">
        <v>13120</v>
      </c>
      <c r="F1317" s="1">
        <v>0.80993000000000004</v>
      </c>
    </row>
    <row r="1318" spans="5:6">
      <c r="E1318" s="1">
        <v>13130</v>
      </c>
      <c r="F1318" s="1">
        <v>0.80556700000000003</v>
      </c>
    </row>
    <row r="1319" spans="5:6">
      <c r="E1319" s="1">
        <v>13140</v>
      </c>
      <c r="F1319" s="1">
        <v>0.80635100000000004</v>
      </c>
    </row>
    <row r="1320" spans="5:6">
      <c r="E1320" s="1">
        <v>13150</v>
      </c>
      <c r="F1320" s="1">
        <v>0.80781400000000003</v>
      </c>
    </row>
    <row r="1321" spans="5:6">
      <c r="E1321" s="1">
        <v>13160</v>
      </c>
      <c r="F1321" s="1">
        <v>0.81143900000000002</v>
      </c>
    </row>
    <row r="1322" spans="5:6">
      <c r="E1322" s="1">
        <v>13170</v>
      </c>
      <c r="F1322" s="1">
        <v>0.81142599999999998</v>
      </c>
    </row>
    <row r="1323" spans="5:6">
      <c r="E1323" s="1">
        <v>13180</v>
      </c>
      <c r="F1323" s="1">
        <v>0.80951099999999998</v>
      </c>
    </row>
    <row r="1324" spans="5:6">
      <c r="E1324" s="1">
        <v>13190</v>
      </c>
      <c r="F1324" s="1">
        <v>0.80756399999999995</v>
      </c>
    </row>
    <row r="1325" spans="5:6">
      <c r="E1325" s="1">
        <v>13200</v>
      </c>
      <c r="F1325" s="1">
        <v>0.81113400000000002</v>
      </c>
    </row>
    <row r="1326" spans="5:6">
      <c r="E1326" s="1">
        <v>13210</v>
      </c>
      <c r="F1326" s="1">
        <v>0.81101299999999998</v>
      </c>
    </row>
    <row r="1327" spans="5:6">
      <c r="E1327" s="1">
        <v>13220</v>
      </c>
      <c r="F1327" s="1">
        <v>0.81160600000000005</v>
      </c>
    </row>
    <row r="1328" spans="5:6">
      <c r="E1328" s="1">
        <v>13230</v>
      </c>
      <c r="F1328" s="1">
        <v>0.81331299999999995</v>
      </c>
    </row>
    <row r="1329" spans="5:6">
      <c r="E1329" s="1">
        <v>13240</v>
      </c>
      <c r="F1329" s="1">
        <v>0.810581</v>
      </c>
    </row>
    <row r="1330" spans="5:6">
      <c r="E1330" s="1">
        <v>13250</v>
      </c>
      <c r="F1330" s="1">
        <v>0.81064199999999997</v>
      </c>
    </row>
    <row r="1331" spans="5:6">
      <c r="E1331" s="1">
        <v>13260</v>
      </c>
      <c r="F1331" s="1">
        <v>0.80815199999999998</v>
      </c>
    </row>
    <row r="1332" spans="5:6">
      <c r="E1332" s="1">
        <v>13270</v>
      </c>
      <c r="F1332" s="1">
        <v>0.81189699999999998</v>
      </c>
    </row>
    <row r="1333" spans="5:6">
      <c r="E1333" s="1">
        <v>13280</v>
      </c>
      <c r="F1333" s="1">
        <v>0.80857500000000004</v>
      </c>
    </row>
    <row r="1334" spans="5:6">
      <c r="E1334" s="1">
        <v>13290</v>
      </c>
      <c r="F1334" s="1">
        <v>0.81170100000000001</v>
      </c>
    </row>
    <row r="1335" spans="5:6">
      <c r="E1335" s="1">
        <v>13300</v>
      </c>
      <c r="F1335" s="1">
        <v>0.81086100000000005</v>
      </c>
    </row>
    <row r="1336" spans="5:6">
      <c r="E1336" s="1">
        <v>13310</v>
      </c>
      <c r="F1336" s="1">
        <v>0.80910099999999996</v>
      </c>
    </row>
    <row r="1337" spans="5:6">
      <c r="E1337" s="1">
        <v>13320</v>
      </c>
      <c r="F1337" s="1">
        <v>0.80965399999999998</v>
      </c>
    </row>
    <row r="1338" spans="5:6">
      <c r="E1338" s="1">
        <v>13330</v>
      </c>
      <c r="F1338" s="1">
        <v>0.81235800000000002</v>
      </c>
    </row>
    <row r="1339" spans="5:6">
      <c r="E1339" s="1">
        <v>13340</v>
      </c>
      <c r="F1339" s="1">
        <v>0.81305799999999995</v>
      </c>
    </row>
    <row r="1340" spans="5:6">
      <c r="E1340" s="1">
        <v>13350</v>
      </c>
      <c r="F1340" s="1">
        <v>0.81373600000000001</v>
      </c>
    </row>
    <row r="1341" spans="5:6">
      <c r="E1341" s="1">
        <v>13360</v>
      </c>
      <c r="F1341" s="1">
        <v>0.80854099999999995</v>
      </c>
    </row>
    <row r="1342" spans="5:6">
      <c r="E1342" s="1">
        <v>13370</v>
      </c>
      <c r="F1342" s="1">
        <v>0.81126500000000001</v>
      </c>
    </row>
    <row r="1343" spans="5:6">
      <c r="E1343" s="1">
        <v>13380</v>
      </c>
      <c r="F1343" s="1">
        <v>0.81451600000000002</v>
      </c>
    </row>
    <row r="1344" spans="5:6">
      <c r="E1344" s="1">
        <v>13390</v>
      </c>
      <c r="F1344" s="1">
        <v>0.81438600000000005</v>
      </c>
    </row>
    <row r="1345" spans="5:6">
      <c r="E1345" s="1">
        <v>13400</v>
      </c>
      <c r="F1345" s="1">
        <v>0.81945400000000002</v>
      </c>
    </row>
    <row r="1346" spans="5:6">
      <c r="E1346" s="1">
        <v>13410</v>
      </c>
      <c r="F1346" s="1">
        <v>0.81163300000000005</v>
      </c>
    </row>
    <row r="1347" spans="5:6">
      <c r="E1347" s="1">
        <v>13420</v>
      </c>
      <c r="F1347" s="1">
        <v>0.81366499999999997</v>
      </c>
    </row>
    <row r="1348" spans="5:6">
      <c r="E1348" s="1">
        <v>13430</v>
      </c>
      <c r="F1348" s="1">
        <v>0.813724</v>
      </c>
    </row>
    <row r="1349" spans="5:6">
      <c r="E1349" s="1">
        <v>13440</v>
      </c>
      <c r="F1349" s="1">
        <v>0.81000700000000003</v>
      </c>
    </row>
    <row r="1350" spans="5:6">
      <c r="E1350" s="1">
        <v>13450</v>
      </c>
      <c r="F1350" s="1">
        <v>0.81079199999999996</v>
      </c>
    </row>
    <row r="1351" spans="5:6">
      <c r="E1351" s="1">
        <v>13460</v>
      </c>
      <c r="F1351" s="1">
        <v>0.810056</v>
      </c>
    </row>
    <row r="1352" spans="5:6">
      <c r="E1352" s="1">
        <v>13470</v>
      </c>
      <c r="F1352" s="1">
        <v>0.81684299999999999</v>
      </c>
    </row>
    <row r="1353" spans="5:6">
      <c r="E1353" s="1">
        <v>13480</v>
      </c>
      <c r="F1353" s="1">
        <v>0.81558900000000001</v>
      </c>
    </row>
    <row r="1354" spans="5:6">
      <c r="E1354" s="1">
        <v>13490</v>
      </c>
      <c r="F1354" s="1">
        <v>0.81503800000000004</v>
      </c>
    </row>
    <row r="1355" spans="5:6">
      <c r="E1355" s="1">
        <v>13500</v>
      </c>
      <c r="F1355" s="1">
        <v>0.81721100000000002</v>
      </c>
    </row>
    <row r="1356" spans="5:6">
      <c r="E1356" s="1">
        <v>13510</v>
      </c>
      <c r="F1356" s="1">
        <v>0.81486800000000004</v>
      </c>
    </row>
    <row r="1357" spans="5:6">
      <c r="E1357" s="1">
        <v>13520</v>
      </c>
      <c r="F1357" s="1">
        <v>0.81325499999999995</v>
      </c>
    </row>
    <row r="1358" spans="5:6">
      <c r="E1358" s="1">
        <v>13530</v>
      </c>
      <c r="F1358" s="1">
        <v>0.811253</v>
      </c>
    </row>
    <row r="1359" spans="5:6">
      <c r="E1359" s="1">
        <v>13540</v>
      </c>
      <c r="F1359" s="1">
        <v>0.81692299999999995</v>
      </c>
    </row>
    <row r="1360" spans="5:6">
      <c r="E1360" s="1">
        <v>13550</v>
      </c>
      <c r="F1360" s="1">
        <v>0.81587399999999999</v>
      </c>
    </row>
    <row r="1361" spans="5:6">
      <c r="E1361" s="1">
        <v>13560</v>
      </c>
      <c r="F1361" s="1">
        <v>0.81160699999999997</v>
      </c>
    </row>
    <row r="1362" spans="5:6">
      <c r="E1362" s="1">
        <v>13570</v>
      </c>
      <c r="F1362" s="1">
        <v>0.81236600000000003</v>
      </c>
    </row>
    <row r="1363" spans="5:6">
      <c r="E1363" s="1">
        <v>13580</v>
      </c>
      <c r="F1363" s="1">
        <v>0.812832</v>
      </c>
    </row>
    <row r="1364" spans="5:6">
      <c r="E1364" s="1">
        <v>13590</v>
      </c>
      <c r="F1364" s="1">
        <v>0.81433100000000003</v>
      </c>
    </row>
    <row r="1365" spans="5:6">
      <c r="E1365" s="1">
        <v>13600</v>
      </c>
      <c r="F1365" s="1">
        <v>0.81346200000000002</v>
      </c>
    </row>
    <row r="1366" spans="5:6">
      <c r="E1366" s="1">
        <v>13610</v>
      </c>
      <c r="F1366" s="1">
        <v>0.81207300000000004</v>
      </c>
    </row>
    <row r="1367" spans="5:6">
      <c r="E1367" s="1">
        <v>13620</v>
      </c>
      <c r="F1367" s="1">
        <v>0.81559400000000004</v>
      </c>
    </row>
    <row r="1368" spans="5:6">
      <c r="E1368" s="1">
        <v>13630</v>
      </c>
      <c r="F1368" s="1">
        <v>0.81469499999999995</v>
      </c>
    </row>
    <row r="1369" spans="5:6">
      <c r="E1369" s="1">
        <v>13640</v>
      </c>
      <c r="F1369" s="1">
        <v>0.81363600000000003</v>
      </c>
    </row>
    <row r="1370" spans="5:6">
      <c r="E1370" s="1">
        <v>13650</v>
      </c>
      <c r="F1370" s="1">
        <v>0.81358299999999995</v>
      </c>
    </row>
    <row r="1371" spans="5:6">
      <c r="E1371" s="1">
        <v>13660</v>
      </c>
      <c r="F1371" s="1">
        <v>0.81630499999999995</v>
      </c>
    </row>
    <row r="1372" spans="5:6">
      <c r="E1372" s="1">
        <v>13670</v>
      </c>
      <c r="F1372" s="1">
        <v>0.82004500000000002</v>
      </c>
    </row>
    <row r="1373" spans="5:6">
      <c r="E1373" s="1">
        <v>13680</v>
      </c>
      <c r="F1373" s="1">
        <v>0.81856799999999996</v>
      </c>
    </row>
    <row r="1374" spans="5:6">
      <c r="E1374" s="1">
        <v>13690</v>
      </c>
      <c r="F1374" s="1">
        <v>0.82422200000000001</v>
      </c>
    </row>
    <row r="1375" spans="5:6">
      <c r="E1375" s="1">
        <v>13700</v>
      </c>
      <c r="F1375" s="1">
        <v>0.81635400000000002</v>
      </c>
    </row>
    <row r="1376" spans="5:6">
      <c r="E1376" s="1">
        <v>13710</v>
      </c>
      <c r="F1376" s="1">
        <v>0.81671099999999996</v>
      </c>
    </row>
    <row r="1377" spans="5:6">
      <c r="E1377" s="1">
        <v>13720</v>
      </c>
      <c r="F1377" s="1">
        <v>0.81606199999999995</v>
      </c>
    </row>
    <row r="1378" spans="5:6">
      <c r="E1378" s="1">
        <v>13730</v>
      </c>
      <c r="F1378" s="1">
        <v>0.81759000000000004</v>
      </c>
    </row>
    <row r="1379" spans="5:6">
      <c r="E1379" s="1">
        <v>13740</v>
      </c>
      <c r="F1379" s="1">
        <v>0.81776800000000005</v>
      </c>
    </row>
    <row r="1380" spans="5:6">
      <c r="E1380" s="1">
        <v>13750</v>
      </c>
      <c r="F1380" s="1">
        <v>0.81685399999999997</v>
      </c>
    </row>
    <row r="1381" spans="5:6">
      <c r="E1381" s="1">
        <v>13760</v>
      </c>
      <c r="F1381" s="1">
        <v>0.82048200000000004</v>
      </c>
    </row>
    <row r="1382" spans="5:6">
      <c r="E1382" s="1">
        <v>13770</v>
      </c>
      <c r="F1382" s="1">
        <v>0.81825800000000004</v>
      </c>
    </row>
    <row r="1383" spans="5:6">
      <c r="E1383" s="1">
        <v>13780</v>
      </c>
      <c r="F1383" s="1">
        <v>0.821461</v>
      </c>
    </row>
    <row r="1384" spans="5:6">
      <c r="E1384" s="1">
        <v>13790</v>
      </c>
      <c r="F1384" s="1">
        <v>0.82165299999999997</v>
      </c>
    </row>
    <row r="1385" spans="5:6">
      <c r="E1385" s="1">
        <v>13800</v>
      </c>
      <c r="F1385" s="1">
        <v>0.82433500000000004</v>
      </c>
    </row>
    <row r="1386" spans="5:6">
      <c r="E1386" s="1">
        <v>13810</v>
      </c>
      <c r="F1386" s="1">
        <v>0.82139899999999999</v>
      </c>
    </row>
    <row r="1387" spans="5:6">
      <c r="E1387" s="1">
        <v>13820</v>
      </c>
      <c r="F1387" s="1">
        <v>0.81707399999999997</v>
      </c>
    </row>
    <row r="1388" spans="5:6">
      <c r="E1388" s="1">
        <v>13830</v>
      </c>
      <c r="F1388" s="1">
        <v>0.82025999999999999</v>
      </c>
    </row>
    <row r="1389" spans="5:6">
      <c r="E1389" s="1">
        <v>13840</v>
      </c>
      <c r="F1389" s="1">
        <v>0.819546</v>
      </c>
    </row>
    <row r="1390" spans="5:6">
      <c r="E1390" s="1">
        <v>13850</v>
      </c>
      <c r="F1390" s="1">
        <v>0.817079</v>
      </c>
    </row>
    <row r="1391" spans="5:6">
      <c r="E1391" s="1">
        <v>13860</v>
      </c>
      <c r="F1391" s="1">
        <v>0.81917399999999996</v>
      </c>
    </row>
    <row r="1392" spans="5:6">
      <c r="E1392" s="1">
        <v>13870</v>
      </c>
      <c r="F1392" s="1">
        <v>0.81975200000000004</v>
      </c>
    </row>
    <row r="1393" spans="5:6">
      <c r="E1393" s="1">
        <v>13880</v>
      </c>
      <c r="F1393" s="1">
        <v>0.82262999999999997</v>
      </c>
    </row>
    <row r="1394" spans="5:6">
      <c r="E1394" s="1">
        <v>13890</v>
      </c>
      <c r="F1394" s="1">
        <v>0.81855500000000003</v>
      </c>
    </row>
    <row r="1395" spans="5:6">
      <c r="E1395" s="1">
        <v>13900</v>
      </c>
      <c r="F1395" s="1">
        <v>0.82091899999999995</v>
      </c>
    </row>
    <row r="1396" spans="5:6">
      <c r="E1396" s="1">
        <v>13910</v>
      </c>
      <c r="F1396" s="1">
        <v>0.82674099999999995</v>
      </c>
    </row>
    <row r="1397" spans="5:6">
      <c r="E1397" s="1">
        <v>13920</v>
      </c>
      <c r="F1397" s="1">
        <v>0.82451099999999999</v>
      </c>
    </row>
    <row r="1398" spans="5:6">
      <c r="E1398" s="1">
        <v>13930</v>
      </c>
      <c r="F1398" s="1">
        <v>0.81881199999999998</v>
      </c>
    </row>
    <row r="1399" spans="5:6">
      <c r="E1399" s="1">
        <v>13940</v>
      </c>
      <c r="F1399" s="1">
        <v>0.82387200000000005</v>
      </c>
    </row>
    <row r="1400" spans="5:6">
      <c r="E1400" s="1">
        <v>13950</v>
      </c>
      <c r="F1400" s="1">
        <v>0.82361700000000004</v>
      </c>
    </row>
    <row r="1401" spans="5:6">
      <c r="E1401" s="1">
        <v>13960</v>
      </c>
      <c r="F1401" s="1">
        <v>0.81987900000000002</v>
      </c>
    </row>
    <row r="1402" spans="5:6">
      <c r="E1402" s="1">
        <v>13970</v>
      </c>
      <c r="F1402" s="1">
        <v>0.82109100000000002</v>
      </c>
    </row>
    <row r="1403" spans="5:6">
      <c r="E1403" s="1">
        <v>13980</v>
      </c>
      <c r="F1403" s="1">
        <v>0.82034600000000002</v>
      </c>
    </row>
    <row r="1404" spans="5:6">
      <c r="E1404" s="1">
        <v>13990</v>
      </c>
      <c r="F1404" s="1">
        <v>0.81899500000000003</v>
      </c>
    </row>
    <row r="1405" spans="5:6">
      <c r="E1405" s="1">
        <v>14000</v>
      </c>
      <c r="F1405" s="1">
        <v>0.82007300000000005</v>
      </c>
    </row>
    <row r="1406" spans="5:6">
      <c r="E1406" s="1">
        <v>14010</v>
      </c>
      <c r="F1406" s="1">
        <v>0.81653799999999999</v>
      </c>
    </row>
    <row r="1407" spans="5:6">
      <c r="E1407" s="1">
        <v>14020</v>
      </c>
      <c r="F1407" s="1">
        <v>0.82028500000000004</v>
      </c>
    </row>
    <row r="1408" spans="5:6">
      <c r="E1408" s="1">
        <v>14030</v>
      </c>
      <c r="F1408" s="1">
        <v>0.81996000000000002</v>
      </c>
    </row>
    <row r="1409" spans="5:6">
      <c r="E1409" s="1">
        <v>14040</v>
      </c>
      <c r="F1409" s="1">
        <v>0.81951200000000002</v>
      </c>
    </row>
    <row r="1410" spans="5:6">
      <c r="E1410" s="1">
        <v>14050</v>
      </c>
      <c r="F1410" s="1">
        <v>0.82184500000000005</v>
      </c>
    </row>
    <row r="1411" spans="5:6">
      <c r="E1411" s="1">
        <v>14060</v>
      </c>
      <c r="F1411" s="1">
        <v>0.820627</v>
      </c>
    </row>
    <row r="1412" spans="5:6">
      <c r="E1412" s="1">
        <v>14070</v>
      </c>
      <c r="F1412" s="1">
        <v>0.82078099999999998</v>
      </c>
    </row>
    <row r="1413" spans="5:6">
      <c r="E1413" s="1">
        <v>14080</v>
      </c>
      <c r="F1413" s="1">
        <v>0.813855</v>
      </c>
    </row>
    <row r="1414" spans="5:6">
      <c r="E1414" s="1">
        <v>14090</v>
      </c>
      <c r="F1414" s="1">
        <v>0.81684599999999996</v>
      </c>
    </row>
    <row r="1415" spans="5:6">
      <c r="E1415" s="1">
        <v>14100</v>
      </c>
      <c r="F1415" s="1">
        <v>0.82281599999999999</v>
      </c>
    </row>
    <row r="1416" spans="5:6">
      <c r="E1416" s="1">
        <v>14110</v>
      </c>
      <c r="F1416" s="1">
        <v>0.82177500000000003</v>
      </c>
    </row>
    <row r="1417" spans="5:6">
      <c r="E1417" s="1">
        <v>14120</v>
      </c>
      <c r="F1417" s="1">
        <v>0.81940500000000005</v>
      </c>
    </row>
    <row r="1418" spans="5:6">
      <c r="E1418" s="1">
        <v>14130</v>
      </c>
      <c r="F1418" s="1">
        <v>0.82084800000000002</v>
      </c>
    </row>
    <row r="1419" spans="5:6">
      <c r="E1419" s="1">
        <v>14140</v>
      </c>
      <c r="F1419" s="1">
        <v>0.81648399999999999</v>
      </c>
    </row>
    <row r="1420" spans="5:6">
      <c r="E1420" s="1">
        <v>14150</v>
      </c>
      <c r="F1420" s="1">
        <v>0.81999299999999997</v>
      </c>
    </row>
    <row r="1421" spans="5:6">
      <c r="E1421" s="1">
        <v>14160</v>
      </c>
      <c r="F1421" s="1">
        <v>0.81869000000000003</v>
      </c>
    </row>
    <row r="1422" spans="5:6">
      <c r="E1422" s="1">
        <v>14170</v>
      </c>
      <c r="F1422" s="1">
        <v>0.81869099999999995</v>
      </c>
    </row>
    <row r="1423" spans="5:6">
      <c r="E1423" s="1">
        <v>14180</v>
      </c>
      <c r="F1423" s="1">
        <v>0.81550999999999996</v>
      </c>
    </row>
    <row r="1424" spans="5:6">
      <c r="E1424" s="1">
        <v>14190</v>
      </c>
      <c r="F1424" s="1">
        <v>0.81528100000000003</v>
      </c>
    </row>
    <row r="1425" spans="5:6">
      <c r="E1425" s="1">
        <v>14200</v>
      </c>
      <c r="F1425" s="1">
        <v>0.82108999999999999</v>
      </c>
    </row>
    <row r="1426" spans="5:6">
      <c r="E1426" s="1">
        <v>14210</v>
      </c>
      <c r="F1426" s="1">
        <v>0.81923999999999997</v>
      </c>
    </row>
    <row r="1427" spans="5:6">
      <c r="E1427" s="1">
        <v>14220</v>
      </c>
      <c r="F1427" s="1">
        <v>0.82096400000000003</v>
      </c>
    </row>
    <row r="1428" spans="5:6">
      <c r="E1428" s="1">
        <v>14230</v>
      </c>
      <c r="F1428" s="1">
        <v>0.82050900000000004</v>
      </c>
    </row>
    <row r="1429" spans="5:6">
      <c r="E1429" s="1">
        <v>14240</v>
      </c>
      <c r="F1429" s="1">
        <v>0.81889000000000001</v>
      </c>
    </row>
    <row r="1430" spans="5:6">
      <c r="E1430" s="1">
        <v>14250</v>
      </c>
      <c r="F1430" s="1">
        <v>0.82107200000000002</v>
      </c>
    </row>
    <row r="1431" spans="5:6">
      <c r="E1431" s="1">
        <v>14260</v>
      </c>
      <c r="F1431" s="1">
        <v>0.81544899999999998</v>
      </c>
    </row>
    <row r="1432" spans="5:6">
      <c r="E1432" s="1">
        <v>14270</v>
      </c>
      <c r="F1432" s="1">
        <v>0.81364899999999996</v>
      </c>
    </row>
    <row r="1433" spans="5:6">
      <c r="E1433" s="1">
        <v>14280</v>
      </c>
      <c r="F1433" s="1">
        <v>0.81865299999999996</v>
      </c>
    </row>
    <row r="1434" spans="5:6">
      <c r="E1434" s="1">
        <v>14290</v>
      </c>
      <c r="F1434" s="1">
        <v>0.81419900000000001</v>
      </c>
    </row>
    <row r="1435" spans="5:6">
      <c r="E1435" s="1">
        <v>14300</v>
      </c>
      <c r="F1435" s="1">
        <v>0.81483499999999998</v>
      </c>
    </row>
    <row r="1436" spans="5:6">
      <c r="E1436" s="1">
        <v>14310</v>
      </c>
      <c r="F1436" s="1">
        <v>0.81759099999999996</v>
      </c>
    </row>
    <row r="1437" spans="5:6">
      <c r="E1437" s="1">
        <v>14320</v>
      </c>
      <c r="F1437" s="1">
        <v>0.81527499999999997</v>
      </c>
    </row>
    <row r="1438" spans="5:6">
      <c r="E1438" s="1">
        <v>14330</v>
      </c>
      <c r="F1438" s="1">
        <v>0.82095899999999999</v>
      </c>
    </row>
    <row r="1439" spans="5:6">
      <c r="E1439" s="1">
        <v>14340</v>
      </c>
      <c r="F1439" s="1">
        <v>0.81726600000000005</v>
      </c>
    </row>
    <row r="1440" spans="5:6">
      <c r="E1440" s="1">
        <v>14350</v>
      </c>
      <c r="F1440" s="1">
        <v>0.81757800000000003</v>
      </c>
    </row>
    <row r="1441" spans="5:6">
      <c r="E1441" s="1">
        <v>14360</v>
      </c>
      <c r="F1441" s="1">
        <v>0.81806900000000005</v>
      </c>
    </row>
    <row r="1442" spans="5:6">
      <c r="E1442" s="1">
        <v>14370</v>
      </c>
      <c r="F1442" s="1">
        <v>0.81455599999999995</v>
      </c>
    </row>
    <row r="1443" spans="5:6">
      <c r="E1443" s="1">
        <v>14380</v>
      </c>
      <c r="F1443" s="1">
        <v>0.81598700000000002</v>
      </c>
    </row>
    <row r="1444" spans="5:6">
      <c r="E1444" s="1">
        <v>14390</v>
      </c>
      <c r="F1444" s="1">
        <v>0.81910499999999997</v>
      </c>
    </row>
    <row r="1445" spans="5:6">
      <c r="E1445" s="1">
        <v>14400</v>
      </c>
      <c r="F1445" s="1">
        <v>0.81280200000000002</v>
      </c>
    </row>
    <row r="1446" spans="5:6">
      <c r="E1446" s="1">
        <v>14410</v>
      </c>
      <c r="F1446" s="1">
        <v>0.80934200000000001</v>
      </c>
    </row>
    <row r="1447" spans="5:6">
      <c r="E1447" s="1">
        <v>14420</v>
      </c>
      <c r="F1447" s="1">
        <v>0.81278799999999995</v>
      </c>
    </row>
    <row r="1448" spans="5:6">
      <c r="E1448" s="1">
        <v>14430</v>
      </c>
      <c r="F1448" s="1">
        <v>0.811581</v>
      </c>
    </row>
    <row r="1449" spans="5:6">
      <c r="E1449" s="1">
        <v>14440</v>
      </c>
      <c r="F1449" s="1">
        <v>0.81336900000000001</v>
      </c>
    </row>
    <row r="1450" spans="5:6">
      <c r="E1450" s="1">
        <v>14450</v>
      </c>
      <c r="F1450" s="1">
        <v>0.81557800000000003</v>
      </c>
    </row>
    <row r="1451" spans="5:6">
      <c r="E1451" s="1">
        <v>14460</v>
      </c>
      <c r="F1451" s="1">
        <v>0.81233699999999998</v>
      </c>
    </row>
    <row r="1452" spans="5:6">
      <c r="E1452" s="1">
        <v>14470</v>
      </c>
      <c r="F1452" s="1">
        <v>0.80791199999999996</v>
      </c>
    </row>
    <row r="1453" spans="5:6">
      <c r="E1453" s="1">
        <v>14480</v>
      </c>
      <c r="F1453" s="1">
        <v>0.81242499999999995</v>
      </c>
    </row>
    <row r="1454" spans="5:6">
      <c r="E1454" s="1">
        <v>14490</v>
      </c>
      <c r="F1454" s="1">
        <v>0.81267999999999996</v>
      </c>
    </row>
    <row r="1455" spans="5:6">
      <c r="E1455" s="1">
        <v>14500</v>
      </c>
      <c r="F1455" s="1">
        <v>0.81314500000000001</v>
      </c>
    </row>
    <row r="1456" spans="5:6">
      <c r="E1456" s="1">
        <v>14510</v>
      </c>
      <c r="F1456" s="1">
        <v>0.81169999999999998</v>
      </c>
    </row>
    <row r="1457" spans="5:6">
      <c r="E1457" s="1">
        <v>14520</v>
      </c>
      <c r="F1457" s="1">
        <v>0.81575600000000004</v>
      </c>
    </row>
    <row r="1458" spans="5:6">
      <c r="E1458" s="1">
        <v>14530</v>
      </c>
      <c r="F1458" s="1">
        <v>0.81511299999999998</v>
      </c>
    </row>
    <row r="1459" spans="5:6">
      <c r="E1459" s="1">
        <v>14540</v>
      </c>
      <c r="F1459" s="1">
        <v>0.81350800000000001</v>
      </c>
    </row>
    <row r="1460" spans="5:6">
      <c r="E1460" s="1">
        <v>14550</v>
      </c>
      <c r="F1460" s="1">
        <v>0.81684599999999996</v>
      </c>
    </row>
    <row r="1461" spans="5:6">
      <c r="E1461" s="1">
        <v>14560</v>
      </c>
      <c r="F1461" s="1">
        <v>0.814994</v>
      </c>
    </row>
    <row r="1462" spans="5:6">
      <c r="E1462" s="1">
        <v>14570</v>
      </c>
      <c r="F1462" s="1">
        <v>0.81589699999999998</v>
      </c>
    </row>
    <row r="1463" spans="5:6">
      <c r="E1463" s="1">
        <v>14580</v>
      </c>
      <c r="F1463" s="1">
        <v>0.81254300000000002</v>
      </c>
    </row>
    <row r="1464" spans="5:6">
      <c r="E1464" s="1">
        <v>14590</v>
      </c>
      <c r="F1464" s="1">
        <v>0.81793199999999999</v>
      </c>
    </row>
    <row r="1465" spans="5:6">
      <c r="E1465" s="1">
        <v>14600</v>
      </c>
      <c r="F1465" s="1">
        <v>0.81598099999999996</v>
      </c>
    </row>
    <row r="1466" spans="5:6">
      <c r="E1466" s="1">
        <v>14610</v>
      </c>
      <c r="F1466" s="1">
        <v>0.81825000000000003</v>
      </c>
    </row>
    <row r="1467" spans="5:6">
      <c r="E1467" s="1">
        <v>14620</v>
      </c>
      <c r="F1467" s="1">
        <v>0.81750400000000001</v>
      </c>
    </row>
    <row r="1468" spans="5:6">
      <c r="E1468" s="1">
        <v>14630</v>
      </c>
      <c r="F1468" s="1">
        <v>0.815662</v>
      </c>
    </row>
    <row r="1469" spans="5:6">
      <c r="E1469" s="1">
        <v>14640</v>
      </c>
      <c r="F1469" s="1">
        <v>0.81225800000000004</v>
      </c>
    </row>
    <row r="1470" spans="5:6">
      <c r="E1470" s="1">
        <v>14650</v>
      </c>
      <c r="F1470" s="1">
        <v>0.81500499999999998</v>
      </c>
    </row>
    <row r="1471" spans="5:6">
      <c r="E1471" s="1">
        <v>14660</v>
      </c>
      <c r="F1471" s="1">
        <v>0.81303499999999995</v>
      </c>
    </row>
    <row r="1472" spans="5:6">
      <c r="E1472" s="1">
        <v>14670</v>
      </c>
      <c r="F1472" s="1">
        <v>0.81604600000000005</v>
      </c>
    </row>
    <row r="1473" spans="5:6">
      <c r="E1473" s="1">
        <v>14680</v>
      </c>
      <c r="F1473" s="1">
        <v>0.81106400000000001</v>
      </c>
    </row>
    <row r="1474" spans="5:6">
      <c r="E1474" s="1">
        <v>14690</v>
      </c>
      <c r="F1474" s="1">
        <v>0.81692500000000001</v>
      </c>
    </row>
    <row r="1475" spans="5:6">
      <c r="E1475" s="1">
        <v>14700</v>
      </c>
      <c r="F1475" s="1">
        <v>0.81286700000000001</v>
      </c>
    </row>
    <row r="1476" spans="5:6">
      <c r="E1476" s="1">
        <v>14710</v>
      </c>
      <c r="F1476" s="1">
        <v>0.81504299999999996</v>
      </c>
    </row>
    <row r="1477" spans="5:6">
      <c r="E1477" s="1">
        <v>14720</v>
      </c>
      <c r="F1477" s="1">
        <v>0.81276700000000002</v>
      </c>
    </row>
    <row r="1478" spans="5:6">
      <c r="E1478" s="1">
        <v>14730</v>
      </c>
      <c r="F1478" s="1">
        <v>0.81354199999999999</v>
      </c>
    </row>
    <row r="1479" spans="5:6">
      <c r="E1479" s="1">
        <v>14740</v>
      </c>
      <c r="F1479" s="1">
        <v>0.81119399999999997</v>
      </c>
    </row>
    <row r="1480" spans="5:6">
      <c r="E1480" s="1">
        <v>14750</v>
      </c>
      <c r="F1480" s="1">
        <v>0.81171000000000004</v>
      </c>
    </row>
    <row r="1481" spans="5:6">
      <c r="E1481" s="1">
        <v>14760</v>
      </c>
      <c r="F1481" s="1">
        <v>0.81650800000000001</v>
      </c>
    </row>
    <row r="1482" spans="5:6">
      <c r="E1482" s="1">
        <v>14770</v>
      </c>
      <c r="F1482" s="1">
        <v>0.81402799999999997</v>
      </c>
    </row>
    <row r="1483" spans="5:6">
      <c r="E1483" s="1">
        <v>14780</v>
      </c>
      <c r="F1483" s="1">
        <v>0.81515800000000005</v>
      </c>
    </row>
    <row r="1484" spans="5:6">
      <c r="E1484" s="1">
        <v>14790</v>
      </c>
      <c r="F1484" s="1">
        <v>0.81178600000000001</v>
      </c>
    </row>
    <row r="1485" spans="5:6">
      <c r="E1485" s="1">
        <v>14800</v>
      </c>
      <c r="F1485" s="1">
        <v>0.81221200000000005</v>
      </c>
    </row>
    <row r="1486" spans="5:6">
      <c r="E1486" s="1">
        <v>14810</v>
      </c>
      <c r="F1486" s="1">
        <v>0.81529600000000002</v>
      </c>
    </row>
    <row r="1487" spans="5:6">
      <c r="E1487" s="1">
        <v>14820</v>
      </c>
      <c r="F1487" s="1">
        <v>0.80984100000000003</v>
      </c>
    </row>
    <row r="1488" spans="5:6">
      <c r="E1488" s="1">
        <v>14830</v>
      </c>
      <c r="F1488" s="1">
        <v>0.81221200000000005</v>
      </c>
    </row>
    <row r="1489" spans="5:6">
      <c r="E1489" s="1">
        <v>14840</v>
      </c>
      <c r="F1489" s="1">
        <v>0.81470299999999995</v>
      </c>
    </row>
    <row r="1490" spans="5:6">
      <c r="E1490" s="1">
        <v>14850</v>
      </c>
      <c r="F1490" s="1">
        <v>0.81404200000000004</v>
      </c>
    </row>
    <row r="1491" spans="5:6">
      <c r="E1491" s="1">
        <v>14860</v>
      </c>
      <c r="F1491" s="1">
        <v>0.81928100000000004</v>
      </c>
    </row>
    <row r="1492" spans="5:6">
      <c r="E1492" s="1">
        <v>14870</v>
      </c>
      <c r="F1492" s="1">
        <v>0.81751499999999999</v>
      </c>
    </row>
    <row r="1493" spans="5:6">
      <c r="E1493" s="1">
        <v>14880</v>
      </c>
      <c r="F1493" s="1">
        <v>0.81728599999999996</v>
      </c>
    </row>
    <row r="1494" spans="5:6">
      <c r="E1494" s="1">
        <v>14890</v>
      </c>
      <c r="F1494" s="1">
        <v>0.815604</v>
      </c>
    </row>
    <row r="1495" spans="5:6">
      <c r="E1495" s="1">
        <v>14900</v>
      </c>
      <c r="F1495" s="1">
        <v>0.81900600000000001</v>
      </c>
    </row>
    <row r="1496" spans="5:6">
      <c r="E1496" s="1">
        <v>14910</v>
      </c>
      <c r="F1496" s="1">
        <v>0.81620700000000002</v>
      </c>
    </row>
    <row r="1497" spans="5:6">
      <c r="E1497" s="1">
        <v>14920</v>
      </c>
      <c r="F1497" s="1">
        <v>0.82011900000000004</v>
      </c>
    </row>
    <row r="1498" spans="5:6">
      <c r="E1498" s="1">
        <v>14930</v>
      </c>
      <c r="F1498" s="1">
        <v>0.81381599999999998</v>
      </c>
    </row>
    <row r="1499" spans="5:6">
      <c r="E1499" s="1">
        <v>14940</v>
      </c>
      <c r="F1499" s="1">
        <v>0.81491599999999997</v>
      </c>
    </row>
    <row r="1500" spans="5:6">
      <c r="E1500" s="1">
        <v>14950</v>
      </c>
      <c r="F1500" s="1">
        <v>0.81703199999999998</v>
      </c>
    </row>
    <row r="1501" spans="5:6">
      <c r="E1501" s="1">
        <v>14960</v>
      </c>
      <c r="F1501" s="1">
        <v>0.81427099999999997</v>
      </c>
    </row>
    <row r="1502" spans="5:6">
      <c r="E1502" s="1">
        <v>14970</v>
      </c>
      <c r="F1502" s="1">
        <v>0.81458399999999997</v>
      </c>
    </row>
    <row r="1503" spans="5:6">
      <c r="E1503" s="1">
        <v>14980</v>
      </c>
      <c r="F1503" s="1">
        <v>0.81177100000000002</v>
      </c>
    </row>
    <row r="1504" spans="5:6">
      <c r="E1504" s="1">
        <v>14990</v>
      </c>
      <c r="F1504" s="1">
        <v>0.81152299999999999</v>
      </c>
    </row>
    <row r="1505" spans="5:6">
      <c r="E1505" s="1">
        <v>15000</v>
      </c>
      <c r="F1505" s="1">
        <v>0.81020599999999998</v>
      </c>
    </row>
    <row r="1506" spans="5:6">
      <c r="E1506" s="1">
        <v>15010</v>
      </c>
      <c r="F1506" s="1">
        <v>0.81088400000000005</v>
      </c>
    </row>
    <row r="1507" spans="5:6">
      <c r="E1507" s="1">
        <v>15020</v>
      </c>
      <c r="F1507" s="1">
        <v>0.80943100000000001</v>
      </c>
    </row>
    <row r="1508" spans="5:6">
      <c r="E1508" s="1">
        <v>15030</v>
      </c>
      <c r="F1508" s="1">
        <v>0.81065799999999999</v>
      </c>
    </row>
    <row r="1509" spans="5:6">
      <c r="E1509" s="1">
        <v>15040</v>
      </c>
      <c r="F1509" s="1">
        <v>0.80771800000000005</v>
      </c>
    </row>
    <row r="1510" spans="5:6">
      <c r="E1510" s="1">
        <v>15050</v>
      </c>
      <c r="F1510" s="1">
        <v>0.81301999999999996</v>
      </c>
    </row>
    <row r="1511" spans="5:6">
      <c r="E1511" s="1">
        <v>15060</v>
      </c>
      <c r="F1511" s="1">
        <v>0.81320099999999995</v>
      </c>
    </row>
    <row r="1512" spans="5:6">
      <c r="E1512" s="1">
        <v>15070</v>
      </c>
      <c r="F1512" s="1">
        <v>0.80649700000000002</v>
      </c>
    </row>
    <row r="1513" spans="5:6">
      <c r="E1513" s="1">
        <v>15080</v>
      </c>
      <c r="F1513" s="1">
        <v>0.81123999999999996</v>
      </c>
    </row>
    <row r="1514" spans="5:6">
      <c r="E1514" s="1">
        <v>15090</v>
      </c>
      <c r="F1514" s="1">
        <v>0.81414299999999995</v>
      </c>
    </row>
    <row r="1515" spans="5:6">
      <c r="E1515" s="1">
        <v>15100</v>
      </c>
      <c r="F1515" s="1">
        <v>0.81493300000000002</v>
      </c>
    </row>
    <row r="1516" spans="5:6">
      <c r="E1516" s="1">
        <v>15110</v>
      </c>
      <c r="F1516" s="1">
        <v>0.81443399999999999</v>
      </c>
    </row>
    <row r="1517" spans="5:6">
      <c r="E1517" s="1">
        <v>15120</v>
      </c>
      <c r="F1517" s="1">
        <v>0.81345100000000004</v>
      </c>
    </row>
    <row r="1518" spans="5:6">
      <c r="E1518" s="1">
        <v>15130</v>
      </c>
      <c r="F1518" s="1">
        <v>0.81554899999999997</v>
      </c>
    </row>
    <row r="1519" spans="5:6">
      <c r="E1519" s="1">
        <v>15140</v>
      </c>
      <c r="F1519" s="1">
        <v>0.81263099999999999</v>
      </c>
    </row>
    <row r="1520" spans="5:6">
      <c r="E1520" s="1">
        <v>15150</v>
      </c>
      <c r="F1520" s="1">
        <v>0.81628299999999998</v>
      </c>
    </row>
    <row r="1521" spans="5:6">
      <c r="E1521" s="1">
        <v>15160</v>
      </c>
      <c r="F1521" s="1">
        <v>0.81528199999999995</v>
      </c>
    </row>
    <row r="1522" spans="5:6">
      <c r="E1522" s="1">
        <v>15170</v>
      </c>
      <c r="F1522" s="1">
        <v>0.82033599999999995</v>
      </c>
    </row>
    <row r="1523" spans="5:6">
      <c r="E1523" s="1">
        <v>15180</v>
      </c>
      <c r="F1523" s="1">
        <v>0.81552199999999997</v>
      </c>
    </row>
    <row r="1524" spans="5:6">
      <c r="E1524" s="1">
        <v>15190</v>
      </c>
      <c r="F1524" s="1">
        <v>0.81990300000000005</v>
      </c>
    </row>
    <row r="1525" spans="5:6">
      <c r="E1525" s="1">
        <v>15200</v>
      </c>
      <c r="F1525" s="1">
        <v>0.81892900000000002</v>
      </c>
    </row>
    <row r="1526" spans="5:6">
      <c r="E1526" s="1">
        <v>15210</v>
      </c>
      <c r="F1526" s="1">
        <v>0.81715899999999997</v>
      </c>
    </row>
    <row r="1527" spans="5:6">
      <c r="E1527" s="1">
        <v>15220</v>
      </c>
      <c r="F1527" s="1">
        <v>0.81758500000000001</v>
      </c>
    </row>
    <row r="1528" spans="5:6">
      <c r="E1528" s="1">
        <v>15230</v>
      </c>
      <c r="F1528" s="1">
        <v>0.81759099999999996</v>
      </c>
    </row>
    <row r="1529" spans="5:6">
      <c r="E1529" s="1">
        <v>15240</v>
      </c>
      <c r="F1529" s="1">
        <v>0.82139399999999996</v>
      </c>
    </row>
    <row r="1530" spans="5:6">
      <c r="E1530" s="1">
        <v>15250</v>
      </c>
      <c r="F1530" s="1">
        <v>0.82182999999999995</v>
      </c>
    </row>
    <row r="1531" spans="5:6">
      <c r="E1531" s="1">
        <v>15260</v>
      </c>
      <c r="F1531" s="1">
        <v>0.81905799999999995</v>
      </c>
    </row>
    <row r="1532" spans="5:6">
      <c r="E1532" s="1">
        <v>15270</v>
      </c>
      <c r="F1532" s="1">
        <v>0.81961200000000001</v>
      </c>
    </row>
    <row r="1533" spans="5:6">
      <c r="E1533" s="1">
        <v>15280</v>
      </c>
      <c r="F1533" s="1">
        <v>0.81645999999999996</v>
      </c>
    </row>
    <row r="1534" spans="5:6">
      <c r="E1534" s="1">
        <v>15290</v>
      </c>
      <c r="F1534" s="1">
        <v>0.81927700000000003</v>
      </c>
    </row>
    <row r="1535" spans="5:6">
      <c r="E1535" s="1">
        <v>15300</v>
      </c>
      <c r="F1535" s="1">
        <v>0.817025</v>
      </c>
    </row>
    <row r="1536" spans="5:6">
      <c r="E1536" s="1">
        <v>15310</v>
      </c>
      <c r="F1536" s="1">
        <v>0.81913499999999995</v>
      </c>
    </row>
    <row r="1537" spans="5:6">
      <c r="E1537" s="1">
        <v>15320</v>
      </c>
      <c r="F1537" s="1">
        <v>0.81741799999999998</v>
      </c>
    </row>
    <row r="1538" spans="5:6">
      <c r="E1538" s="1">
        <v>15330</v>
      </c>
      <c r="F1538" s="1">
        <v>0.815052</v>
      </c>
    </row>
    <row r="1539" spans="5:6">
      <c r="E1539" s="1">
        <v>15340</v>
      </c>
      <c r="F1539" s="1">
        <v>0.81405000000000005</v>
      </c>
    </row>
    <row r="1540" spans="5:6">
      <c r="E1540" s="1">
        <v>15350</v>
      </c>
      <c r="F1540" s="1">
        <v>0.81705399999999995</v>
      </c>
    </row>
    <row r="1541" spans="5:6">
      <c r="E1541" s="1">
        <v>15360</v>
      </c>
      <c r="F1541" s="1">
        <v>0.81339099999999998</v>
      </c>
    </row>
    <row r="1542" spans="5:6">
      <c r="E1542" s="1">
        <v>15370</v>
      </c>
      <c r="F1542" s="1">
        <v>0.81381000000000003</v>
      </c>
    </row>
    <row r="1543" spans="5:6">
      <c r="E1543" s="1">
        <v>15380</v>
      </c>
      <c r="F1543" s="1">
        <v>0.81805799999999995</v>
      </c>
    </row>
    <row r="1544" spans="5:6">
      <c r="E1544" s="1">
        <v>15390</v>
      </c>
      <c r="F1544" s="1">
        <v>0.819129</v>
      </c>
    </row>
    <row r="1545" spans="5:6">
      <c r="E1545" s="1">
        <v>15400</v>
      </c>
      <c r="F1545" s="1">
        <v>0.81570699999999996</v>
      </c>
    </row>
    <row r="1546" spans="5:6">
      <c r="E1546" s="1">
        <v>15410</v>
      </c>
      <c r="F1546" s="1">
        <v>0.82003000000000004</v>
      </c>
    </row>
    <row r="1547" spans="5:6">
      <c r="E1547" s="1">
        <v>15420</v>
      </c>
      <c r="F1547" s="1">
        <v>0.81689299999999998</v>
      </c>
    </row>
    <row r="1548" spans="5:6">
      <c r="E1548" s="1">
        <v>15430</v>
      </c>
      <c r="F1548" s="1">
        <v>0.81625899999999996</v>
      </c>
    </row>
    <row r="1549" spans="5:6">
      <c r="E1549" s="1">
        <v>15440</v>
      </c>
      <c r="F1549" s="1">
        <v>0.81629700000000005</v>
      </c>
    </row>
    <row r="1550" spans="5:6">
      <c r="E1550" s="1">
        <v>15450</v>
      </c>
      <c r="F1550" s="1">
        <v>0.81654599999999999</v>
      </c>
    </row>
    <row r="1551" spans="5:6">
      <c r="E1551" s="1">
        <v>15460</v>
      </c>
      <c r="F1551" s="1">
        <v>0.81503400000000004</v>
      </c>
    </row>
    <row r="1552" spans="5:6">
      <c r="E1552" s="1">
        <v>15470</v>
      </c>
      <c r="F1552" s="1">
        <v>0.81877900000000003</v>
      </c>
    </row>
    <row r="1553" spans="5:6">
      <c r="E1553" s="1">
        <v>15480</v>
      </c>
      <c r="F1553" s="1">
        <v>0.816438</v>
      </c>
    </row>
    <row r="1554" spans="5:6">
      <c r="E1554" s="1">
        <v>15490</v>
      </c>
      <c r="F1554" s="1">
        <v>0.81764700000000001</v>
      </c>
    </row>
    <row r="1555" spans="5:6">
      <c r="E1555" s="1">
        <v>15500</v>
      </c>
      <c r="F1555" s="1">
        <v>0.81705899999999998</v>
      </c>
    </row>
    <row r="1556" spans="5:6">
      <c r="E1556" s="1">
        <v>15510</v>
      </c>
      <c r="F1556" s="1">
        <v>0.81832899999999997</v>
      </c>
    </row>
    <row r="1557" spans="5:6">
      <c r="E1557" s="1">
        <v>15520</v>
      </c>
      <c r="F1557" s="1">
        <v>0.82253799999999999</v>
      </c>
    </row>
    <row r="1558" spans="5:6">
      <c r="E1558" s="1">
        <v>15530</v>
      </c>
      <c r="F1558" s="1">
        <v>0.81835100000000005</v>
      </c>
    </row>
    <row r="1559" spans="5:6">
      <c r="E1559" s="1">
        <v>15540</v>
      </c>
      <c r="F1559" s="1">
        <v>0.814697</v>
      </c>
    </row>
    <row r="1560" spans="5:6">
      <c r="E1560" s="1">
        <v>15550</v>
      </c>
      <c r="F1560" s="1">
        <v>0.81982500000000003</v>
      </c>
    </row>
    <row r="1561" spans="5:6">
      <c r="E1561" s="1">
        <v>15560</v>
      </c>
      <c r="F1561" s="1">
        <v>0.82251600000000002</v>
      </c>
    </row>
    <row r="1562" spans="5:6">
      <c r="E1562" s="1">
        <v>15570</v>
      </c>
      <c r="F1562" s="1">
        <v>0.81830700000000001</v>
      </c>
    </row>
    <row r="1563" spans="5:6">
      <c r="E1563" s="1">
        <v>15580</v>
      </c>
      <c r="F1563" s="1">
        <v>0.82020300000000002</v>
      </c>
    </row>
    <row r="1564" spans="5:6">
      <c r="E1564" s="1">
        <v>15590</v>
      </c>
      <c r="F1564" s="1">
        <v>0.81564800000000004</v>
      </c>
    </row>
    <row r="1565" spans="5:6">
      <c r="E1565" s="1">
        <v>15600</v>
      </c>
      <c r="F1565" s="1">
        <v>0.81833100000000003</v>
      </c>
    </row>
    <row r="1566" spans="5:6">
      <c r="E1566" s="1">
        <v>15610</v>
      </c>
      <c r="F1566" s="1">
        <v>0.81772699999999998</v>
      </c>
    </row>
    <row r="1567" spans="5:6">
      <c r="E1567" s="1">
        <v>15620</v>
      </c>
      <c r="F1567" s="1">
        <v>0.81717499999999998</v>
      </c>
    </row>
    <row r="1568" spans="5:6">
      <c r="E1568" s="1">
        <v>15630</v>
      </c>
      <c r="F1568" s="1">
        <v>0.81493400000000005</v>
      </c>
    </row>
    <row r="1569" spans="5:6">
      <c r="E1569" s="1">
        <v>15640</v>
      </c>
      <c r="F1569" s="1">
        <v>0.81700499999999998</v>
      </c>
    </row>
    <row r="1570" spans="5:6">
      <c r="E1570" s="1">
        <v>15650</v>
      </c>
      <c r="F1570" s="1">
        <v>0.81672999999999996</v>
      </c>
    </row>
    <row r="1571" spans="5:6">
      <c r="E1571" s="1">
        <v>15660</v>
      </c>
      <c r="F1571" s="1">
        <v>0.817967</v>
      </c>
    </row>
    <row r="1572" spans="5:6">
      <c r="E1572" s="1">
        <v>15670</v>
      </c>
      <c r="F1572" s="1">
        <v>0.81579800000000002</v>
      </c>
    </row>
    <row r="1573" spans="5:6">
      <c r="E1573" s="1">
        <v>15680</v>
      </c>
      <c r="F1573" s="1">
        <v>0.819156</v>
      </c>
    </row>
    <row r="1574" spans="5:6">
      <c r="E1574" s="1">
        <v>15690</v>
      </c>
      <c r="F1574" s="1">
        <v>0.82268799999999997</v>
      </c>
    </row>
    <row r="1575" spans="5:6">
      <c r="E1575" s="1">
        <v>15700</v>
      </c>
      <c r="F1575" s="1">
        <v>0.82352499999999995</v>
      </c>
    </row>
    <row r="1576" spans="5:6">
      <c r="E1576" s="1">
        <v>15710</v>
      </c>
      <c r="F1576" s="1">
        <v>0.82211599999999996</v>
      </c>
    </row>
    <row r="1577" spans="5:6">
      <c r="E1577" s="1">
        <v>15720</v>
      </c>
      <c r="F1577" s="1">
        <v>0.82091499999999995</v>
      </c>
    </row>
    <row r="1578" spans="5:6">
      <c r="E1578" s="1">
        <v>15730</v>
      </c>
      <c r="F1578" s="1">
        <v>0.82077500000000003</v>
      </c>
    </row>
    <row r="1579" spans="5:6">
      <c r="E1579" s="1">
        <v>15740</v>
      </c>
      <c r="F1579" s="1">
        <v>0.82136799999999999</v>
      </c>
    </row>
    <row r="1580" spans="5:6">
      <c r="E1580" s="1">
        <v>15750</v>
      </c>
      <c r="F1580" s="1">
        <v>0.81422099999999997</v>
      </c>
    </row>
    <row r="1581" spans="5:6">
      <c r="E1581" s="1">
        <v>15760</v>
      </c>
      <c r="F1581" s="1">
        <v>0.81889699999999999</v>
      </c>
    </row>
    <row r="1582" spans="5:6">
      <c r="E1582" s="1">
        <v>15770</v>
      </c>
      <c r="F1582" s="1">
        <v>0.81747700000000001</v>
      </c>
    </row>
    <row r="1583" spans="5:6">
      <c r="E1583" s="1">
        <v>15780</v>
      </c>
      <c r="F1583" s="1">
        <v>0.81947800000000004</v>
      </c>
    </row>
    <row r="1584" spans="5:6">
      <c r="E1584" s="1">
        <v>15790</v>
      </c>
      <c r="F1584" s="1">
        <v>0.81786199999999998</v>
      </c>
    </row>
    <row r="1585" spans="5:6">
      <c r="E1585" s="1">
        <v>15800</v>
      </c>
      <c r="F1585" s="1">
        <v>0.81570900000000002</v>
      </c>
    </row>
    <row r="1586" spans="5:6">
      <c r="E1586" s="1">
        <v>15810</v>
      </c>
      <c r="F1586" s="1">
        <v>0.81656700000000004</v>
      </c>
    </row>
    <row r="1587" spans="5:6">
      <c r="E1587" s="1">
        <v>15820</v>
      </c>
      <c r="F1587" s="1">
        <v>0.81467400000000001</v>
      </c>
    </row>
    <row r="1588" spans="5:6">
      <c r="E1588" s="1">
        <v>15830</v>
      </c>
      <c r="F1588" s="1">
        <v>0.81909200000000004</v>
      </c>
    </row>
    <row r="1589" spans="5:6">
      <c r="E1589" s="1">
        <v>15840</v>
      </c>
      <c r="F1589" s="1">
        <v>0.82176199999999999</v>
      </c>
    </row>
    <row r="1590" spans="5:6">
      <c r="E1590" s="1">
        <v>15850</v>
      </c>
      <c r="F1590" s="1">
        <v>0.82301599999999997</v>
      </c>
    </row>
    <row r="1591" spans="5:6">
      <c r="E1591" s="1">
        <v>15860</v>
      </c>
      <c r="F1591" s="1">
        <v>0.82285299999999995</v>
      </c>
    </row>
    <row r="1592" spans="5:6">
      <c r="E1592" s="1">
        <v>15870</v>
      </c>
      <c r="F1592" s="1">
        <v>0.81419900000000001</v>
      </c>
    </row>
    <row r="1593" spans="5:6">
      <c r="E1593" s="1">
        <v>15880</v>
      </c>
      <c r="F1593" s="1">
        <v>0.81490899999999999</v>
      </c>
    </row>
    <row r="1594" spans="5:6">
      <c r="E1594" s="1">
        <v>15890</v>
      </c>
      <c r="F1594" s="1">
        <v>0.81952499999999995</v>
      </c>
    </row>
    <row r="1595" spans="5:6">
      <c r="E1595" s="1">
        <v>15900</v>
      </c>
      <c r="F1595" s="1">
        <v>0.82025400000000004</v>
      </c>
    </row>
    <row r="1596" spans="5:6">
      <c r="E1596" s="1">
        <v>15910</v>
      </c>
      <c r="F1596" s="1">
        <v>0.82139899999999999</v>
      </c>
    </row>
    <row r="1597" spans="5:6">
      <c r="E1597" s="1">
        <v>15920</v>
      </c>
      <c r="F1597" s="1">
        <v>0.82017700000000004</v>
      </c>
    </row>
    <row r="1598" spans="5:6">
      <c r="E1598" s="1">
        <v>15930</v>
      </c>
      <c r="F1598" s="1">
        <v>0.816882</v>
      </c>
    </row>
    <row r="1599" spans="5:6">
      <c r="E1599" s="1">
        <v>15940</v>
      </c>
      <c r="F1599" s="1">
        <v>0.81910400000000005</v>
      </c>
    </row>
    <row r="1600" spans="5:6">
      <c r="E1600" s="1">
        <v>15950</v>
      </c>
      <c r="F1600" s="1">
        <v>0.81665500000000002</v>
      </c>
    </row>
    <row r="1601" spans="5:6">
      <c r="E1601" s="1">
        <v>15960</v>
      </c>
      <c r="F1601" s="1">
        <v>0.81588700000000003</v>
      </c>
    </row>
    <row r="1602" spans="5:6">
      <c r="E1602" s="1">
        <v>15970</v>
      </c>
      <c r="F1602" s="1">
        <v>0.81769400000000003</v>
      </c>
    </row>
    <row r="1603" spans="5:6">
      <c r="E1603" s="1">
        <v>15980</v>
      </c>
      <c r="F1603" s="1">
        <v>0.81849799999999995</v>
      </c>
    </row>
    <row r="1604" spans="5:6">
      <c r="E1604" s="1">
        <v>15990</v>
      </c>
      <c r="F1604" s="1">
        <v>0.81579199999999996</v>
      </c>
    </row>
    <row r="1605" spans="5:6">
      <c r="E1605" s="1">
        <v>16000</v>
      </c>
      <c r="F1605" s="1">
        <v>0.82079500000000005</v>
      </c>
    </row>
    <row r="1606" spans="5:6">
      <c r="E1606" s="1">
        <v>16010</v>
      </c>
      <c r="F1606" s="1">
        <v>0.81872400000000001</v>
      </c>
    </row>
    <row r="1607" spans="5:6">
      <c r="E1607" s="1">
        <v>16020</v>
      </c>
      <c r="F1607" s="1">
        <v>0.81846399999999997</v>
      </c>
    </row>
    <row r="1608" spans="5:6">
      <c r="E1608" s="1">
        <v>16030</v>
      </c>
      <c r="F1608" s="1">
        <v>0.81767400000000001</v>
      </c>
    </row>
    <row r="1609" spans="5:6">
      <c r="E1609" s="1">
        <v>16040</v>
      </c>
      <c r="F1609" s="1">
        <v>0.81694500000000003</v>
      </c>
    </row>
    <row r="1610" spans="5:6">
      <c r="E1610" s="1">
        <v>16050</v>
      </c>
      <c r="F1610" s="1">
        <v>0.816689</v>
      </c>
    </row>
    <row r="1611" spans="5:6">
      <c r="E1611" s="1">
        <v>16060</v>
      </c>
      <c r="F1611" s="1">
        <v>0.81947300000000001</v>
      </c>
    </row>
    <row r="1612" spans="5:6">
      <c r="E1612" s="1">
        <v>16070</v>
      </c>
      <c r="F1612" s="1">
        <v>0.820191</v>
      </c>
    </row>
    <row r="1613" spans="5:6">
      <c r="E1613" s="1">
        <v>16080</v>
      </c>
      <c r="F1613" s="1">
        <v>0.81573600000000002</v>
      </c>
    </row>
    <row r="1614" spans="5:6">
      <c r="E1614" s="1">
        <v>16090</v>
      </c>
      <c r="F1614" s="1">
        <v>0.81318800000000002</v>
      </c>
    </row>
    <row r="1615" spans="5:6">
      <c r="E1615" s="1">
        <v>16100</v>
      </c>
      <c r="F1615" s="1">
        <v>0.81773200000000001</v>
      </c>
    </row>
    <row r="1616" spans="5:6">
      <c r="E1616" s="1">
        <v>16110</v>
      </c>
      <c r="F1616" s="1">
        <v>0.81328400000000001</v>
      </c>
    </row>
    <row r="1617" spans="5:6">
      <c r="E1617" s="1">
        <v>16120</v>
      </c>
      <c r="F1617" s="1">
        <v>0.81397699999999995</v>
      </c>
    </row>
    <row r="1618" spans="5:6">
      <c r="E1618" s="1">
        <v>16130</v>
      </c>
      <c r="F1618" s="1">
        <v>0.81456600000000001</v>
      </c>
    </row>
    <row r="1619" spans="5:6">
      <c r="E1619" s="1">
        <v>16140</v>
      </c>
      <c r="F1619" s="1">
        <v>0.81758600000000003</v>
      </c>
    </row>
    <row r="1620" spans="5:6">
      <c r="E1620" s="1">
        <v>16150</v>
      </c>
      <c r="F1620" s="1">
        <v>0.81830400000000003</v>
      </c>
    </row>
    <row r="1621" spans="5:6">
      <c r="E1621" s="1">
        <v>16160</v>
      </c>
      <c r="F1621" s="1">
        <v>0.81941699999999995</v>
      </c>
    </row>
    <row r="1622" spans="5:6">
      <c r="E1622" s="1">
        <v>16170</v>
      </c>
      <c r="F1622" s="1">
        <v>0.82107699999999995</v>
      </c>
    </row>
    <row r="1623" spans="5:6">
      <c r="E1623" s="1">
        <v>16180</v>
      </c>
      <c r="F1623" s="1">
        <v>0.82064400000000004</v>
      </c>
    </row>
    <row r="1624" spans="5:6">
      <c r="E1624" s="1">
        <v>16190</v>
      </c>
      <c r="F1624" s="1">
        <v>0.81702399999999997</v>
      </c>
    </row>
    <row r="1625" spans="5:6">
      <c r="E1625" s="1">
        <v>16200</v>
      </c>
      <c r="F1625" s="1">
        <v>0.81396999999999997</v>
      </c>
    </row>
    <row r="1626" spans="5:6">
      <c r="E1626" s="1">
        <v>16210</v>
      </c>
      <c r="F1626" s="1">
        <v>0.81879100000000005</v>
      </c>
    </row>
    <row r="1627" spans="5:6">
      <c r="E1627" s="1">
        <v>16220</v>
      </c>
      <c r="F1627" s="1">
        <v>0.81811699999999998</v>
      </c>
    </row>
    <row r="1628" spans="5:6">
      <c r="E1628" s="1">
        <v>16230</v>
      </c>
      <c r="F1628" s="1">
        <v>0.81942700000000002</v>
      </c>
    </row>
    <row r="1629" spans="5:6">
      <c r="E1629" s="1">
        <v>16240</v>
      </c>
      <c r="F1629" s="1">
        <v>0.81728999999999996</v>
      </c>
    </row>
    <row r="1630" spans="5:6">
      <c r="E1630" s="1">
        <v>16250</v>
      </c>
      <c r="F1630" s="1">
        <v>0.81603800000000004</v>
      </c>
    </row>
    <row r="1631" spans="5:6">
      <c r="E1631" s="1">
        <v>16260</v>
      </c>
      <c r="F1631" s="1">
        <v>0.81279000000000001</v>
      </c>
    </row>
    <row r="1632" spans="5:6">
      <c r="E1632" s="1">
        <v>16270</v>
      </c>
      <c r="F1632" s="1">
        <v>0.81840199999999996</v>
      </c>
    </row>
    <row r="1633" spans="5:6">
      <c r="E1633" s="1">
        <v>16280</v>
      </c>
      <c r="F1633" s="1">
        <v>0.81671800000000006</v>
      </c>
    </row>
    <row r="1634" spans="5:6">
      <c r="E1634" s="1">
        <v>16290</v>
      </c>
      <c r="F1634" s="1">
        <v>0.81451099999999999</v>
      </c>
    </row>
    <row r="1635" spans="5:6">
      <c r="E1635" s="1">
        <v>16300</v>
      </c>
      <c r="F1635" s="1">
        <v>0.81064800000000004</v>
      </c>
    </row>
    <row r="1636" spans="5:6">
      <c r="E1636" s="1">
        <v>16310</v>
      </c>
      <c r="F1636" s="1">
        <v>0.81669499999999995</v>
      </c>
    </row>
    <row r="1637" spans="5:6">
      <c r="E1637" s="1">
        <v>16320</v>
      </c>
      <c r="F1637" s="1">
        <v>0.82136399999999998</v>
      </c>
    </row>
    <row r="1638" spans="5:6">
      <c r="E1638" s="1">
        <v>16330</v>
      </c>
      <c r="F1638" s="1">
        <v>0.81573899999999999</v>
      </c>
    </row>
    <row r="1639" spans="5:6">
      <c r="E1639" s="1">
        <v>16340</v>
      </c>
      <c r="F1639" s="1">
        <v>0.81776499999999996</v>
      </c>
    </row>
    <row r="1640" spans="5:6">
      <c r="E1640" s="1">
        <v>16350</v>
      </c>
      <c r="F1640" s="1">
        <v>0.81539099999999998</v>
      </c>
    </row>
    <row r="1641" spans="5:6">
      <c r="E1641" s="1">
        <v>16360</v>
      </c>
      <c r="F1641" s="1">
        <v>0.81506000000000001</v>
      </c>
    </row>
    <row r="1642" spans="5:6">
      <c r="E1642" s="1">
        <v>16370</v>
      </c>
      <c r="F1642" s="1">
        <v>0.81188099999999996</v>
      </c>
    </row>
    <row r="1643" spans="5:6">
      <c r="E1643" s="1">
        <v>16380</v>
      </c>
      <c r="F1643" s="1">
        <v>0.81394100000000003</v>
      </c>
    </row>
    <row r="1644" spans="5:6">
      <c r="E1644" s="1">
        <v>16390</v>
      </c>
      <c r="F1644" s="1">
        <v>0.81474500000000005</v>
      </c>
    </row>
    <row r="1645" spans="5:6">
      <c r="E1645" s="1">
        <v>16400</v>
      </c>
      <c r="F1645" s="1">
        <v>0.81192799999999998</v>
      </c>
    </row>
    <row r="1646" spans="5:6">
      <c r="E1646" s="1">
        <v>16410</v>
      </c>
      <c r="F1646" s="1">
        <v>0.81642700000000001</v>
      </c>
    </row>
    <row r="1647" spans="5:6">
      <c r="E1647" s="1">
        <v>16420</v>
      </c>
      <c r="F1647" s="1">
        <v>0.81558299999999995</v>
      </c>
    </row>
    <row r="1648" spans="5:6">
      <c r="E1648" s="1">
        <v>16430</v>
      </c>
      <c r="F1648" s="1">
        <v>0.81700799999999996</v>
      </c>
    </row>
    <row r="1649" spans="5:6">
      <c r="E1649" s="1">
        <v>16440</v>
      </c>
      <c r="F1649" s="1">
        <v>0.81310300000000002</v>
      </c>
    </row>
    <row r="1650" spans="5:6">
      <c r="E1650" s="1">
        <v>16450</v>
      </c>
      <c r="F1650" s="1">
        <v>0.81628599999999996</v>
      </c>
    </row>
    <row r="1651" spans="5:6">
      <c r="E1651" s="1">
        <v>16460</v>
      </c>
      <c r="F1651" s="1">
        <v>0.816527</v>
      </c>
    </row>
    <row r="1652" spans="5:6">
      <c r="E1652" s="1">
        <v>16470</v>
      </c>
      <c r="F1652" s="1">
        <v>0.81247499999999995</v>
      </c>
    </row>
    <row r="1653" spans="5:6">
      <c r="E1653" s="1">
        <v>16480</v>
      </c>
      <c r="F1653" s="1">
        <v>0.81398400000000004</v>
      </c>
    </row>
    <row r="1654" spans="5:6">
      <c r="E1654" s="1">
        <v>16490</v>
      </c>
      <c r="F1654" s="1">
        <v>0.81618400000000002</v>
      </c>
    </row>
    <row r="1655" spans="5:6">
      <c r="E1655" s="1">
        <v>16500</v>
      </c>
      <c r="F1655" s="1">
        <v>0.81578899999999999</v>
      </c>
    </row>
    <row r="1656" spans="5:6">
      <c r="E1656" s="1">
        <v>16510</v>
      </c>
      <c r="F1656" s="1">
        <v>0.81327099999999997</v>
      </c>
    </row>
    <row r="1657" spans="5:6">
      <c r="E1657" s="1">
        <v>16520</v>
      </c>
      <c r="F1657" s="1">
        <v>0.81372100000000003</v>
      </c>
    </row>
    <row r="1658" spans="5:6">
      <c r="E1658" s="1">
        <v>16530</v>
      </c>
      <c r="F1658" s="1">
        <v>0.815994</v>
      </c>
    </row>
    <row r="1659" spans="5:6">
      <c r="E1659" s="1">
        <v>16540</v>
      </c>
      <c r="F1659" s="1">
        <v>0.81729799999999997</v>
      </c>
    </row>
    <row r="1660" spans="5:6">
      <c r="E1660" s="1">
        <v>16550</v>
      </c>
      <c r="F1660" s="1">
        <v>0.81759800000000005</v>
      </c>
    </row>
    <row r="1661" spans="5:6">
      <c r="E1661" s="1">
        <v>16560</v>
      </c>
      <c r="F1661" s="1">
        <v>0.81814399999999998</v>
      </c>
    </row>
    <row r="1662" spans="5:6">
      <c r="E1662" s="1">
        <v>16570</v>
      </c>
      <c r="F1662" s="1">
        <v>0.81311800000000001</v>
      </c>
    </row>
    <row r="1663" spans="5:6">
      <c r="E1663" s="1">
        <v>16580</v>
      </c>
      <c r="F1663" s="1">
        <v>0.81058699999999995</v>
      </c>
    </row>
    <row r="1664" spans="5:6">
      <c r="E1664" s="1">
        <v>16590</v>
      </c>
      <c r="F1664" s="1">
        <v>0.81553900000000001</v>
      </c>
    </row>
    <row r="1665" spans="5:6">
      <c r="E1665" s="1">
        <v>16600</v>
      </c>
      <c r="F1665" s="1">
        <v>0.81842300000000001</v>
      </c>
    </row>
    <row r="1666" spans="5:6">
      <c r="E1666" s="1">
        <v>16610</v>
      </c>
      <c r="F1666" s="1">
        <v>0.81836200000000003</v>
      </c>
    </row>
    <row r="1667" spans="5:6">
      <c r="E1667" s="1">
        <v>16620</v>
      </c>
      <c r="F1667" s="1">
        <v>0.814554</v>
      </c>
    </row>
    <row r="1668" spans="5:6">
      <c r="E1668" s="1">
        <v>16630</v>
      </c>
      <c r="F1668" s="1">
        <v>0.81953799999999999</v>
      </c>
    </row>
    <row r="1669" spans="5:6">
      <c r="E1669" s="1">
        <v>16640</v>
      </c>
      <c r="F1669" s="1">
        <v>0.81918100000000005</v>
      </c>
    </row>
    <row r="1670" spans="5:6">
      <c r="E1670" s="1">
        <v>16650</v>
      </c>
      <c r="F1670" s="1">
        <v>0.81735500000000005</v>
      </c>
    </row>
    <row r="1671" spans="5:6">
      <c r="E1671" s="1">
        <v>16660</v>
      </c>
      <c r="F1671" s="1">
        <v>0.815724</v>
      </c>
    </row>
    <row r="1672" spans="5:6">
      <c r="E1672" s="1">
        <v>16670</v>
      </c>
      <c r="F1672" s="1">
        <v>0.80991800000000003</v>
      </c>
    </row>
    <row r="1673" spans="5:6">
      <c r="E1673" s="1">
        <v>16680</v>
      </c>
      <c r="F1673" s="1">
        <v>0.81645100000000004</v>
      </c>
    </row>
    <row r="1674" spans="5:6">
      <c r="E1674" s="1">
        <v>16690</v>
      </c>
      <c r="F1674" s="1">
        <v>0.81374100000000005</v>
      </c>
    </row>
    <row r="1675" spans="5:6">
      <c r="E1675" s="1">
        <v>16700</v>
      </c>
      <c r="F1675" s="1">
        <v>0.81528599999999996</v>
      </c>
    </row>
    <row r="1676" spans="5:6">
      <c r="E1676" s="1">
        <v>16710</v>
      </c>
      <c r="F1676" s="1">
        <v>0.80999600000000005</v>
      </c>
    </row>
    <row r="1677" spans="5:6">
      <c r="E1677" s="1">
        <v>16720</v>
      </c>
      <c r="F1677" s="1">
        <v>0.81147100000000005</v>
      </c>
    </row>
    <row r="1678" spans="5:6">
      <c r="E1678" s="1">
        <v>16730</v>
      </c>
      <c r="F1678" s="1">
        <v>0.81731799999999999</v>
      </c>
    </row>
    <row r="1679" spans="5:6">
      <c r="E1679" s="1">
        <v>16740</v>
      </c>
      <c r="F1679" s="1">
        <v>0.81475600000000004</v>
      </c>
    </row>
    <row r="1680" spans="5:6">
      <c r="E1680" s="1">
        <v>16750</v>
      </c>
      <c r="F1680" s="1">
        <v>0.81071499999999996</v>
      </c>
    </row>
    <row r="1681" spans="5:6">
      <c r="E1681" s="1">
        <v>16760</v>
      </c>
      <c r="F1681" s="1">
        <v>0.81193000000000004</v>
      </c>
    </row>
    <row r="1682" spans="5:6">
      <c r="E1682" s="1">
        <v>16770</v>
      </c>
      <c r="F1682" s="1">
        <v>0.81346300000000005</v>
      </c>
    </row>
    <row r="1683" spans="5:6">
      <c r="E1683" s="1">
        <v>16780</v>
      </c>
      <c r="F1683" s="1">
        <v>0.81360699999999997</v>
      </c>
    </row>
    <row r="1684" spans="5:6">
      <c r="E1684" s="1">
        <v>16790</v>
      </c>
      <c r="F1684" s="1">
        <v>0.81284800000000001</v>
      </c>
    </row>
    <row r="1685" spans="5:6">
      <c r="E1685" s="1">
        <v>16800</v>
      </c>
      <c r="F1685" s="1">
        <v>0.81246600000000002</v>
      </c>
    </row>
    <row r="1686" spans="5:6">
      <c r="E1686" s="1">
        <v>16810</v>
      </c>
      <c r="F1686" s="1">
        <v>0.81094999999999995</v>
      </c>
    </row>
    <row r="1687" spans="5:6">
      <c r="E1687" s="1">
        <v>16820</v>
      </c>
      <c r="F1687" s="1">
        <v>0.81071599999999999</v>
      </c>
    </row>
    <row r="1688" spans="5:6">
      <c r="E1688" s="1">
        <v>16830</v>
      </c>
      <c r="F1688" s="1">
        <v>0.81383099999999997</v>
      </c>
    </row>
    <row r="1689" spans="5:6">
      <c r="E1689" s="1">
        <v>16840</v>
      </c>
      <c r="F1689" s="1">
        <v>0.81182299999999996</v>
      </c>
    </row>
    <row r="1690" spans="5:6">
      <c r="E1690" s="1">
        <v>16850</v>
      </c>
      <c r="F1690" s="1">
        <v>0.81144300000000003</v>
      </c>
    </row>
    <row r="1691" spans="5:6">
      <c r="E1691" s="1">
        <v>16860</v>
      </c>
      <c r="F1691" s="1">
        <v>0.81084999999999996</v>
      </c>
    </row>
    <row r="1692" spans="5:6">
      <c r="E1692" s="1">
        <v>16870</v>
      </c>
      <c r="F1692" s="1">
        <v>0.810921</v>
      </c>
    </row>
    <row r="1693" spans="5:6">
      <c r="E1693" s="1">
        <v>16880</v>
      </c>
      <c r="F1693" s="1">
        <v>0.81575600000000004</v>
      </c>
    </row>
    <row r="1694" spans="5:6">
      <c r="E1694" s="1">
        <v>16890</v>
      </c>
      <c r="F1694" s="1">
        <v>0.81078799999999995</v>
      </c>
    </row>
    <row r="1695" spans="5:6">
      <c r="E1695" s="1">
        <v>16900</v>
      </c>
      <c r="F1695" s="1">
        <v>0.80948699999999996</v>
      </c>
    </row>
    <row r="1696" spans="5:6">
      <c r="E1696" s="1">
        <v>16910</v>
      </c>
      <c r="F1696" s="1">
        <v>0.81550699999999998</v>
      </c>
    </row>
    <row r="1697" spans="5:6">
      <c r="E1697" s="1">
        <v>16920</v>
      </c>
      <c r="F1697" s="1">
        <v>0.81855500000000003</v>
      </c>
    </row>
    <row r="1698" spans="5:6">
      <c r="E1698" s="1">
        <v>16930</v>
      </c>
      <c r="F1698" s="1">
        <v>0.81238500000000002</v>
      </c>
    </row>
    <row r="1699" spans="5:6">
      <c r="E1699" s="1">
        <v>16940</v>
      </c>
      <c r="F1699" s="1">
        <v>0.81556600000000001</v>
      </c>
    </row>
    <row r="1700" spans="5:6">
      <c r="E1700" s="1">
        <v>16950</v>
      </c>
      <c r="F1700" s="1">
        <v>0.81464099999999995</v>
      </c>
    </row>
    <row r="1701" spans="5:6">
      <c r="E1701" s="1">
        <v>16960</v>
      </c>
      <c r="F1701" s="1">
        <v>0.816492</v>
      </c>
    </row>
    <row r="1702" spans="5:6">
      <c r="E1702" s="1">
        <v>16970</v>
      </c>
      <c r="F1702" s="1">
        <v>0.81445100000000004</v>
      </c>
    </row>
    <row r="1703" spans="5:6">
      <c r="E1703" s="1">
        <v>16980</v>
      </c>
      <c r="F1703" s="1">
        <v>0.81355599999999995</v>
      </c>
    </row>
    <row r="1704" spans="5:6">
      <c r="E1704" s="1">
        <v>16990</v>
      </c>
      <c r="F1704" s="1">
        <v>0.811195</v>
      </c>
    </row>
    <row r="1705" spans="5:6">
      <c r="E1705" s="1">
        <v>17000</v>
      </c>
      <c r="F1705" s="1">
        <v>0.81049599999999999</v>
      </c>
    </row>
    <row r="1706" spans="5:6">
      <c r="E1706" s="1">
        <v>17010</v>
      </c>
      <c r="F1706" s="1">
        <v>0.81541300000000005</v>
      </c>
    </row>
    <row r="1707" spans="5:6">
      <c r="E1707" s="1">
        <v>17020</v>
      </c>
      <c r="F1707" s="1">
        <v>0.81437099999999996</v>
      </c>
    </row>
    <row r="1708" spans="5:6">
      <c r="E1708" s="1">
        <v>17030</v>
      </c>
      <c r="F1708" s="1">
        <v>0.80957199999999996</v>
      </c>
    </row>
    <row r="1709" spans="5:6">
      <c r="E1709" s="1">
        <v>17040</v>
      </c>
      <c r="F1709" s="1">
        <v>0.81893000000000005</v>
      </c>
    </row>
    <row r="1710" spans="5:6">
      <c r="E1710" s="1">
        <v>17050</v>
      </c>
      <c r="F1710" s="1">
        <v>0.81451799999999996</v>
      </c>
    </row>
    <row r="1711" spans="5:6">
      <c r="E1711" s="1">
        <v>17060</v>
      </c>
      <c r="F1711" s="1">
        <v>0.81298099999999995</v>
      </c>
    </row>
    <row r="1712" spans="5:6">
      <c r="E1712" s="1">
        <v>17070</v>
      </c>
      <c r="F1712" s="1">
        <v>0.81671300000000002</v>
      </c>
    </row>
    <row r="1713" spans="5:6">
      <c r="E1713" s="1">
        <v>17080</v>
      </c>
      <c r="F1713" s="1">
        <v>0.81673200000000001</v>
      </c>
    </row>
    <row r="1714" spans="5:6">
      <c r="E1714" s="1">
        <v>17090</v>
      </c>
      <c r="F1714" s="1">
        <v>0.81395200000000001</v>
      </c>
    </row>
    <row r="1715" spans="5:6">
      <c r="E1715" s="1">
        <v>17100</v>
      </c>
      <c r="F1715" s="1">
        <v>0.81446700000000005</v>
      </c>
    </row>
    <row r="1716" spans="5:6">
      <c r="E1716" s="1">
        <v>17110</v>
      </c>
      <c r="F1716" s="1">
        <v>0.81614600000000004</v>
      </c>
    </row>
    <row r="1717" spans="5:6">
      <c r="E1717" s="1">
        <v>17120</v>
      </c>
      <c r="F1717" s="1">
        <v>0.81876800000000005</v>
      </c>
    </row>
    <row r="1718" spans="5:6">
      <c r="E1718" s="1">
        <v>17130</v>
      </c>
      <c r="F1718" s="1">
        <v>0.815137</v>
      </c>
    </row>
    <row r="1719" spans="5:6">
      <c r="E1719" s="1">
        <v>17140</v>
      </c>
      <c r="F1719" s="1">
        <v>0.81600700000000004</v>
      </c>
    </row>
    <row r="1720" spans="5:6">
      <c r="E1720" s="1">
        <v>17150</v>
      </c>
      <c r="F1720" s="1">
        <v>0.81779400000000002</v>
      </c>
    </row>
    <row r="1721" spans="5:6">
      <c r="E1721" s="1">
        <v>17160</v>
      </c>
      <c r="F1721" s="1">
        <v>0.81548799999999999</v>
      </c>
    </row>
    <row r="1722" spans="5:6">
      <c r="E1722" s="1">
        <v>17170</v>
      </c>
      <c r="F1722" s="1">
        <v>0.81626799999999999</v>
      </c>
    </row>
    <row r="1723" spans="5:6">
      <c r="E1723" s="1">
        <v>17180</v>
      </c>
      <c r="F1723" s="1">
        <v>0.81398999999999999</v>
      </c>
    </row>
    <row r="1724" spans="5:6">
      <c r="E1724" s="1">
        <v>17190</v>
      </c>
      <c r="F1724" s="1">
        <v>0.81383399999999995</v>
      </c>
    </row>
    <row r="1725" spans="5:6">
      <c r="E1725" s="1">
        <v>17200</v>
      </c>
      <c r="F1725" s="1">
        <v>0.81392500000000001</v>
      </c>
    </row>
    <row r="1726" spans="5:6">
      <c r="E1726" s="1">
        <v>17210</v>
      </c>
      <c r="F1726" s="1">
        <v>0.81535999999999997</v>
      </c>
    </row>
    <row r="1727" spans="5:6">
      <c r="E1727" s="1">
        <v>17220</v>
      </c>
      <c r="F1727" s="1">
        <v>0.81411</v>
      </c>
    </row>
    <row r="1728" spans="5:6">
      <c r="E1728" s="1">
        <v>17230</v>
      </c>
      <c r="F1728" s="1">
        <v>0.81546799999999997</v>
      </c>
    </row>
    <row r="1729" spans="5:6">
      <c r="E1729" s="1">
        <v>17240</v>
      </c>
      <c r="F1729" s="1">
        <v>0.813608</v>
      </c>
    </row>
    <row r="1730" spans="5:6">
      <c r="E1730" s="1">
        <v>17250</v>
      </c>
      <c r="F1730" s="1">
        <v>0.81173399999999996</v>
      </c>
    </row>
    <row r="1731" spans="5:6">
      <c r="E1731" s="1">
        <v>17260</v>
      </c>
      <c r="F1731" s="1">
        <v>0.81942099999999995</v>
      </c>
    </row>
    <row r="1732" spans="5:6">
      <c r="E1732" s="1">
        <v>17270</v>
      </c>
      <c r="F1732" s="1">
        <v>0.81684199999999996</v>
      </c>
    </row>
    <row r="1733" spans="5:6">
      <c r="E1733" s="1">
        <v>17280</v>
      </c>
      <c r="F1733" s="1">
        <v>0.81443200000000004</v>
      </c>
    </row>
    <row r="1734" spans="5:6">
      <c r="E1734" s="1">
        <v>17290</v>
      </c>
      <c r="F1734" s="1">
        <v>0.81793700000000003</v>
      </c>
    </row>
    <row r="1735" spans="5:6">
      <c r="E1735" s="1">
        <v>17300</v>
      </c>
      <c r="F1735" s="1">
        <v>0.81586599999999998</v>
      </c>
    </row>
    <row r="1736" spans="5:6">
      <c r="E1736" s="1">
        <v>17310</v>
      </c>
      <c r="F1736" s="1">
        <v>0.81618000000000002</v>
      </c>
    </row>
    <row r="1737" spans="5:6">
      <c r="E1737" s="1">
        <v>17320</v>
      </c>
      <c r="F1737" s="1">
        <v>0.81762400000000002</v>
      </c>
    </row>
    <row r="1738" spans="5:6">
      <c r="E1738" s="1">
        <v>17330</v>
      </c>
      <c r="F1738" s="1">
        <v>0.817276</v>
      </c>
    </row>
    <row r="1739" spans="5:6">
      <c r="E1739" s="1">
        <v>17340</v>
      </c>
      <c r="F1739" s="1">
        <v>0.81635400000000002</v>
      </c>
    </row>
    <row r="1740" spans="5:6">
      <c r="E1740" s="1">
        <v>17350</v>
      </c>
      <c r="F1740" s="1">
        <v>0.82460299999999997</v>
      </c>
    </row>
    <row r="1741" spans="5:6">
      <c r="E1741" s="1">
        <v>17360</v>
      </c>
      <c r="F1741" s="1">
        <v>0.81983600000000001</v>
      </c>
    </row>
    <row r="1742" spans="5:6">
      <c r="E1742" s="1">
        <v>17370</v>
      </c>
      <c r="F1742" s="1">
        <v>0.81716200000000005</v>
      </c>
    </row>
    <row r="1743" spans="5:6">
      <c r="E1743" s="1">
        <v>17380</v>
      </c>
      <c r="F1743" s="1">
        <v>0.81518599999999997</v>
      </c>
    </row>
    <row r="1744" spans="5:6">
      <c r="E1744" s="1">
        <v>17390</v>
      </c>
      <c r="F1744" s="1">
        <v>0.81109399999999998</v>
      </c>
    </row>
    <row r="1745" spans="5:6">
      <c r="E1745" s="1">
        <v>17400</v>
      </c>
      <c r="F1745" s="1">
        <v>0.81237000000000004</v>
      </c>
    </row>
    <row r="1746" spans="5:6">
      <c r="E1746" s="1">
        <v>17410</v>
      </c>
      <c r="F1746" s="1">
        <v>0.80243299999999995</v>
      </c>
    </row>
    <row r="1747" spans="5:6">
      <c r="E1747" s="1">
        <v>17420</v>
      </c>
      <c r="F1747" s="1">
        <v>0.80750299999999997</v>
      </c>
    </row>
    <row r="1748" spans="5:6">
      <c r="E1748" s="1">
        <v>17430</v>
      </c>
      <c r="F1748" s="1">
        <v>0.808836</v>
      </c>
    </row>
    <row r="1749" spans="5:6">
      <c r="E1749" s="1">
        <v>17440</v>
      </c>
      <c r="F1749" s="1">
        <v>0.80878799999999995</v>
      </c>
    </row>
    <row r="1750" spans="5:6">
      <c r="E1750" s="1">
        <v>17450</v>
      </c>
      <c r="F1750" s="1">
        <v>0.81312799999999996</v>
      </c>
    </row>
    <row r="1751" spans="5:6">
      <c r="E1751" s="1">
        <v>17460</v>
      </c>
      <c r="F1751" s="1">
        <v>0.80859499999999995</v>
      </c>
    </row>
    <row r="1752" spans="5:6">
      <c r="E1752" s="1">
        <v>17470</v>
      </c>
      <c r="F1752" s="1">
        <v>0.81295799999999996</v>
      </c>
    </row>
    <row r="1753" spans="5:6">
      <c r="E1753" s="1">
        <v>17480</v>
      </c>
      <c r="F1753" s="1">
        <v>0.81220599999999998</v>
      </c>
    </row>
    <row r="1754" spans="5:6">
      <c r="E1754" s="1">
        <v>17490</v>
      </c>
      <c r="F1754" s="1">
        <v>0.81362999999999996</v>
      </c>
    </row>
    <row r="1755" spans="5:6">
      <c r="E1755" s="1">
        <v>17500</v>
      </c>
      <c r="F1755" s="1">
        <v>0.81337700000000002</v>
      </c>
    </row>
    <row r="1756" spans="5:6">
      <c r="E1756" s="1">
        <v>17510</v>
      </c>
      <c r="F1756" s="1">
        <v>0.81464800000000004</v>
      </c>
    </row>
    <row r="1757" spans="5:6">
      <c r="E1757" s="1">
        <v>17520</v>
      </c>
      <c r="F1757" s="1">
        <v>0.81825800000000004</v>
      </c>
    </row>
    <row r="1758" spans="5:6">
      <c r="E1758" s="1">
        <v>17530</v>
      </c>
      <c r="F1758" s="1">
        <v>0.81415400000000004</v>
      </c>
    </row>
    <row r="1759" spans="5:6">
      <c r="E1759" s="1">
        <v>17540</v>
      </c>
      <c r="F1759" s="1">
        <v>0.81149899999999997</v>
      </c>
    </row>
    <row r="1760" spans="5:6">
      <c r="E1760" s="1">
        <v>17550</v>
      </c>
      <c r="F1760" s="1">
        <v>0.81587699999999996</v>
      </c>
    </row>
    <row r="1761" spans="5:6">
      <c r="E1761" s="1">
        <v>17560</v>
      </c>
      <c r="F1761" s="1">
        <v>0.81613500000000005</v>
      </c>
    </row>
    <row r="1762" spans="5:6">
      <c r="E1762" s="1">
        <v>17570</v>
      </c>
      <c r="F1762" s="1">
        <v>0.81262699999999999</v>
      </c>
    </row>
    <row r="1763" spans="5:6">
      <c r="E1763" s="1">
        <v>17580</v>
      </c>
      <c r="F1763" s="1">
        <v>0.81050800000000001</v>
      </c>
    </row>
    <row r="1764" spans="5:6">
      <c r="E1764" s="1">
        <v>17590</v>
      </c>
      <c r="F1764" s="1">
        <v>0.81295600000000001</v>
      </c>
    </row>
    <row r="1765" spans="5:6">
      <c r="E1765" s="1">
        <v>17600</v>
      </c>
      <c r="F1765" s="1">
        <v>0.81570500000000001</v>
      </c>
    </row>
    <row r="1766" spans="5:6">
      <c r="E1766" s="1">
        <v>17610</v>
      </c>
      <c r="F1766" s="1">
        <v>0.81546300000000005</v>
      </c>
    </row>
    <row r="1767" spans="5:6">
      <c r="E1767" s="1">
        <v>17620</v>
      </c>
      <c r="F1767" s="1">
        <v>0.81760100000000002</v>
      </c>
    </row>
    <row r="1768" spans="5:6">
      <c r="E1768" s="1">
        <v>17630</v>
      </c>
      <c r="F1768" s="1">
        <v>0.81732499999999997</v>
      </c>
    </row>
    <row r="1769" spans="5:6">
      <c r="E1769" s="1">
        <v>17640</v>
      </c>
      <c r="F1769" s="1">
        <v>0.81679599999999997</v>
      </c>
    </row>
    <row r="1770" spans="5:6">
      <c r="E1770" s="1">
        <v>17650</v>
      </c>
      <c r="F1770" s="1">
        <v>0.81470500000000001</v>
      </c>
    </row>
    <row r="1771" spans="5:6">
      <c r="E1771" s="1">
        <v>17660</v>
      </c>
      <c r="F1771" s="1">
        <v>0.81786000000000003</v>
      </c>
    </row>
    <row r="1772" spans="5:6">
      <c r="E1772" s="1">
        <v>17670</v>
      </c>
      <c r="F1772" s="1">
        <v>0.81535500000000005</v>
      </c>
    </row>
    <row r="1773" spans="5:6">
      <c r="E1773" s="1">
        <v>17680</v>
      </c>
      <c r="F1773" s="1">
        <v>0.81558699999999995</v>
      </c>
    </row>
    <row r="1774" spans="5:6">
      <c r="E1774" s="1">
        <v>17690</v>
      </c>
      <c r="F1774" s="1">
        <v>0.813303</v>
      </c>
    </row>
    <row r="1775" spans="5:6">
      <c r="E1775" s="1">
        <v>17700</v>
      </c>
      <c r="F1775" s="1">
        <v>0.81476400000000004</v>
      </c>
    </row>
    <row r="1776" spans="5:6">
      <c r="E1776" s="1">
        <v>17710</v>
      </c>
      <c r="F1776" s="1">
        <v>0.81211999999999995</v>
      </c>
    </row>
    <row r="1777" spans="5:6">
      <c r="E1777" s="1">
        <v>17720</v>
      </c>
      <c r="F1777" s="1">
        <v>0.81326699999999996</v>
      </c>
    </row>
    <row r="1778" spans="5:6">
      <c r="E1778" s="1">
        <v>17730</v>
      </c>
      <c r="F1778" s="1">
        <v>0.81247499999999995</v>
      </c>
    </row>
    <row r="1779" spans="5:6">
      <c r="E1779" s="1">
        <v>17740</v>
      </c>
      <c r="F1779" s="1">
        <v>0.81462199999999996</v>
      </c>
    </row>
    <row r="1780" spans="5:6">
      <c r="E1780" s="1">
        <v>17750</v>
      </c>
      <c r="F1780" s="1">
        <v>0.81445900000000004</v>
      </c>
    </row>
    <row r="1781" spans="5:6">
      <c r="E1781" s="1">
        <v>17760</v>
      </c>
      <c r="F1781" s="1">
        <v>0.81720499999999996</v>
      </c>
    </row>
    <row r="1782" spans="5:6">
      <c r="E1782" s="1">
        <v>17770</v>
      </c>
      <c r="F1782" s="1">
        <v>0.81733199999999995</v>
      </c>
    </row>
    <row r="1783" spans="5:6">
      <c r="E1783" s="1">
        <v>17780</v>
      </c>
      <c r="F1783" s="1">
        <v>0.81380699999999995</v>
      </c>
    </row>
    <row r="1784" spans="5:6">
      <c r="E1784" s="1">
        <v>17790</v>
      </c>
      <c r="F1784" s="1">
        <v>0.81725000000000003</v>
      </c>
    </row>
    <row r="1785" spans="5:6">
      <c r="E1785" s="1">
        <v>17800</v>
      </c>
      <c r="F1785" s="1">
        <v>0.81162199999999995</v>
      </c>
    </row>
    <row r="1786" spans="5:6">
      <c r="E1786" s="1">
        <v>17810</v>
      </c>
      <c r="F1786" s="1">
        <v>0.81360500000000002</v>
      </c>
    </row>
    <row r="1787" spans="5:6">
      <c r="E1787" s="1">
        <v>17820</v>
      </c>
      <c r="F1787" s="1">
        <v>0.81648699999999996</v>
      </c>
    </row>
    <row r="1788" spans="5:6">
      <c r="E1788" s="1">
        <v>17830</v>
      </c>
      <c r="F1788" s="1">
        <v>0.815828</v>
      </c>
    </row>
    <row r="1789" spans="5:6">
      <c r="E1789" s="1">
        <v>17840</v>
      </c>
      <c r="F1789" s="1">
        <v>0.81397600000000003</v>
      </c>
    </row>
    <row r="1790" spans="5:6">
      <c r="E1790" s="1">
        <v>17850</v>
      </c>
      <c r="F1790" s="1">
        <v>0.81729200000000002</v>
      </c>
    </row>
    <row r="1791" spans="5:6">
      <c r="E1791" s="1">
        <v>17860</v>
      </c>
      <c r="F1791" s="1">
        <v>0.81307200000000002</v>
      </c>
    </row>
    <row r="1792" spans="5:6">
      <c r="E1792" s="1">
        <v>17870</v>
      </c>
      <c r="F1792" s="1">
        <v>0.81632400000000005</v>
      </c>
    </row>
    <row r="1793" spans="5:6">
      <c r="E1793" s="1">
        <v>17880</v>
      </c>
      <c r="F1793" s="1">
        <v>0.81610799999999994</v>
      </c>
    </row>
    <row r="1794" spans="5:6">
      <c r="E1794" s="1">
        <v>17890</v>
      </c>
      <c r="F1794" s="1">
        <v>0.81472900000000004</v>
      </c>
    </row>
    <row r="1795" spans="5:6">
      <c r="E1795" s="1">
        <v>17900</v>
      </c>
      <c r="F1795" s="1">
        <v>0.81305300000000003</v>
      </c>
    </row>
    <row r="1796" spans="5:6">
      <c r="E1796" s="1">
        <v>17910</v>
      </c>
      <c r="F1796" s="1">
        <v>0.81777500000000003</v>
      </c>
    </row>
    <row r="1797" spans="5:6">
      <c r="E1797" s="1">
        <v>17920</v>
      </c>
      <c r="F1797" s="1">
        <v>0.81721500000000002</v>
      </c>
    </row>
    <row r="1798" spans="5:6">
      <c r="E1798" s="1">
        <v>17930</v>
      </c>
      <c r="F1798" s="1">
        <v>0.81886800000000004</v>
      </c>
    </row>
    <row r="1799" spans="5:6">
      <c r="E1799" s="1">
        <v>17940</v>
      </c>
      <c r="F1799" s="1">
        <v>0.81428</v>
      </c>
    </row>
    <row r="1800" spans="5:6">
      <c r="E1800" s="1">
        <v>17950</v>
      </c>
      <c r="F1800" s="1">
        <v>0.815442</v>
      </c>
    </row>
    <row r="1801" spans="5:6">
      <c r="E1801" s="1">
        <v>17960</v>
      </c>
      <c r="F1801" s="1">
        <v>0.81578799999999996</v>
      </c>
    </row>
    <row r="1802" spans="5:6">
      <c r="E1802" s="1">
        <v>17970</v>
      </c>
      <c r="F1802" s="1">
        <v>0.81896100000000005</v>
      </c>
    </row>
    <row r="1803" spans="5:6">
      <c r="E1803" s="1">
        <v>17980</v>
      </c>
      <c r="F1803" s="1">
        <v>0.81589</v>
      </c>
    </row>
    <row r="1804" spans="5:6">
      <c r="E1804" s="1">
        <v>17990</v>
      </c>
      <c r="F1804" s="1">
        <v>0.813975</v>
      </c>
    </row>
    <row r="1805" spans="5:6">
      <c r="E1805" s="1">
        <v>18000</v>
      </c>
      <c r="F1805" s="1">
        <v>0.81498899999999996</v>
      </c>
    </row>
    <row r="1806" spans="5:6">
      <c r="E1806" s="1">
        <v>18010</v>
      </c>
      <c r="F1806" s="1">
        <v>0.81294599999999995</v>
      </c>
    </row>
    <row r="1807" spans="5:6">
      <c r="E1807" s="1">
        <v>18020</v>
      </c>
      <c r="F1807" s="1">
        <v>0.81284199999999995</v>
      </c>
    </row>
    <row r="1808" spans="5:6">
      <c r="E1808" s="1">
        <v>18030</v>
      </c>
      <c r="F1808" s="1">
        <v>0.81444000000000005</v>
      </c>
    </row>
    <row r="1809" spans="5:6">
      <c r="E1809" s="1">
        <v>18040</v>
      </c>
      <c r="F1809" s="1">
        <v>0.81385399999999997</v>
      </c>
    </row>
    <row r="1810" spans="5:6">
      <c r="E1810" s="1">
        <v>18050</v>
      </c>
      <c r="F1810" s="1">
        <v>0.81490399999999996</v>
      </c>
    </row>
    <row r="1811" spans="5:6">
      <c r="E1811" s="1">
        <v>18060</v>
      </c>
      <c r="F1811" s="1">
        <v>0.813249</v>
      </c>
    </row>
    <row r="1812" spans="5:6">
      <c r="E1812" s="1">
        <v>18070</v>
      </c>
      <c r="F1812" s="1">
        <v>0.81687500000000002</v>
      </c>
    </row>
    <row r="1813" spans="5:6">
      <c r="E1813" s="1">
        <v>18080</v>
      </c>
      <c r="F1813" s="1">
        <v>0.81158699999999995</v>
      </c>
    </row>
    <row r="1814" spans="5:6">
      <c r="E1814" s="1">
        <v>18090</v>
      </c>
      <c r="F1814" s="1">
        <v>0.81368499999999999</v>
      </c>
    </row>
    <row r="1815" spans="5:6">
      <c r="E1815" s="1">
        <v>18100</v>
      </c>
      <c r="F1815" s="1">
        <v>0.82110300000000003</v>
      </c>
    </row>
    <row r="1816" spans="5:6">
      <c r="E1816" s="1">
        <v>18110</v>
      </c>
      <c r="F1816" s="1">
        <v>0.81854899999999997</v>
      </c>
    </row>
    <row r="1817" spans="5:6">
      <c r="E1817" s="1">
        <v>18120</v>
      </c>
      <c r="F1817" s="1">
        <v>0.81540800000000002</v>
      </c>
    </row>
    <row r="1818" spans="5:6">
      <c r="E1818" s="1">
        <v>18130</v>
      </c>
      <c r="F1818" s="1">
        <v>0.82001599999999997</v>
      </c>
    </row>
    <row r="1819" spans="5:6">
      <c r="E1819" s="1">
        <v>18140</v>
      </c>
      <c r="F1819" s="1">
        <v>0.81969800000000004</v>
      </c>
    </row>
    <row r="1820" spans="5:6">
      <c r="E1820" s="1">
        <v>18150</v>
      </c>
      <c r="F1820" s="1">
        <v>0.81691400000000003</v>
      </c>
    </row>
    <row r="1821" spans="5:6">
      <c r="E1821" s="1">
        <v>18160</v>
      </c>
      <c r="F1821" s="1">
        <v>0.82003000000000004</v>
      </c>
    </row>
    <row r="1822" spans="5:6">
      <c r="E1822" s="1">
        <v>18170</v>
      </c>
      <c r="F1822" s="1">
        <v>0.81872400000000001</v>
      </c>
    </row>
    <row r="1823" spans="5:6">
      <c r="E1823" s="1">
        <v>18180</v>
      </c>
      <c r="F1823" s="1">
        <v>0.81804399999999999</v>
      </c>
    </row>
    <row r="1824" spans="5:6">
      <c r="E1824" s="1">
        <v>18190</v>
      </c>
      <c r="F1824" s="1">
        <v>0.82378499999999999</v>
      </c>
    </row>
    <row r="1825" spans="5:6">
      <c r="E1825" s="1">
        <v>18200</v>
      </c>
      <c r="F1825" s="1">
        <v>0.81876400000000005</v>
      </c>
    </row>
    <row r="1826" spans="5:6">
      <c r="E1826" s="1">
        <v>18210</v>
      </c>
      <c r="F1826" s="1">
        <v>0.82027600000000001</v>
      </c>
    </row>
    <row r="1827" spans="5:6">
      <c r="E1827" s="1">
        <v>18220</v>
      </c>
      <c r="F1827" s="1">
        <v>0.81549799999999995</v>
      </c>
    </row>
    <row r="1828" spans="5:6">
      <c r="E1828" s="1">
        <v>18230</v>
      </c>
      <c r="F1828" s="1">
        <v>0.81945500000000004</v>
      </c>
    </row>
    <row r="1829" spans="5:6">
      <c r="E1829" s="1">
        <v>18240</v>
      </c>
      <c r="F1829" s="1">
        <v>0.81492100000000001</v>
      </c>
    </row>
    <row r="1830" spans="5:6">
      <c r="E1830" s="1">
        <v>18250</v>
      </c>
      <c r="F1830" s="1">
        <v>0.81446300000000005</v>
      </c>
    </row>
    <row r="1831" spans="5:6">
      <c r="E1831" s="1">
        <v>18260</v>
      </c>
      <c r="F1831" s="1">
        <v>0.81850800000000001</v>
      </c>
    </row>
    <row r="1832" spans="5:6">
      <c r="E1832" s="1">
        <v>18270</v>
      </c>
      <c r="F1832" s="1">
        <v>0.81779199999999996</v>
      </c>
    </row>
    <row r="1833" spans="5:6">
      <c r="E1833" s="1">
        <v>18280</v>
      </c>
      <c r="F1833" s="1">
        <v>0.81893199999999999</v>
      </c>
    </row>
    <row r="1834" spans="5:6">
      <c r="E1834" s="1">
        <v>18290</v>
      </c>
      <c r="F1834" s="1">
        <v>0.82123299999999999</v>
      </c>
    </row>
    <row r="1835" spans="5:6">
      <c r="E1835" s="1">
        <v>18300</v>
      </c>
      <c r="F1835" s="1">
        <v>0.82150800000000002</v>
      </c>
    </row>
    <row r="1836" spans="5:6">
      <c r="E1836" s="1">
        <v>18310</v>
      </c>
      <c r="F1836" s="1">
        <v>0.82120599999999999</v>
      </c>
    </row>
    <row r="1837" spans="5:6">
      <c r="E1837" s="1">
        <v>18320</v>
      </c>
      <c r="F1837" s="1">
        <v>0.82183499999999998</v>
      </c>
    </row>
    <row r="1838" spans="5:6">
      <c r="E1838" s="1">
        <v>18330</v>
      </c>
      <c r="F1838" s="1">
        <v>0.824133</v>
      </c>
    </row>
    <row r="1839" spans="5:6">
      <c r="E1839" s="1">
        <v>18340</v>
      </c>
      <c r="F1839" s="1">
        <v>0.82386999999999999</v>
      </c>
    </row>
    <row r="1840" spans="5:6">
      <c r="E1840" s="1">
        <v>18350</v>
      </c>
      <c r="F1840" s="1">
        <v>0.82000499999999998</v>
      </c>
    </row>
    <row r="1841" spans="5:6">
      <c r="E1841" s="1">
        <v>18360</v>
      </c>
      <c r="F1841" s="1">
        <v>0.82100099999999998</v>
      </c>
    </row>
    <row r="1842" spans="5:6">
      <c r="E1842" s="1">
        <v>18370</v>
      </c>
      <c r="F1842" s="1">
        <v>0.81825099999999995</v>
      </c>
    </row>
    <row r="1843" spans="5:6">
      <c r="E1843" s="1">
        <v>18380</v>
      </c>
      <c r="F1843" s="1">
        <v>0.81537499999999996</v>
      </c>
    </row>
    <row r="1844" spans="5:6">
      <c r="E1844" s="1">
        <v>18390</v>
      </c>
      <c r="F1844" s="1">
        <v>0.81476800000000005</v>
      </c>
    </row>
    <row r="1845" spans="5:6">
      <c r="E1845" s="1">
        <v>18400</v>
      </c>
      <c r="F1845" s="1">
        <v>0.81751200000000002</v>
      </c>
    </row>
    <row r="1846" spans="5:6">
      <c r="E1846" s="1">
        <v>18410</v>
      </c>
      <c r="F1846" s="1">
        <v>0.81912799999999997</v>
      </c>
    </row>
    <row r="1847" spans="5:6">
      <c r="E1847" s="1">
        <v>18420</v>
      </c>
      <c r="F1847" s="1">
        <v>0.81986999999999999</v>
      </c>
    </row>
    <row r="1848" spans="5:6">
      <c r="E1848" s="1">
        <v>18430</v>
      </c>
      <c r="F1848" s="1">
        <v>0.81394100000000003</v>
      </c>
    </row>
    <row r="1849" spans="5:6">
      <c r="E1849" s="1">
        <v>18440</v>
      </c>
      <c r="F1849" s="1">
        <v>0.81911299999999998</v>
      </c>
    </row>
    <row r="1850" spans="5:6">
      <c r="E1850" s="1">
        <v>18450</v>
      </c>
      <c r="F1850" s="1">
        <v>0.81318900000000005</v>
      </c>
    </row>
    <row r="1851" spans="5:6">
      <c r="E1851" s="1">
        <v>18460</v>
      </c>
      <c r="F1851" s="1">
        <v>0.813195</v>
      </c>
    </row>
    <row r="1852" spans="5:6">
      <c r="E1852" s="1">
        <v>18470</v>
      </c>
      <c r="F1852" s="1">
        <v>0.81376300000000001</v>
      </c>
    </row>
    <row r="1853" spans="5:6">
      <c r="E1853" s="1">
        <v>18480</v>
      </c>
      <c r="F1853" s="1">
        <v>0.81356200000000001</v>
      </c>
    </row>
    <row r="1854" spans="5:6">
      <c r="E1854" s="1">
        <v>18490</v>
      </c>
      <c r="F1854" s="1">
        <v>0.81355299999999997</v>
      </c>
    </row>
    <row r="1855" spans="5:6">
      <c r="E1855" s="1">
        <v>18500</v>
      </c>
      <c r="F1855" s="1">
        <v>0.81238699999999997</v>
      </c>
    </row>
    <row r="1856" spans="5:6">
      <c r="E1856" s="1">
        <v>18510</v>
      </c>
      <c r="F1856" s="1">
        <v>0.81408599999999998</v>
      </c>
    </row>
    <row r="1857" spans="5:6">
      <c r="E1857" s="1">
        <v>18520</v>
      </c>
      <c r="F1857" s="1">
        <v>0.81378200000000001</v>
      </c>
    </row>
    <row r="1858" spans="5:6">
      <c r="E1858" s="1">
        <v>18530</v>
      </c>
      <c r="F1858" s="1">
        <v>0.81130100000000005</v>
      </c>
    </row>
    <row r="1859" spans="5:6">
      <c r="E1859" s="1">
        <v>18540</v>
      </c>
      <c r="F1859" s="1">
        <v>0.81047400000000003</v>
      </c>
    </row>
    <row r="1860" spans="5:6">
      <c r="E1860" s="1">
        <v>18550</v>
      </c>
      <c r="F1860" s="1">
        <v>0.80598599999999998</v>
      </c>
    </row>
    <row r="1861" spans="5:6">
      <c r="E1861" s="1">
        <v>18560</v>
      </c>
      <c r="F1861" s="1">
        <v>0.80917399999999995</v>
      </c>
    </row>
    <row r="1862" spans="5:6">
      <c r="E1862" s="1">
        <v>18570</v>
      </c>
      <c r="F1862" s="1">
        <v>0.81254400000000004</v>
      </c>
    </row>
    <row r="1863" spans="5:6">
      <c r="E1863" s="1">
        <v>18580</v>
      </c>
      <c r="F1863" s="1">
        <v>0.80728599999999995</v>
      </c>
    </row>
    <row r="1864" spans="5:6">
      <c r="E1864" s="1">
        <v>18590</v>
      </c>
      <c r="F1864" s="1">
        <v>0.80634399999999995</v>
      </c>
    </row>
    <row r="1865" spans="5:6">
      <c r="E1865" s="1">
        <v>18600</v>
      </c>
      <c r="F1865" s="1">
        <v>0.80927000000000004</v>
      </c>
    </row>
    <row r="1866" spans="5:6">
      <c r="E1866" s="1">
        <v>18610</v>
      </c>
      <c r="F1866" s="1">
        <v>0.81109100000000001</v>
      </c>
    </row>
    <row r="1867" spans="5:6">
      <c r="E1867" s="1">
        <v>18620</v>
      </c>
      <c r="F1867" s="1">
        <v>0.81067999999999996</v>
      </c>
    </row>
    <row r="1868" spans="5:6">
      <c r="E1868" s="1">
        <v>18630</v>
      </c>
      <c r="F1868" s="1">
        <v>0.80539400000000005</v>
      </c>
    </row>
    <row r="1869" spans="5:6">
      <c r="E1869" s="1">
        <v>18640</v>
      </c>
      <c r="F1869" s="1">
        <v>0.80834499999999998</v>
      </c>
    </row>
    <row r="1870" spans="5:6">
      <c r="E1870" s="1">
        <v>18650</v>
      </c>
      <c r="F1870" s="1">
        <v>0.81184800000000001</v>
      </c>
    </row>
    <row r="1871" spans="5:6">
      <c r="E1871" s="1">
        <v>18660</v>
      </c>
      <c r="F1871" s="1">
        <v>0.80741600000000002</v>
      </c>
    </row>
    <row r="1872" spans="5:6">
      <c r="E1872" s="1">
        <v>18670</v>
      </c>
      <c r="F1872" s="1">
        <v>0.80574900000000005</v>
      </c>
    </row>
    <row r="1873" spans="5:6">
      <c r="E1873" s="1">
        <v>18680</v>
      </c>
      <c r="F1873" s="1">
        <v>0.81017499999999998</v>
      </c>
    </row>
    <row r="1874" spans="5:6">
      <c r="E1874" s="1">
        <v>18690</v>
      </c>
      <c r="F1874" s="1">
        <v>0.80945500000000004</v>
      </c>
    </row>
    <row r="1875" spans="5:6">
      <c r="E1875" s="1">
        <v>18700</v>
      </c>
      <c r="F1875" s="1">
        <v>0.80772600000000006</v>
      </c>
    </row>
    <row r="1876" spans="5:6">
      <c r="E1876" s="1">
        <v>18710</v>
      </c>
      <c r="F1876" s="1">
        <v>0.80911</v>
      </c>
    </row>
    <row r="1877" spans="5:6">
      <c r="E1877" s="1">
        <v>18720</v>
      </c>
      <c r="F1877" s="1">
        <v>0.80868600000000002</v>
      </c>
    </row>
    <row r="1878" spans="5:6">
      <c r="E1878" s="1">
        <v>18730</v>
      </c>
      <c r="F1878" s="1">
        <v>0.81498199999999998</v>
      </c>
    </row>
    <row r="1879" spans="5:6">
      <c r="E1879" s="1">
        <v>18740</v>
      </c>
      <c r="F1879" s="1">
        <v>0.81450599999999995</v>
      </c>
    </row>
    <row r="1880" spans="5:6">
      <c r="E1880" s="1">
        <v>18750</v>
      </c>
      <c r="F1880" s="1">
        <v>0.81351399999999996</v>
      </c>
    </row>
    <row r="1881" spans="5:6">
      <c r="E1881" s="1">
        <v>18760</v>
      </c>
      <c r="F1881" s="1">
        <v>0.81452000000000002</v>
      </c>
    </row>
    <row r="1882" spans="5:6">
      <c r="E1882" s="1">
        <v>18770</v>
      </c>
      <c r="F1882" s="1">
        <v>0.81721299999999997</v>
      </c>
    </row>
    <row r="1883" spans="5:6">
      <c r="E1883" s="1">
        <v>18780</v>
      </c>
      <c r="F1883" s="1">
        <v>0.817519</v>
      </c>
    </row>
    <row r="1884" spans="5:6">
      <c r="E1884" s="1">
        <v>18790</v>
      </c>
      <c r="F1884" s="1">
        <v>0.81615499999999996</v>
      </c>
    </row>
    <row r="1885" spans="5:6">
      <c r="E1885" s="1">
        <v>18800</v>
      </c>
      <c r="F1885" s="1">
        <v>0.81281999999999999</v>
      </c>
    </row>
    <row r="1886" spans="5:6">
      <c r="E1886" s="1">
        <v>18810</v>
      </c>
      <c r="F1886" s="1">
        <v>0.81855100000000003</v>
      </c>
    </row>
    <row r="1887" spans="5:6">
      <c r="E1887" s="1">
        <v>18820</v>
      </c>
      <c r="F1887" s="1">
        <v>0.81737300000000002</v>
      </c>
    </row>
    <row r="1888" spans="5:6">
      <c r="E1888" s="1">
        <v>18830</v>
      </c>
      <c r="F1888" s="1">
        <v>0.818052</v>
      </c>
    </row>
    <row r="1889" spans="5:6">
      <c r="E1889" s="1">
        <v>18840</v>
      </c>
      <c r="F1889" s="1">
        <v>0.81531600000000004</v>
      </c>
    </row>
    <row r="1890" spans="5:6">
      <c r="E1890" s="1">
        <v>18850</v>
      </c>
      <c r="F1890" s="1">
        <v>0.81633999999999995</v>
      </c>
    </row>
    <row r="1891" spans="5:6">
      <c r="E1891" s="1">
        <v>18860</v>
      </c>
      <c r="F1891" s="1">
        <v>0.81558200000000003</v>
      </c>
    </row>
    <row r="1892" spans="5:6">
      <c r="E1892" s="1">
        <v>18870</v>
      </c>
      <c r="F1892" s="1">
        <v>0.816639</v>
      </c>
    </row>
    <row r="1893" spans="5:6">
      <c r="E1893" s="1">
        <v>18880</v>
      </c>
      <c r="F1893" s="1">
        <v>0.81924200000000003</v>
      </c>
    </row>
    <row r="1894" spans="5:6">
      <c r="E1894" s="1">
        <v>18890</v>
      </c>
      <c r="F1894" s="1">
        <v>0.816909</v>
      </c>
    </row>
    <row r="1895" spans="5:6">
      <c r="E1895" s="1">
        <v>18900</v>
      </c>
      <c r="F1895" s="1">
        <v>0.81547899999999995</v>
      </c>
    </row>
    <row r="1896" spans="5:6">
      <c r="E1896" s="1">
        <v>18910</v>
      </c>
      <c r="F1896" s="1">
        <v>0.81668700000000005</v>
      </c>
    </row>
    <row r="1897" spans="5:6">
      <c r="E1897" s="1">
        <v>18920</v>
      </c>
      <c r="F1897" s="1">
        <v>0.81393400000000005</v>
      </c>
    </row>
    <row r="1898" spans="5:6">
      <c r="E1898" s="1">
        <v>18930</v>
      </c>
      <c r="F1898" s="1">
        <v>0.816658</v>
      </c>
    </row>
    <row r="1899" spans="5:6">
      <c r="E1899" s="1">
        <v>18940</v>
      </c>
      <c r="F1899" s="1">
        <v>0.81444000000000005</v>
      </c>
    </row>
    <row r="1900" spans="5:6">
      <c r="E1900" s="1">
        <v>18950</v>
      </c>
      <c r="F1900" s="1">
        <v>0.81387299999999996</v>
      </c>
    </row>
    <row r="1901" spans="5:6">
      <c r="E1901" s="1">
        <v>18960</v>
      </c>
      <c r="F1901" s="1">
        <v>0.81698700000000002</v>
      </c>
    </row>
    <row r="1902" spans="5:6">
      <c r="E1902" s="1">
        <v>18970</v>
      </c>
      <c r="F1902" s="1">
        <v>0.81396000000000002</v>
      </c>
    </row>
    <row r="1903" spans="5:6">
      <c r="E1903" s="1">
        <v>18980</v>
      </c>
      <c r="F1903" s="1">
        <v>0.81556799999999996</v>
      </c>
    </row>
    <row r="1904" spans="5:6">
      <c r="E1904" s="1">
        <v>18990</v>
      </c>
      <c r="F1904" s="1">
        <v>0.81329300000000004</v>
      </c>
    </row>
    <row r="1905" spans="5:6">
      <c r="E1905" s="1">
        <v>19000</v>
      </c>
      <c r="F1905" s="1">
        <v>0.81502300000000005</v>
      </c>
    </row>
    <row r="1906" spans="5:6">
      <c r="E1906" s="1">
        <v>19010</v>
      </c>
      <c r="F1906" s="1">
        <v>0.81371300000000002</v>
      </c>
    </row>
    <row r="1907" spans="5:6">
      <c r="E1907" s="1">
        <v>19020</v>
      </c>
      <c r="F1907" s="1">
        <v>0.81164400000000003</v>
      </c>
    </row>
    <row r="1908" spans="5:6">
      <c r="E1908" s="1">
        <v>19030</v>
      </c>
      <c r="F1908" s="1">
        <v>0.814249</v>
      </c>
    </row>
    <row r="1909" spans="5:6">
      <c r="E1909" s="1">
        <v>19040</v>
      </c>
      <c r="F1909" s="1">
        <v>0.81483399999999995</v>
      </c>
    </row>
    <row r="1910" spans="5:6">
      <c r="E1910" s="1">
        <v>19050</v>
      </c>
      <c r="F1910" s="1">
        <v>0.81494599999999995</v>
      </c>
    </row>
    <row r="1911" spans="5:6">
      <c r="E1911" s="1">
        <v>19060</v>
      </c>
      <c r="F1911" s="1">
        <v>0.81275500000000001</v>
      </c>
    </row>
    <row r="1912" spans="5:6">
      <c r="E1912" s="1">
        <v>19070</v>
      </c>
      <c r="F1912" s="1">
        <v>0.81291000000000002</v>
      </c>
    </row>
    <row r="1913" spans="5:6">
      <c r="E1913" s="1">
        <v>19080</v>
      </c>
      <c r="F1913" s="1">
        <v>0.80818299999999998</v>
      </c>
    </row>
    <row r="1914" spans="5:6">
      <c r="E1914" s="1">
        <v>19090</v>
      </c>
      <c r="F1914" s="1">
        <v>0.81462400000000001</v>
      </c>
    </row>
    <row r="1915" spans="5:6">
      <c r="E1915" s="1">
        <v>19100</v>
      </c>
      <c r="F1915" s="1">
        <v>0.81076800000000004</v>
      </c>
    </row>
    <row r="1916" spans="5:6">
      <c r="E1916" s="1">
        <v>19110</v>
      </c>
      <c r="F1916" s="1">
        <v>0.81647899999999995</v>
      </c>
    </row>
    <row r="1917" spans="5:6">
      <c r="E1917" s="1">
        <v>19120</v>
      </c>
      <c r="F1917" s="1">
        <v>0.81385300000000005</v>
      </c>
    </row>
    <row r="1918" spans="5:6">
      <c r="E1918" s="1">
        <v>19130</v>
      </c>
      <c r="F1918" s="1">
        <v>0.81420199999999998</v>
      </c>
    </row>
    <row r="1919" spans="5:6">
      <c r="E1919" s="1">
        <v>19140</v>
      </c>
      <c r="F1919" s="1">
        <v>0.81639099999999998</v>
      </c>
    </row>
    <row r="1920" spans="5:6">
      <c r="E1920" s="1">
        <v>19150</v>
      </c>
      <c r="F1920" s="1">
        <v>0.81334700000000004</v>
      </c>
    </row>
    <row r="1921" spans="5:6">
      <c r="E1921" s="1">
        <v>19160</v>
      </c>
      <c r="F1921" s="1">
        <v>0.81135100000000004</v>
      </c>
    </row>
    <row r="1922" spans="5:6">
      <c r="E1922" s="1">
        <v>19170</v>
      </c>
      <c r="F1922" s="1">
        <v>0.81712499999999999</v>
      </c>
    </row>
    <row r="1923" spans="5:6">
      <c r="E1923" s="1">
        <v>19180</v>
      </c>
      <c r="F1923" s="1">
        <v>0.81443500000000002</v>
      </c>
    </row>
    <row r="1924" spans="5:6">
      <c r="E1924" s="1">
        <v>19190</v>
      </c>
      <c r="F1924" s="1">
        <v>0.81459099999999995</v>
      </c>
    </row>
    <row r="1925" spans="5:6">
      <c r="E1925" s="1">
        <v>19200</v>
      </c>
      <c r="F1925" s="1">
        <v>0.81012099999999998</v>
      </c>
    </row>
    <row r="1926" spans="5:6">
      <c r="E1926" s="1">
        <v>19210</v>
      </c>
      <c r="F1926" s="1">
        <v>0.81367500000000004</v>
      </c>
    </row>
    <row r="1927" spans="5:6">
      <c r="E1927" s="1">
        <v>19220</v>
      </c>
      <c r="F1927" s="1">
        <v>0.81260100000000002</v>
      </c>
    </row>
    <row r="1928" spans="5:6">
      <c r="E1928" s="1">
        <v>19230</v>
      </c>
      <c r="F1928" s="1">
        <v>0.81003599999999998</v>
      </c>
    </row>
    <row r="1929" spans="5:6">
      <c r="E1929" s="1">
        <v>19240</v>
      </c>
      <c r="F1929" s="1">
        <v>0.81087299999999995</v>
      </c>
    </row>
    <row r="1930" spans="5:6">
      <c r="E1930" s="1">
        <v>19250</v>
      </c>
      <c r="F1930" s="1">
        <v>0.81317200000000001</v>
      </c>
    </row>
    <row r="1931" spans="5:6">
      <c r="E1931" s="1">
        <v>19260</v>
      </c>
      <c r="F1931" s="1">
        <v>0.812782</v>
      </c>
    </row>
    <row r="1932" spans="5:6">
      <c r="E1932" s="1">
        <v>19270</v>
      </c>
      <c r="F1932" s="1">
        <v>0.81075699999999995</v>
      </c>
    </row>
    <row r="1933" spans="5:6">
      <c r="E1933" s="1">
        <v>19280</v>
      </c>
      <c r="F1933" s="1">
        <v>0.81240199999999996</v>
      </c>
    </row>
    <row r="1934" spans="5:6">
      <c r="E1934" s="1">
        <v>19290</v>
      </c>
      <c r="F1934" s="1">
        <v>0.80984699999999998</v>
      </c>
    </row>
    <row r="1935" spans="5:6">
      <c r="E1935" s="1">
        <v>19300</v>
      </c>
      <c r="F1935" s="1">
        <v>0.81346300000000005</v>
      </c>
    </row>
    <row r="1936" spans="5:6">
      <c r="E1936" s="1">
        <v>19310</v>
      </c>
      <c r="F1936" s="1">
        <v>0.81143200000000004</v>
      </c>
    </row>
    <row r="1937" spans="5:6">
      <c r="E1937" s="1">
        <v>19320</v>
      </c>
      <c r="F1937" s="1">
        <v>0.81295799999999996</v>
      </c>
    </row>
    <row r="1938" spans="5:6">
      <c r="E1938" s="1">
        <v>19330</v>
      </c>
      <c r="F1938" s="1">
        <v>0.81631699999999996</v>
      </c>
    </row>
    <row r="1939" spans="5:6">
      <c r="E1939" s="1">
        <v>19340</v>
      </c>
      <c r="F1939" s="1">
        <v>0.81111299999999997</v>
      </c>
    </row>
    <row r="1940" spans="5:6">
      <c r="E1940" s="1">
        <v>19350</v>
      </c>
      <c r="F1940" s="1">
        <v>0.81586400000000003</v>
      </c>
    </row>
    <row r="1941" spans="5:6">
      <c r="E1941" s="1">
        <v>19360</v>
      </c>
      <c r="F1941" s="1">
        <v>0.81258699999999995</v>
      </c>
    </row>
    <row r="1942" spans="5:6">
      <c r="E1942" s="1">
        <v>19370</v>
      </c>
      <c r="F1942" s="1">
        <v>0.810639</v>
      </c>
    </row>
    <row r="1943" spans="5:6">
      <c r="E1943" s="1">
        <v>19380</v>
      </c>
      <c r="F1943" s="1">
        <v>0.81464300000000001</v>
      </c>
    </row>
    <row r="1944" spans="5:6">
      <c r="E1944" s="1">
        <v>19390</v>
      </c>
      <c r="F1944" s="1">
        <v>0.80778300000000003</v>
      </c>
    </row>
    <row r="1945" spans="5:6">
      <c r="E1945" s="1">
        <v>19400</v>
      </c>
      <c r="F1945" s="1">
        <v>0.81283300000000003</v>
      </c>
    </row>
    <row r="1946" spans="5:6">
      <c r="E1946" s="1">
        <v>19410</v>
      </c>
      <c r="F1946" s="1">
        <v>0.81323100000000004</v>
      </c>
    </row>
    <row r="1947" spans="5:6">
      <c r="E1947" s="1">
        <v>19420</v>
      </c>
      <c r="F1947" s="1">
        <v>0.81466899999999998</v>
      </c>
    </row>
    <row r="1948" spans="5:6">
      <c r="E1948" s="1">
        <v>19430</v>
      </c>
      <c r="F1948" s="1">
        <v>0.81171599999999999</v>
      </c>
    </row>
    <row r="1949" spans="5:6">
      <c r="E1949" s="1">
        <v>19440</v>
      </c>
      <c r="F1949" s="1">
        <v>0.81477999999999995</v>
      </c>
    </row>
    <row r="1950" spans="5:6">
      <c r="E1950" s="1">
        <v>19450</v>
      </c>
      <c r="F1950" s="1">
        <v>0.81125199999999997</v>
      </c>
    </row>
    <row r="1951" spans="5:6">
      <c r="E1951" s="1">
        <v>19460</v>
      </c>
      <c r="F1951" s="1">
        <v>0.81109399999999998</v>
      </c>
    </row>
    <row r="1952" spans="5:6">
      <c r="E1952" s="1">
        <v>19470</v>
      </c>
      <c r="F1952" s="1">
        <v>0.81340900000000005</v>
      </c>
    </row>
    <row r="1953" spans="5:6">
      <c r="E1953" s="1">
        <v>19480</v>
      </c>
      <c r="F1953" s="1">
        <v>0.81333699999999998</v>
      </c>
    </row>
    <row r="1954" spans="5:6">
      <c r="E1954" s="1">
        <v>19490</v>
      </c>
      <c r="F1954" s="1">
        <v>0.81485300000000005</v>
      </c>
    </row>
    <row r="1955" spans="5:6">
      <c r="E1955" s="1">
        <v>19500</v>
      </c>
      <c r="F1955" s="1">
        <v>0.81293800000000005</v>
      </c>
    </row>
    <row r="1956" spans="5:6">
      <c r="E1956" s="1">
        <v>19510</v>
      </c>
      <c r="F1956" s="1">
        <v>0.81048200000000004</v>
      </c>
    </row>
    <row r="1957" spans="5:6">
      <c r="E1957" s="1">
        <v>19520</v>
      </c>
      <c r="F1957" s="1">
        <v>0.81414200000000003</v>
      </c>
    </row>
    <row r="1958" spans="5:6">
      <c r="E1958" s="1">
        <v>19530</v>
      </c>
      <c r="F1958" s="1">
        <v>0.81156099999999998</v>
      </c>
    </row>
    <row r="1959" spans="5:6">
      <c r="E1959" s="1">
        <v>19540</v>
      </c>
      <c r="F1959" s="1">
        <v>0.81087900000000002</v>
      </c>
    </row>
    <row r="1960" spans="5:6">
      <c r="E1960" s="1">
        <v>19550</v>
      </c>
      <c r="F1960" s="1">
        <v>0.80917300000000003</v>
      </c>
    </row>
    <row r="1961" spans="5:6">
      <c r="E1961" s="1">
        <v>19560</v>
      </c>
      <c r="F1961" s="1">
        <v>0.80842199999999997</v>
      </c>
    </row>
    <row r="1962" spans="5:6">
      <c r="E1962" s="1">
        <v>19570</v>
      </c>
      <c r="F1962" s="1">
        <v>0.81439799999999996</v>
      </c>
    </row>
    <row r="1963" spans="5:6">
      <c r="E1963" s="1">
        <v>19580</v>
      </c>
      <c r="F1963" s="1">
        <v>0.811006</v>
      </c>
    </row>
    <row r="1964" spans="5:6">
      <c r="E1964" s="1">
        <v>19590</v>
      </c>
      <c r="F1964" s="1">
        <v>0.811473</v>
      </c>
    </row>
    <row r="1965" spans="5:6">
      <c r="E1965" s="1">
        <v>19600</v>
      </c>
      <c r="F1965" s="1">
        <v>0.81275500000000001</v>
      </c>
    </row>
    <row r="1966" spans="5:6">
      <c r="E1966" s="1">
        <v>19610</v>
      </c>
      <c r="F1966" s="1">
        <v>0.81571499999999997</v>
      </c>
    </row>
    <row r="1967" spans="5:6">
      <c r="E1967" s="1">
        <v>19620</v>
      </c>
      <c r="F1967" s="1">
        <v>0.81384000000000001</v>
      </c>
    </row>
    <row r="1968" spans="5:6">
      <c r="E1968" s="1">
        <v>19630</v>
      </c>
      <c r="F1968" s="1">
        <v>0.81786300000000001</v>
      </c>
    </row>
    <row r="1969" spans="5:6">
      <c r="E1969" s="1">
        <v>19640</v>
      </c>
      <c r="F1969" s="1">
        <v>0.81565699999999997</v>
      </c>
    </row>
    <row r="1970" spans="5:6">
      <c r="E1970" s="1">
        <v>19650</v>
      </c>
      <c r="F1970" s="1">
        <v>0.81509900000000002</v>
      </c>
    </row>
    <row r="1971" spans="5:6">
      <c r="E1971" s="1">
        <v>19660</v>
      </c>
      <c r="F1971" s="1">
        <v>0.81534799999999996</v>
      </c>
    </row>
    <row r="1972" spans="5:6">
      <c r="E1972" s="1">
        <v>19670</v>
      </c>
      <c r="F1972" s="1">
        <v>0.81311</v>
      </c>
    </row>
    <row r="1973" spans="5:6">
      <c r="E1973" s="1">
        <v>19680</v>
      </c>
      <c r="F1973" s="1">
        <v>0.81446499999999999</v>
      </c>
    </row>
    <row r="1974" spans="5:6">
      <c r="E1974" s="1">
        <v>19690</v>
      </c>
      <c r="F1974" s="1">
        <v>0.81111</v>
      </c>
    </row>
    <row r="1975" spans="5:6">
      <c r="E1975" s="1">
        <v>19700</v>
      </c>
      <c r="F1975" s="1">
        <v>0.812581</v>
      </c>
    </row>
    <row r="1976" spans="5:6">
      <c r="E1976" s="1">
        <v>19710</v>
      </c>
      <c r="F1976" s="1">
        <v>0.81491199999999997</v>
      </c>
    </row>
    <row r="1977" spans="5:6">
      <c r="E1977" s="1">
        <v>19720</v>
      </c>
      <c r="F1977" s="1">
        <v>0.81210000000000004</v>
      </c>
    </row>
    <row r="1978" spans="5:6">
      <c r="E1978" s="1">
        <v>19730</v>
      </c>
      <c r="F1978" s="1">
        <v>0.81454199999999999</v>
      </c>
    </row>
    <row r="1979" spans="5:6">
      <c r="E1979" s="1">
        <v>19740</v>
      </c>
      <c r="F1979" s="1">
        <v>0.81200000000000006</v>
      </c>
    </row>
    <row r="1980" spans="5:6">
      <c r="E1980" s="1">
        <v>19750</v>
      </c>
      <c r="F1980" s="1">
        <v>0.81632800000000005</v>
      </c>
    </row>
    <row r="1981" spans="5:6">
      <c r="E1981" s="1">
        <v>19760</v>
      </c>
      <c r="F1981" s="1">
        <v>0.81907099999999999</v>
      </c>
    </row>
    <row r="1982" spans="5:6">
      <c r="E1982" s="1">
        <v>19770</v>
      </c>
      <c r="F1982" s="1">
        <v>0.81488899999999997</v>
      </c>
    </row>
    <row r="1983" spans="5:6">
      <c r="E1983" s="1">
        <v>19780</v>
      </c>
      <c r="F1983" s="1">
        <v>0.81653699999999996</v>
      </c>
    </row>
    <row r="1984" spans="5:6">
      <c r="E1984" s="1">
        <v>19790</v>
      </c>
      <c r="F1984" s="1">
        <v>0.81482100000000002</v>
      </c>
    </row>
    <row r="1985" spans="5:6">
      <c r="E1985" s="1">
        <v>19800</v>
      </c>
      <c r="F1985" s="1">
        <v>0.81595399999999996</v>
      </c>
    </row>
    <row r="1986" spans="5:6">
      <c r="E1986" s="1">
        <v>19810</v>
      </c>
      <c r="F1986" s="1">
        <v>0.81717700000000004</v>
      </c>
    </row>
    <row r="1987" spans="5:6">
      <c r="E1987" s="1">
        <v>19820</v>
      </c>
      <c r="F1987" s="1">
        <v>0.81257000000000001</v>
      </c>
    </row>
    <row r="1988" spans="5:6">
      <c r="E1988" s="1">
        <v>19830</v>
      </c>
      <c r="F1988" s="1">
        <v>0.81640800000000002</v>
      </c>
    </row>
    <row r="1989" spans="5:6">
      <c r="E1989" s="1">
        <v>19840</v>
      </c>
      <c r="F1989" s="1">
        <v>0.81539899999999998</v>
      </c>
    </row>
    <row r="1990" spans="5:6">
      <c r="E1990" s="1">
        <v>19850</v>
      </c>
      <c r="F1990" s="1">
        <v>0.81433699999999998</v>
      </c>
    </row>
    <row r="1991" spans="5:6">
      <c r="E1991" s="1">
        <v>19860</v>
      </c>
      <c r="F1991" s="1">
        <v>0.81650100000000003</v>
      </c>
    </row>
    <row r="1992" spans="5:6">
      <c r="E1992" s="1">
        <v>19870</v>
      </c>
      <c r="F1992" s="1">
        <v>0.81959599999999999</v>
      </c>
    </row>
    <row r="1993" spans="5:6">
      <c r="E1993" s="1">
        <v>19880</v>
      </c>
      <c r="F1993" s="1">
        <v>0.81093199999999999</v>
      </c>
    </row>
    <row r="1994" spans="5:6">
      <c r="E1994" s="1">
        <v>19890</v>
      </c>
      <c r="F1994" s="1">
        <v>0.81552000000000002</v>
      </c>
    </row>
    <row r="1995" spans="5:6">
      <c r="E1995" s="1">
        <v>19900</v>
      </c>
      <c r="F1995" s="1">
        <v>0.81501400000000002</v>
      </c>
    </row>
    <row r="1996" spans="5:6">
      <c r="E1996" s="1">
        <v>19910</v>
      </c>
      <c r="F1996" s="1">
        <v>0.80930800000000003</v>
      </c>
    </row>
    <row r="1997" spans="5:6">
      <c r="E1997" s="1">
        <v>19920</v>
      </c>
      <c r="F1997" s="1">
        <v>0.80640500000000004</v>
      </c>
    </row>
    <row r="1998" spans="5:6">
      <c r="E1998" s="1">
        <v>19930</v>
      </c>
      <c r="F1998" s="1">
        <v>0.80852500000000005</v>
      </c>
    </row>
    <row r="1999" spans="5:6">
      <c r="E1999" s="1">
        <v>19940</v>
      </c>
      <c r="F1999" s="1">
        <v>0.81055299999999997</v>
      </c>
    </row>
    <row r="2000" spans="5:6">
      <c r="E2000" s="1">
        <v>19950</v>
      </c>
      <c r="F2000" s="1">
        <v>0.80981700000000001</v>
      </c>
    </row>
    <row r="2001" spans="5:6">
      <c r="E2001" s="1">
        <v>19960</v>
      </c>
      <c r="F2001" s="1">
        <v>0.81052000000000002</v>
      </c>
    </row>
    <row r="2002" spans="5:6">
      <c r="E2002" s="1">
        <v>19970</v>
      </c>
      <c r="F2002" s="1">
        <v>0.80467</v>
      </c>
    </row>
    <row r="2003" spans="5:6">
      <c r="E2003" s="1">
        <v>19980</v>
      </c>
      <c r="F2003" s="1">
        <v>0.80913100000000004</v>
      </c>
    </row>
    <row r="2004" spans="5:6">
      <c r="E2004" s="1">
        <v>19990</v>
      </c>
      <c r="F2004" s="1">
        <v>0.80982900000000002</v>
      </c>
    </row>
    <row r="2005" spans="5:6">
      <c r="E2005" s="1">
        <v>20000</v>
      </c>
      <c r="F2005" s="1">
        <v>0.80623199999999995</v>
      </c>
    </row>
    <row r="2006" spans="5:6">
      <c r="E2006" s="1">
        <v>20010</v>
      </c>
      <c r="F2006" s="1">
        <v>0.80875600000000003</v>
      </c>
    </row>
    <row r="2007" spans="5:6">
      <c r="E2007" s="1">
        <v>20020</v>
      </c>
      <c r="F2007" s="1">
        <v>0.81130899999999995</v>
      </c>
    </row>
    <row r="2008" spans="5:6">
      <c r="E2008" s="1">
        <v>20030</v>
      </c>
      <c r="F2008" s="1">
        <v>0.81282699999999997</v>
      </c>
    </row>
    <row r="2009" spans="5:6">
      <c r="E2009" s="1">
        <v>20040</v>
      </c>
      <c r="F2009" s="1">
        <v>0.81254199999999999</v>
      </c>
    </row>
    <row r="2010" spans="5:6">
      <c r="E2010" s="1">
        <v>20050</v>
      </c>
      <c r="F2010" s="1">
        <v>0.81232400000000005</v>
      </c>
    </row>
    <row r="2011" spans="5:6">
      <c r="E2011" s="1">
        <v>20060</v>
      </c>
      <c r="F2011" s="1">
        <v>0.81171700000000002</v>
      </c>
    </row>
    <row r="2012" spans="5:6">
      <c r="E2012" s="1">
        <v>20070</v>
      </c>
      <c r="F2012" s="1">
        <v>0.80950100000000003</v>
      </c>
    </row>
    <row r="2013" spans="5:6">
      <c r="E2013" s="1">
        <v>20080</v>
      </c>
      <c r="F2013" s="1">
        <v>0.81157000000000001</v>
      </c>
    </row>
    <row r="2014" spans="5:6">
      <c r="E2014" s="1">
        <v>20090</v>
      </c>
      <c r="F2014" s="1">
        <v>0.81306999999999996</v>
      </c>
    </row>
    <row r="2015" spans="5:6">
      <c r="E2015" s="1">
        <v>20100</v>
      </c>
      <c r="F2015" s="1">
        <v>0.80861799999999995</v>
      </c>
    </row>
    <row r="2016" spans="5:6">
      <c r="E2016" s="1">
        <v>20110</v>
      </c>
      <c r="F2016" s="1">
        <v>0.81191500000000005</v>
      </c>
    </row>
    <row r="2017" spans="5:6">
      <c r="E2017" s="1">
        <v>20120</v>
      </c>
      <c r="F2017" s="1">
        <v>0.81171899999999997</v>
      </c>
    </row>
    <row r="2018" spans="5:6">
      <c r="E2018" s="1">
        <v>20130</v>
      </c>
      <c r="F2018" s="1">
        <v>0.81040100000000004</v>
      </c>
    </row>
    <row r="2019" spans="5:6">
      <c r="E2019" s="1">
        <v>20140</v>
      </c>
      <c r="F2019" s="1">
        <v>0.81077500000000002</v>
      </c>
    </row>
    <row r="2020" spans="5:6">
      <c r="E2020" s="1">
        <v>20150</v>
      </c>
      <c r="F2020" s="1">
        <v>0.81073099999999998</v>
      </c>
    </row>
    <row r="2021" spans="5:6">
      <c r="E2021" s="1">
        <v>20160</v>
      </c>
      <c r="F2021" s="1">
        <v>0.81083099999999997</v>
      </c>
    </row>
    <row r="2022" spans="5:6">
      <c r="E2022" s="1">
        <v>20170</v>
      </c>
      <c r="F2022" s="1">
        <v>0.80827800000000005</v>
      </c>
    </row>
    <row r="2023" spans="5:6">
      <c r="E2023" s="1">
        <v>20180</v>
      </c>
      <c r="F2023" s="1">
        <v>0.809172</v>
      </c>
    </row>
    <row r="2024" spans="5:6">
      <c r="E2024" s="1">
        <v>20190</v>
      </c>
      <c r="F2024" s="1">
        <v>0.81487100000000001</v>
      </c>
    </row>
    <row r="2025" spans="5:6">
      <c r="E2025" s="1">
        <v>20200</v>
      </c>
      <c r="F2025" s="1">
        <v>0.81731200000000004</v>
      </c>
    </row>
    <row r="2026" spans="5:6">
      <c r="E2026" s="1">
        <v>20210</v>
      </c>
      <c r="F2026" s="1">
        <v>0.81153699999999995</v>
      </c>
    </row>
    <row r="2027" spans="5:6">
      <c r="E2027" s="1">
        <v>20220</v>
      </c>
      <c r="F2027" s="1">
        <v>0.81395600000000001</v>
      </c>
    </row>
    <row r="2028" spans="5:6">
      <c r="E2028" s="1">
        <v>20230</v>
      </c>
      <c r="F2028" s="1">
        <v>0.81269100000000005</v>
      </c>
    </row>
    <row r="2029" spans="5:6">
      <c r="E2029" s="1">
        <v>20240</v>
      </c>
      <c r="F2029" s="1">
        <v>0.80698700000000001</v>
      </c>
    </row>
    <row r="2030" spans="5:6">
      <c r="E2030" s="1">
        <v>20250</v>
      </c>
      <c r="F2030" s="1">
        <v>0.81018800000000002</v>
      </c>
    </row>
    <row r="2031" spans="5:6">
      <c r="E2031" s="1">
        <v>20260</v>
      </c>
      <c r="F2031" s="1">
        <v>0.81152199999999997</v>
      </c>
    </row>
    <row r="2032" spans="5:6">
      <c r="E2032" s="1">
        <v>20270</v>
      </c>
      <c r="F2032" s="1">
        <v>0.80845699999999998</v>
      </c>
    </row>
    <row r="2033" spans="5:6">
      <c r="E2033" s="1">
        <v>20280</v>
      </c>
      <c r="F2033" s="1">
        <v>0.80652100000000004</v>
      </c>
    </row>
    <row r="2034" spans="5:6">
      <c r="E2034" s="1">
        <v>20290</v>
      </c>
      <c r="F2034" s="1">
        <v>0.81055500000000003</v>
      </c>
    </row>
    <row r="2035" spans="5:6">
      <c r="E2035" s="1">
        <v>20300</v>
      </c>
      <c r="F2035" s="1">
        <v>0.81090499999999999</v>
      </c>
    </row>
    <row r="2036" spans="5:6">
      <c r="E2036" s="1">
        <v>20310</v>
      </c>
      <c r="F2036" s="1">
        <v>0.80855999999999995</v>
      </c>
    </row>
    <row r="2037" spans="5:6">
      <c r="E2037" s="1">
        <v>20320</v>
      </c>
      <c r="F2037" s="1">
        <v>0.80990200000000001</v>
      </c>
    </row>
    <row r="2038" spans="5:6">
      <c r="E2038" s="1">
        <v>20330</v>
      </c>
      <c r="F2038" s="1">
        <v>0.81011500000000003</v>
      </c>
    </row>
    <row r="2039" spans="5:6">
      <c r="E2039" s="1">
        <v>20340</v>
      </c>
      <c r="F2039" s="1">
        <v>0.80681499999999995</v>
      </c>
    </row>
    <row r="2040" spans="5:6">
      <c r="E2040" s="1">
        <v>20350</v>
      </c>
      <c r="F2040" s="1">
        <v>0.81158399999999997</v>
      </c>
    </row>
    <row r="2041" spans="5:6">
      <c r="E2041" s="1">
        <v>20360</v>
      </c>
      <c r="F2041" s="1">
        <v>0.81365399999999999</v>
      </c>
    </row>
    <row r="2042" spans="5:6">
      <c r="E2042" s="1">
        <v>20370</v>
      </c>
      <c r="F2042" s="1">
        <v>0.81328999999999996</v>
      </c>
    </row>
    <row r="2043" spans="5:6">
      <c r="E2043" s="1">
        <v>20380</v>
      </c>
      <c r="F2043" s="1">
        <v>0.81477599999999994</v>
      </c>
    </row>
    <row r="2044" spans="5:6">
      <c r="E2044" s="1">
        <v>20390</v>
      </c>
      <c r="F2044" s="1">
        <v>0.80773200000000001</v>
      </c>
    </row>
    <row r="2045" spans="5:6">
      <c r="E2045" s="1">
        <v>20400</v>
      </c>
      <c r="F2045" s="1">
        <v>0.80478899999999998</v>
      </c>
    </row>
    <row r="2046" spans="5:6">
      <c r="E2046" s="1">
        <v>20410</v>
      </c>
      <c r="F2046" s="1">
        <v>0.81041099999999999</v>
      </c>
    </row>
    <row r="2047" spans="5:6">
      <c r="E2047" s="1">
        <v>20420</v>
      </c>
      <c r="F2047" s="1">
        <v>0.80540999999999996</v>
      </c>
    </row>
    <row r="2048" spans="5:6">
      <c r="E2048" s="1">
        <v>20430</v>
      </c>
      <c r="F2048" s="1">
        <v>0.80622099999999997</v>
      </c>
    </row>
    <row r="2049" spans="5:6">
      <c r="E2049" s="1">
        <v>20440</v>
      </c>
      <c r="F2049" s="1">
        <v>0.80785200000000001</v>
      </c>
    </row>
    <row r="2050" spans="5:6">
      <c r="E2050" s="1">
        <v>20450</v>
      </c>
      <c r="F2050" s="1">
        <v>0.80914900000000001</v>
      </c>
    </row>
    <row r="2051" spans="5:6">
      <c r="E2051" s="1">
        <v>20460</v>
      </c>
      <c r="F2051" s="1">
        <v>0.80826900000000002</v>
      </c>
    </row>
    <row r="2052" spans="5:6">
      <c r="E2052" s="1">
        <v>20470</v>
      </c>
      <c r="F2052" s="1">
        <v>0.80829899999999999</v>
      </c>
    </row>
    <row r="2053" spans="5:6">
      <c r="E2053" s="1">
        <v>20480</v>
      </c>
      <c r="F2053" s="1">
        <v>0.81289999999999996</v>
      </c>
    </row>
    <row r="2054" spans="5:6">
      <c r="E2054" s="1">
        <v>20490</v>
      </c>
      <c r="F2054" s="1">
        <v>0.80950900000000003</v>
      </c>
    </row>
    <row r="2055" spans="5:6">
      <c r="E2055" s="1">
        <v>20500</v>
      </c>
      <c r="F2055" s="1">
        <v>0.80635000000000001</v>
      </c>
    </row>
    <row r="2056" spans="5:6">
      <c r="E2056" s="1">
        <v>20510</v>
      </c>
      <c r="F2056" s="1">
        <v>0.80877699999999997</v>
      </c>
    </row>
    <row r="2057" spans="5:6">
      <c r="E2057" s="1">
        <v>20520</v>
      </c>
      <c r="F2057" s="1">
        <v>0.80650900000000003</v>
      </c>
    </row>
    <row r="2058" spans="5:6">
      <c r="E2058" s="1">
        <v>20530</v>
      </c>
      <c r="F2058" s="1">
        <v>0.80782900000000002</v>
      </c>
    </row>
    <row r="2059" spans="5:6">
      <c r="E2059" s="1">
        <v>20540</v>
      </c>
      <c r="F2059" s="1">
        <v>0.80650599999999995</v>
      </c>
    </row>
    <row r="2060" spans="5:6">
      <c r="E2060" s="1">
        <v>20550</v>
      </c>
      <c r="F2060" s="1">
        <v>0.80778300000000003</v>
      </c>
    </row>
    <row r="2061" spans="5:6">
      <c r="E2061" s="1">
        <v>20560</v>
      </c>
      <c r="F2061" s="1">
        <v>0.80496400000000001</v>
      </c>
    </row>
    <row r="2062" spans="5:6">
      <c r="E2062" s="1">
        <v>20570</v>
      </c>
      <c r="F2062" s="1">
        <v>0.80601</v>
      </c>
    </row>
    <row r="2063" spans="5:6">
      <c r="E2063" s="1">
        <v>20580</v>
      </c>
      <c r="F2063" s="1">
        <v>0.81020000000000003</v>
      </c>
    </row>
    <row r="2064" spans="5:6">
      <c r="E2064" s="1">
        <v>20590</v>
      </c>
      <c r="F2064" s="1">
        <v>0.80772299999999997</v>
      </c>
    </row>
    <row r="2065" spans="5:6">
      <c r="E2065" s="1">
        <v>20600</v>
      </c>
      <c r="F2065" s="1">
        <v>0.80975799999999998</v>
      </c>
    </row>
    <row r="2066" spans="5:6">
      <c r="E2066" s="1">
        <v>20610</v>
      </c>
      <c r="F2066" s="1">
        <v>0.808952</v>
      </c>
    </row>
    <row r="2067" spans="5:6">
      <c r="E2067" s="1">
        <v>20620</v>
      </c>
      <c r="F2067" s="1">
        <v>0.80702799999999997</v>
      </c>
    </row>
    <row r="2068" spans="5:6">
      <c r="E2068" s="1">
        <v>20630</v>
      </c>
      <c r="F2068" s="1">
        <v>0.81007099999999999</v>
      </c>
    </row>
    <row r="2069" spans="5:6">
      <c r="E2069" s="1">
        <v>20640</v>
      </c>
      <c r="F2069" s="1">
        <v>0.80586199999999997</v>
      </c>
    </row>
    <row r="2070" spans="5:6">
      <c r="E2070" s="1">
        <v>20650</v>
      </c>
      <c r="F2070" s="1">
        <v>0.80659899999999995</v>
      </c>
    </row>
    <row r="2071" spans="5:6">
      <c r="E2071" s="1">
        <v>20660</v>
      </c>
      <c r="F2071" s="1">
        <v>0.805253</v>
      </c>
    </row>
    <row r="2072" spans="5:6">
      <c r="E2072" s="1">
        <v>20670</v>
      </c>
      <c r="F2072" s="1">
        <v>0.806427</v>
      </c>
    </row>
    <row r="2073" spans="5:6">
      <c r="E2073" s="1">
        <v>20680</v>
      </c>
      <c r="F2073" s="1">
        <v>0.802396</v>
      </c>
    </row>
    <row r="2074" spans="5:6">
      <c r="E2074" s="1">
        <v>20690</v>
      </c>
      <c r="F2074" s="1">
        <v>0.80568399999999996</v>
      </c>
    </row>
    <row r="2075" spans="5:6">
      <c r="E2075" s="1">
        <v>20700</v>
      </c>
      <c r="F2075" s="1">
        <v>0.80889900000000003</v>
      </c>
    </row>
    <row r="2076" spans="5:6">
      <c r="E2076" s="1">
        <v>20710</v>
      </c>
      <c r="F2076" s="1">
        <v>0.805454</v>
      </c>
    </row>
    <row r="2077" spans="5:6">
      <c r="E2077" s="1">
        <v>20720</v>
      </c>
      <c r="F2077" s="1">
        <v>0.80422400000000005</v>
      </c>
    </row>
    <row r="2078" spans="5:6">
      <c r="E2078" s="1">
        <v>20730</v>
      </c>
      <c r="F2078" s="1">
        <v>0.80715099999999995</v>
      </c>
    </row>
    <row r="2079" spans="5:6">
      <c r="E2079" s="1">
        <v>20740</v>
      </c>
      <c r="F2079" s="1">
        <v>0.80553900000000001</v>
      </c>
    </row>
    <row r="2080" spans="5:6">
      <c r="E2080" s="1">
        <v>20750</v>
      </c>
      <c r="F2080" s="1">
        <v>0.80754999999999999</v>
      </c>
    </row>
    <row r="2081" spans="5:6">
      <c r="E2081" s="1">
        <v>20760</v>
      </c>
      <c r="F2081" s="1">
        <v>0.81089</v>
      </c>
    </row>
    <row r="2082" spans="5:6">
      <c r="E2082" s="1">
        <v>20770</v>
      </c>
      <c r="F2082" s="1">
        <v>0.80630500000000005</v>
      </c>
    </row>
    <row r="2083" spans="5:6">
      <c r="E2083" s="1">
        <v>20780</v>
      </c>
      <c r="F2083" s="1">
        <v>0.80559400000000003</v>
      </c>
    </row>
    <row r="2084" spans="5:6">
      <c r="E2084" s="1">
        <v>20790</v>
      </c>
      <c r="F2084" s="1">
        <v>0.81072599999999995</v>
      </c>
    </row>
    <row r="2085" spans="5:6">
      <c r="E2085" s="1">
        <v>20800</v>
      </c>
      <c r="F2085" s="1">
        <v>0.80470900000000001</v>
      </c>
    </row>
    <row r="2086" spans="5:6">
      <c r="E2086" s="1">
        <v>20810</v>
      </c>
      <c r="F2086" s="1">
        <v>0.80605800000000005</v>
      </c>
    </row>
    <row r="2087" spans="5:6">
      <c r="E2087" s="1">
        <v>20820</v>
      </c>
      <c r="F2087" s="1">
        <v>0.80135500000000004</v>
      </c>
    </row>
    <row r="2088" spans="5:6">
      <c r="E2088" s="1">
        <v>20830</v>
      </c>
      <c r="F2088" s="1">
        <v>0.80301199999999995</v>
      </c>
    </row>
    <row r="2089" spans="5:6">
      <c r="E2089" s="1">
        <v>20840</v>
      </c>
      <c r="F2089" s="1">
        <v>0.80519700000000005</v>
      </c>
    </row>
    <row r="2090" spans="5:6">
      <c r="E2090" s="1">
        <v>20850</v>
      </c>
      <c r="F2090" s="1">
        <v>0.80347400000000002</v>
      </c>
    </row>
    <row r="2091" spans="5:6">
      <c r="E2091" s="1">
        <v>20860</v>
      </c>
      <c r="F2091" s="1">
        <v>0.80460399999999999</v>
      </c>
    </row>
    <row r="2092" spans="5:6">
      <c r="E2092" s="1">
        <v>20870</v>
      </c>
      <c r="F2092" s="1">
        <v>0.80531900000000001</v>
      </c>
    </row>
    <row r="2093" spans="5:6">
      <c r="E2093" s="1">
        <v>20880</v>
      </c>
      <c r="F2093" s="1">
        <v>0.80845900000000004</v>
      </c>
    </row>
    <row r="2094" spans="5:6">
      <c r="E2094" s="1">
        <v>20890</v>
      </c>
      <c r="F2094" s="1">
        <v>0.80647800000000003</v>
      </c>
    </row>
    <row r="2095" spans="5:6">
      <c r="E2095" s="1">
        <v>20900</v>
      </c>
      <c r="F2095" s="1">
        <v>0.80577299999999996</v>
      </c>
    </row>
    <row r="2096" spans="5:6">
      <c r="E2096" s="1">
        <v>20910</v>
      </c>
      <c r="F2096" s="1">
        <v>0.80701000000000001</v>
      </c>
    </row>
    <row r="2097" spans="5:6">
      <c r="E2097" s="1">
        <v>20920</v>
      </c>
      <c r="F2097" s="1">
        <v>0.80510199999999998</v>
      </c>
    </row>
    <row r="2098" spans="5:6">
      <c r="E2098" s="1">
        <v>20930</v>
      </c>
      <c r="F2098" s="1">
        <v>0.80832499999999996</v>
      </c>
    </row>
    <row r="2099" spans="5:6">
      <c r="E2099" s="1">
        <v>20940</v>
      </c>
      <c r="F2099" s="1">
        <v>0.80534700000000004</v>
      </c>
    </row>
    <row r="2100" spans="5:6">
      <c r="E2100" s="1">
        <v>20950</v>
      </c>
      <c r="F2100" s="1">
        <v>0.80509799999999998</v>
      </c>
    </row>
    <row r="2101" spans="5:6">
      <c r="E2101" s="1">
        <v>20960</v>
      </c>
      <c r="F2101" s="1">
        <v>0.81018500000000004</v>
      </c>
    </row>
    <row r="2102" spans="5:6">
      <c r="E2102" s="1">
        <v>20970</v>
      </c>
      <c r="F2102" s="1">
        <v>0.80820400000000003</v>
      </c>
    </row>
    <row r="2103" spans="5:6">
      <c r="E2103" s="1">
        <v>20980</v>
      </c>
      <c r="F2103" s="1">
        <v>0.80809399999999998</v>
      </c>
    </row>
    <row r="2104" spans="5:6">
      <c r="E2104" s="1">
        <v>20990</v>
      </c>
      <c r="F2104" s="1">
        <v>0.80168600000000001</v>
      </c>
    </row>
    <row r="2105" spans="5:6">
      <c r="E2105" s="1">
        <v>21000</v>
      </c>
      <c r="F2105" s="1">
        <v>0.80321699999999996</v>
      </c>
    </row>
    <row r="2106" spans="5:6">
      <c r="E2106" s="1">
        <v>21010</v>
      </c>
      <c r="F2106" s="1">
        <v>0.80492200000000003</v>
      </c>
    </row>
    <row r="2107" spans="5:6">
      <c r="E2107" s="1">
        <v>21020</v>
      </c>
      <c r="F2107" s="1">
        <v>0.80755399999999999</v>
      </c>
    </row>
    <row r="2108" spans="5:6">
      <c r="E2108" s="1">
        <v>21030</v>
      </c>
      <c r="F2108" s="1">
        <v>0.80671999999999999</v>
      </c>
    </row>
    <row r="2109" spans="5:6">
      <c r="E2109" s="1">
        <v>21040</v>
      </c>
      <c r="F2109" s="1">
        <v>0.80574199999999996</v>
      </c>
    </row>
    <row r="2110" spans="5:6">
      <c r="E2110" s="1">
        <v>21050</v>
      </c>
      <c r="F2110" s="1">
        <v>0.80017400000000005</v>
      </c>
    </row>
    <row r="2111" spans="5:6">
      <c r="E2111" s="1">
        <v>21060</v>
      </c>
      <c r="F2111" s="1">
        <v>0.80656899999999998</v>
      </c>
    </row>
    <row r="2112" spans="5:6">
      <c r="E2112" s="1">
        <v>21070</v>
      </c>
      <c r="F2112" s="1">
        <v>0.80043900000000001</v>
      </c>
    </row>
    <row r="2113" spans="5:6">
      <c r="E2113" s="1">
        <v>21080</v>
      </c>
      <c r="F2113" s="1">
        <v>0.80084200000000005</v>
      </c>
    </row>
    <row r="2114" spans="5:6">
      <c r="E2114" s="1">
        <v>21090</v>
      </c>
      <c r="F2114" s="1">
        <v>0.80524799999999996</v>
      </c>
    </row>
    <row r="2115" spans="5:6">
      <c r="E2115" s="1">
        <v>21100</v>
      </c>
      <c r="F2115" s="1">
        <v>0.79971800000000004</v>
      </c>
    </row>
    <row r="2116" spans="5:6">
      <c r="E2116" s="1">
        <v>21110</v>
      </c>
      <c r="F2116" s="1">
        <v>0.80092600000000003</v>
      </c>
    </row>
    <row r="2117" spans="5:6">
      <c r="E2117" s="1">
        <v>21120</v>
      </c>
      <c r="F2117" s="1">
        <v>0.80122099999999996</v>
      </c>
    </row>
    <row r="2118" spans="5:6">
      <c r="E2118" s="1">
        <v>21130</v>
      </c>
      <c r="F2118" s="1">
        <v>0.80613599999999996</v>
      </c>
    </row>
    <row r="2119" spans="5:6">
      <c r="E2119" s="1">
        <v>21140</v>
      </c>
      <c r="F2119" s="1">
        <v>0.80369100000000004</v>
      </c>
    </row>
    <row r="2120" spans="5:6">
      <c r="E2120" s="1">
        <v>21150</v>
      </c>
      <c r="F2120" s="1">
        <v>0.805481</v>
      </c>
    </row>
    <row r="2121" spans="5:6">
      <c r="E2121" s="1">
        <v>21160</v>
      </c>
      <c r="F2121" s="1">
        <v>0.80390899999999998</v>
      </c>
    </row>
    <row r="2122" spans="5:6">
      <c r="E2122" s="1">
        <v>21170</v>
      </c>
      <c r="F2122" s="1">
        <v>0.80232700000000001</v>
      </c>
    </row>
    <row r="2123" spans="5:6">
      <c r="E2123" s="1">
        <v>21180</v>
      </c>
      <c r="F2123" s="1">
        <v>0.80168099999999998</v>
      </c>
    </row>
    <row r="2124" spans="5:6">
      <c r="E2124" s="1">
        <v>21190</v>
      </c>
      <c r="F2124" s="1">
        <v>0.80189200000000005</v>
      </c>
    </row>
    <row r="2125" spans="5:6">
      <c r="E2125" s="1">
        <v>21200</v>
      </c>
      <c r="F2125" s="1">
        <v>0.804871</v>
      </c>
    </row>
    <row r="2126" spans="5:6">
      <c r="E2126" s="1">
        <v>21210</v>
      </c>
      <c r="F2126" s="1">
        <v>0.79900099999999996</v>
      </c>
    </row>
    <row r="2127" spans="5:6">
      <c r="E2127" s="1">
        <v>21220</v>
      </c>
      <c r="F2127" s="1">
        <v>0.79982500000000001</v>
      </c>
    </row>
    <row r="2128" spans="5:6">
      <c r="E2128" s="1">
        <v>21230</v>
      </c>
      <c r="F2128" s="1">
        <v>0.80199799999999999</v>
      </c>
    </row>
    <row r="2129" spans="5:6">
      <c r="E2129" s="1">
        <v>21240</v>
      </c>
      <c r="F2129" s="1">
        <v>0.80483099999999996</v>
      </c>
    </row>
    <row r="2130" spans="5:6">
      <c r="E2130" s="1">
        <v>21250</v>
      </c>
      <c r="F2130" s="1">
        <v>0.80368600000000001</v>
      </c>
    </row>
    <row r="2131" spans="5:6">
      <c r="E2131" s="1">
        <v>21260</v>
      </c>
      <c r="F2131" s="1">
        <v>0.80767299999999997</v>
      </c>
    </row>
    <row r="2132" spans="5:6">
      <c r="E2132" s="1">
        <v>21270</v>
      </c>
      <c r="F2132" s="1">
        <v>0.80345900000000003</v>
      </c>
    </row>
    <row r="2133" spans="5:6">
      <c r="E2133" s="1">
        <v>21280</v>
      </c>
      <c r="F2133" s="1">
        <v>0.80598199999999998</v>
      </c>
    </row>
    <row r="2134" spans="5:6">
      <c r="E2134" s="1">
        <v>21290</v>
      </c>
      <c r="F2134" s="1">
        <v>0.80200000000000005</v>
      </c>
    </row>
    <row r="2135" spans="5:6">
      <c r="E2135" s="1">
        <v>21300</v>
      </c>
      <c r="F2135" s="1">
        <v>0.80203100000000005</v>
      </c>
    </row>
    <row r="2136" spans="5:6">
      <c r="E2136" s="1">
        <v>21310</v>
      </c>
      <c r="F2136" s="1">
        <v>0.80169800000000002</v>
      </c>
    </row>
    <row r="2137" spans="5:6">
      <c r="E2137" s="1">
        <v>21320</v>
      </c>
      <c r="F2137" s="1">
        <v>0.80332599999999998</v>
      </c>
    </row>
    <row r="2138" spans="5:6">
      <c r="E2138" s="1">
        <v>21330</v>
      </c>
      <c r="F2138" s="1">
        <v>0.80347800000000003</v>
      </c>
    </row>
    <row r="2139" spans="5:6">
      <c r="E2139" s="1">
        <v>21340</v>
      </c>
      <c r="F2139" s="1">
        <v>0.79956499999999997</v>
      </c>
    </row>
    <row r="2140" spans="5:6">
      <c r="E2140" s="1">
        <v>21350</v>
      </c>
      <c r="F2140" s="1">
        <v>0.80221299999999995</v>
      </c>
    </row>
    <row r="2141" spans="5:6">
      <c r="E2141" s="1">
        <v>21360</v>
      </c>
      <c r="F2141" s="1">
        <v>0.80030699999999999</v>
      </c>
    </row>
    <row r="2142" spans="5:6">
      <c r="E2142" s="1">
        <v>21370</v>
      </c>
      <c r="F2142" s="1">
        <v>0.79829899999999998</v>
      </c>
    </row>
    <row r="2143" spans="5:6">
      <c r="E2143" s="1">
        <v>21380</v>
      </c>
      <c r="F2143" s="1">
        <v>0.80224200000000001</v>
      </c>
    </row>
    <row r="2144" spans="5:6">
      <c r="E2144" s="1">
        <v>21390</v>
      </c>
      <c r="F2144" s="1">
        <v>0.80319700000000005</v>
      </c>
    </row>
    <row r="2145" spans="5:6">
      <c r="E2145" s="1">
        <v>21400</v>
      </c>
      <c r="F2145" s="1">
        <v>0.80195799999999995</v>
      </c>
    </row>
    <row r="2146" spans="5:6">
      <c r="E2146" s="1">
        <v>21410</v>
      </c>
      <c r="F2146" s="1">
        <v>0.80191400000000002</v>
      </c>
    </row>
    <row r="2147" spans="5:6">
      <c r="E2147" s="1">
        <v>21420</v>
      </c>
      <c r="F2147" s="1">
        <v>0.80342499999999994</v>
      </c>
    </row>
    <row r="2148" spans="5:6">
      <c r="E2148" s="1">
        <v>21430</v>
      </c>
      <c r="F2148" s="1">
        <v>0.80552800000000002</v>
      </c>
    </row>
    <row r="2149" spans="5:6">
      <c r="E2149" s="1">
        <v>21440</v>
      </c>
      <c r="F2149" s="1">
        <v>0.79975099999999999</v>
      </c>
    </row>
    <row r="2150" spans="5:6">
      <c r="E2150" s="1">
        <v>21450</v>
      </c>
      <c r="F2150" s="1">
        <v>0.80125999999999997</v>
      </c>
    </row>
    <row r="2151" spans="5:6">
      <c r="E2151" s="1">
        <v>21460</v>
      </c>
      <c r="F2151" s="1">
        <v>0.79699399999999998</v>
      </c>
    </row>
    <row r="2152" spans="5:6">
      <c r="E2152" s="1">
        <v>21470</v>
      </c>
      <c r="F2152" s="1">
        <v>0.80269999999999997</v>
      </c>
    </row>
    <row r="2153" spans="5:6">
      <c r="E2153" s="1">
        <v>21480</v>
      </c>
      <c r="F2153" s="1">
        <v>0.80160200000000004</v>
      </c>
    </row>
    <row r="2154" spans="5:6">
      <c r="E2154" s="1">
        <v>21490</v>
      </c>
      <c r="F2154" s="1">
        <v>0.804342</v>
      </c>
    </row>
    <row r="2155" spans="5:6">
      <c r="E2155" s="1">
        <v>21500</v>
      </c>
      <c r="F2155" s="1">
        <v>0.80315499999999995</v>
      </c>
    </row>
    <row r="2156" spans="5:6">
      <c r="E2156" s="1">
        <v>21510</v>
      </c>
      <c r="F2156" s="1">
        <v>0.797705</v>
      </c>
    </row>
    <row r="2157" spans="5:6">
      <c r="E2157" s="1">
        <v>21520</v>
      </c>
      <c r="F2157" s="1">
        <v>0.80324300000000004</v>
      </c>
    </row>
    <row r="2158" spans="5:6">
      <c r="E2158" s="1">
        <v>21530</v>
      </c>
      <c r="F2158" s="1">
        <v>0.80183899999999997</v>
      </c>
    </row>
    <row r="2159" spans="5:6">
      <c r="E2159" s="1">
        <v>21540</v>
      </c>
      <c r="F2159" s="1">
        <v>0.80160500000000001</v>
      </c>
    </row>
    <row r="2160" spans="5:6">
      <c r="E2160" s="1">
        <v>21550</v>
      </c>
      <c r="F2160" s="1">
        <v>0.79917400000000005</v>
      </c>
    </row>
    <row r="2161" spans="5:6">
      <c r="E2161" s="1">
        <v>21560</v>
      </c>
      <c r="F2161" s="1">
        <v>0.80246300000000004</v>
      </c>
    </row>
    <row r="2162" spans="5:6">
      <c r="E2162" s="1">
        <v>21570</v>
      </c>
      <c r="F2162" s="1">
        <v>0.80007200000000001</v>
      </c>
    </row>
    <row r="2163" spans="5:6">
      <c r="E2163" s="1">
        <v>21580</v>
      </c>
      <c r="F2163" s="1">
        <v>0.79971999999999999</v>
      </c>
    </row>
    <row r="2164" spans="5:6">
      <c r="E2164" s="1">
        <v>21590</v>
      </c>
      <c r="F2164" s="1">
        <v>0.80105800000000005</v>
      </c>
    </row>
    <row r="2165" spans="5:6">
      <c r="E2165" s="1">
        <v>21600</v>
      </c>
      <c r="F2165" s="1">
        <v>0.79919600000000002</v>
      </c>
    </row>
    <row r="2166" spans="5:6">
      <c r="E2166" s="1">
        <v>21610</v>
      </c>
      <c r="F2166" s="1">
        <v>0.80140100000000003</v>
      </c>
    </row>
    <row r="2167" spans="5:6">
      <c r="E2167" s="1">
        <v>21620</v>
      </c>
      <c r="F2167" s="1">
        <v>0.80064500000000005</v>
      </c>
    </row>
    <row r="2168" spans="5:6">
      <c r="E2168" s="1">
        <v>21630</v>
      </c>
      <c r="F2168" s="1">
        <v>0.79913900000000004</v>
      </c>
    </row>
    <row r="2169" spans="5:6">
      <c r="E2169" s="1">
        <v>21640</v>
      </c>
      <c r="F2169" s="1">
        <v>0.79728399999999999</v>
      </c>
    </row>
    <row r="2170" spans="5:6">
      <c r="E2170" s="1">
        <v>21650</v>
      </c>
      <c r="F2170" s="1">
        <v>0.79939300000000002</v>
      </c>
    </row>
    <row r="2171" spans="5:6">
      <c r="E2171" s="1">
        <v>21660</v>
      </c>
      <c r="F2171" s="1">
        <v>0.79863799999999996</v>
      </c>
    </row>
    <row r="2172" spans="5:6">
      <c r="E2172" s="1">
        <v>21670</v>
      </c>
      <c r="F2172" s="1">
        <v>0.80515800000000004</v>
      </c>
    </row>
    <row r="2173" spans="5:6">
      <c r="E2173" s="1">
        <v>21680</v>
      </c>
      <c r="F2173" s="1">
        <v>0.80181199999999997</v>
      </c>
    </row>
    <row r="2174" spans="5:6">
      <c r="E2174" s="1">
        <v>21690</v>
      </c>
      <c r="F2174" s="1">
        <v>0.80299900000000002</v>
      </c>
    </row>
    <row r="2175" spans="5:6">
      <c r="E2175" s="1">
        <v>21700</v>
      </c>
      <c r="F2175" s="1">
        <v>0.80244199999999999</v>
      </c>
    </row>
    <row r="2176" spans="5:6">
      <c r="E2176" s="1">
        <v>21710</v>
      </c>
      <c r="F2176" s="1">
        <v>0.80067299999999997</v>
      </c>
    </row>
    <row r="2177" spans="5:6">
      <c r="E2177" s="1">
        <v>21720</v>
      </c>
      <c r="F2177" s="1">
        <v>0.79652199999999995</v>
      </c>
    </row>
    <row r="2178" spans="5:6">
      <c r="E2178" s="1">
        <v>21730</v>
      </c>
      <c r="F2178" s="1">
        <v>0.79910999999999999</v>
      </c>
    </row>
    <row r="2179" spans="5:6">
      <c r="E2179" s="1">
        <v>21740</v>
      </c>
      <c r="F2179" s="1">
        <v>0.80086100000000005</v>
      </c>
    </row>
    <row r="2180" spans="5:6">
      <c r="E2180" s="1">
        <v>21750</v>
      </c>
      <c r="F2180" s="1">
        <v>0.80236200000000002</v>
      </c>
    </row>
    <row r="2181" spans="5:6">
      <c r="E2181" s="1">
        <v>21760</v>
      </c>
      <c r="F2181" s="1">
        <v>0.80209699999999995</v>
      </c>
    </row>
    <row r="2182" spans="5:6">
      <c r="E2182" s="1">
        <v>21770</v>
      </c>
      <c r="F2182" s="1">
        <v>0.797597</v>
      </c>
    </row>
    <row r="2183" spans="5:6">
      <c r="E2183" s="1">
        <v>21780</v>
      </c>
      <c r="F2183" s="1">
        <v>0.80342599999999997</v>
      </c>
    </row>
    <row r="2184" spans="5:6">
      <c r="E2184" s="1">
        <v>21790</v>
      </c>
      <c r="F2184" s="1">
        <v>0.80673499999999998</v>
      </c>
    </row>
    <row r="2185" spans="5:6">
      <c r="E2185" s="1">
        <v>21800</v>
      </c>
      <c r="F2185" s="1">
        <v>0.80184699999999998</v>
      </c>
    </row>
    <row r="2186" spans="5:6">
      <c r="E2186" s="1">
        <v>21810</v>
      </c>
      <c r="F2186" s="1">
        <v>0.80393099999999995</v>
      </c>
    </row>
    <row r="2187" spans="5:6">
      <c r="E2187" s="1">
        <v>21820</v>
      </c>
      <c r="F2187" s="1">
        <v>0.802207</v>
      </c>
    </row>
    <row r="2188" spans="5:6">
      <c r="E2188" s="1">
        <v>21830</v>
      </c>
      <c r="F2188" s="1">
        <v>0.80491400000000002</v>
      </c>
    </row>
    <row r="2189" spans="5:6">
      <c r="E2189" s="1">
        <v>21840</v>
      </c>
      <c r="F2189" s="1">
        <v>0.80398599999999998</v>
      </c>
    </row>
    <row r="2190" spans="5:6">
      <c r="E2190" s="1">
        <v>21850</v>
      </c>
      <c r="F2190" s="1">
        <v>0.80623999999999996</v>
      </c>
    </row>
    <row r="2191" spans="5:6">
      <c r="E2191" s="1">
        <v>21860</v>
      </c>
      <c r="F2191" s="1">
        <v>0.80654599999999999</v>
      </c>
    </row>
    <row r="2192" spans="5:6">
      <c r="E2192" s="1">
        <v>21870</v>
      </c>
      <c r="F2192" s="1">
        <v>0.79798599999999997</v>
      </c>
    </row>
    <row r="2193" spans="5:6">
      <c r="E2193" s="1">
        <v>21880</v>
      </c>
      <c r="F2193" s="1">
        <v>0.79877399999999998</v>
      </c>
    </row>
    <row r="2194" spans="5:6">
      <c r="E2194" s="1">
        <v>21890</v>
      </c>
      <c r="F2194" s="1">
        <v>0.79950299999999996</v>
      </c>
    </row>
    <row r="2195" spans="5:6">
      <c r="E2195" s="1">
        <v>21900</v>
      </c>
      <c r="F2195" s="1">
        <v>0.803643</v>
      </c>
    </row>
    <row r="2196" spans="5:6">
      <c r="E2196" s="1">
        <v>21910</v>
      </c>
      <c r="F2196" s="1">
        <v>0.80084699999999998</v>
      </c>
    </row>
    <row r="2197" spans="5:6">
      <c r="E2197" s="1">
        <v>21920</v>
      </c>
      <c r="F2197" s="1">
        <v>0.80216799999999999</v>
      </c>
    </row>
    <row r="2198" spans="5:6">
      <c r="E2198" s="1">
        <v>21930</v>
      </c>
      <c r="F2198" s="1">
        <v>0.80191599999999996</v>
      </c>
    </row>
    <row r="2199" spans="5:6">
      <c r="E2199" s="1">
        <v>21940</v>
      </c>
      <c r="F2199" s="1">
        <v>0.80063600000000001</v>
      </c>
    </row>
    <row r="2200" spans="5:6">
      <c r="E2200" s="1">
        <v>21950</v>
      </c>
      <c r="F2200" s="1">
        <v>0.80450200000000005</v>
      </c>
    </row>
    <row r="2201" spans="5:6">
      <c r="E2201" s="1">
        <v>21960</v>
      </c>
      <c r="F2201" s="1">
        <v>0.80256000000000005</v>
      </c>
    </row>
    <row r="2202" spans="5:6">
      <c r="E2202" s="1">
        <v>21970</v>
      </c>
      <c r="F2202" s="1">
        <v>0.79851099999999997</v>
      </c>
    </row>
    <row r="2203" spans="5:6">
      <c r="E2203" s="1">
        <v>21980</v>
      </c>
      <c r="F2203" s="1">
        <v>0.80061400000000005</v>
      </c>
    </row>
    <row r="2204" spans="5:6">
      <c r="E2204" s="1">
        <v>21990</v>
      </c>
      <c r="F2204" s="1">
        <v>0.80549300000000001</v>
      </c>
    </row>
    <row r="2205" spans="5:6">
      <c r="E2205" s="1">
        <v>22000</v>
      </c>
      <c r="F2205" s="1">
        <v>0.803261</v>
      </c>
    </row>
    <row r="2206" spans="5:6">
      <c r="E2206" s="1">
        <v>22010</v>
      </c>
      <c r="F2206" s="1">
        <v>0.80080499999999999</v>
      </c>
    </row>
    <row r="2207" spans="5:6">
      <c r="E2207" s="1">
        <v>22020</v>
      </c>
      <c r="F2207" s="1">
        <v>0.80293499999999995</v>
      </c>
    </row>
    <row r="2208" spans="5:6">
      <c r="E2208" s="1">
        <v>22030</v>
      </c>
      <c r="F2208" s="1">
        <v>0.80617499999999997</v>
      </c>
    </row>
    <row r="2209" spans="5:6">
      <c r="E2209" s="1">
        <v>22040</v>
      </c>
      <c r="F2209" s="1">
        <v>0.80143299999999995</v>
      </c>
    </row>
    <row r="2210" spans="5:6">
      <c r="E2210" s="1">
        <v>22050</v>
      </c>
      <c r="F2210" s="1">
        <v>0.80090600000000001</v>
      </c>
    </row>
    <row r="2211" spans="5:6">
      <c r="E2211" s="1">
        <v>22060</v>
      </c>
      <c r="F2211" s="1">
        <v>0.80054000000000003</v>
      </c>
    </row>
    <row r="2212" spans="5:6">
      <c r="E2212" s="1">
        <v>22070</v>
      </c>
      <c r="F2212" s="1">
        <v>0.80247000000000002</v>
      </c>
    </row>
    <row r="2213" spans="5:6">
      <c r="E2213" s="1">
        <v>22080</v>
      </c>
      <c r="F2213" s="1">
        <v>0.80453399999999997</v>
      </c>
    </row>
    <row r="2214" spans="5:6">
      <c r="E2214" s="1">
        <v>22090</v>
      </c>
      <c r="F2214" s="1">
        <v>0.80492799999999998</v>
      </c>
    </row>
    <row r="2215" spans="5:6">
      <c r="E2215" s="1">
        <v>22100</v>
      </c>
      <c r="F2215" s="1">
        <v>0.80475600000000003</v>
      </c>
    </row>
    <row r="2216" spans="5:6">
      <c r="E2216" s="1">
        <v>22110</v>
      </c>
      <c r="F2216" s="1">
        <v>0.80444300000000002</v>
      </c>
    </row>
    <row r="2217" spans="5:6">
      <c r="E2217" s="1">
        <v>22120</v>
      </c>
      <c r="F2217" s="1">
        <v>0.80149899999999996</v>
      </c>
    </row>
    <row r="2218" spans="5:6">
      <c r="E2218" s="1">
        <v>22130</v>
      </c>
      <c r="F2218" s="1">
        <v>0.80328299999999997</v>
      </c>
    </row>
    <row r="2219" spans="5:6">
      <c r="E2219" s="1">
        <v>22140</v>
      </c>
      <c r="F2219" s="1">
        <v>0.80163099999999998</v>
      </c>
    </row>
    <row r="2220" spans="5:6">
      <c r="E2220" s="1">
        <v>22150</v>
      </c>
      <c r="F2220" s="1">
        <v>0.80213699999999999</v>
      </c>
    </row>
    <row r="2221" spans="5:6">
      <c r="E2221" s="1">
        <v>22160</v>
      </c>
      <c r="F2221" s="1">
        <v>0.801346</v>
      </c>
    </row>
    <row r="2222" spans="5:6">
      <c r="E2222" s="1">
        <v>22170</v>
      </c>
      <c r="F2222" s="1">
        <v>0.79900099999999996</v>
      </c>
    </row>
    <row r="2223" spans="5:6">
      <c r="E2223" s="1">
        <v>22180</v>
      </c>
      <c r="F2223" s="1">
        <v>0.79794299999999996</v>
      </c>
    </row>
    <row r="2224" spans="5:6">
      <c r="E2224" s="1">
        <v>22190</v>
      </c>
      <c r="F2224" s="1">
        <v>0.79933900000000002</v>
      </c>
    </row>
    <row r="2225" spans="5:6">
      <c r="E2225" s="1">
        <v>22200</v>
      </c>
      <c r="F2225" s="1">
        <v>0.79858899999999999</v>
      </c>
    </row>
    <row r="2226" spans="5:6">
      <c r="E2226" s="1">
        <v>22210</v>
      </c>
      <c r="F2226" s="1">
        <v>0.80120199999999997</v>
      </c>
    </row>
    <row r="2227" spans="5:6">
      <c r="E2227" s="1">
        <v>22220</v>
      </c>
      <c r="F2227" s="1">
        <v>0.797292</v>
      </c>
    </row>
    <row r="2228" spans="5:6">
      <c r="E2228" s="1">
        <v>22230</v>
      </c>
      <c r="F2228" s="1">
        <v>0.80313000000000001</v>
      </c>
    </row>
    <row r="2229" spans="5:6">
      <c r="E2229" s="1">
        <v>22240</v>
      </c>
      <c r="F2229" s="1">
        <v>0.80293499999999995</v>
      </c>
    </row>
    <row r="2230" spans="5:6">
      <c r="E2230" s="1">
        <v>22250</v>
      </c>
      <c r="F2230" s="1">
        <v>0.80388199999999999</v>
      </c>
    </row>
    <row r="2231" spans="5:6">
      <c r="E2231" s="1">
        <v>22260</v>
      </c>
      <c r="F2231" s="1">
        <v>0.80480099999999999</v>
      </c>
    </row>
    <row r="2232" spans="5:6">
      <c r="E2232" s="1">
        <v>22270</v>
      </c>
      <c r="F2232" s="1">
        <v>0.807006</v>
      </c>
    </row>
    <row r="2233" spans="5:6">
      <c r="E2233" s="1">
        <v>22280</v>
      </c>
      <c r="F2233" s="1">
        <v>0.80300800000000006</v>
      </c>
    </row>
    <row r="2234" spans="5:6">
      <c r="E2234" s="1">
        <v>22290</v>
      </c>
      <c r="F2234" s="1">
        <v>0.80364899999999995</v>
      </c>
    </row>
    <row r="2235" spans="5:6">
      <c r="E2235" s="1">
        <v>22300</v>
      </c>
      <c r="F2235" s="1">
        <v>0.80279</v>
      </c>
    </row>
    <row r="2236" spans="5:6">
      <c r="E2236" s="1">
        <v>22310</v>
      </c>
      <c r="F2236" s="1">
        <v>0.80413400000000002</v>
      </c>
    </row>
    <row r="2237" spans="5:6">
      <c r="E2237" s="1">
        <v>22320</v>
      </c>
      <c r="F2237" s="1">
        <v>0.804844</v>
      </c>
    </row>
    <row r="2238" spans="5:6">
      <c r="E2238" s="1">
        <v>22330</v>
      </c>
      <c r="F2238" s="1">
        <v>0.80651700000000004</v>
      </c>
    </row>
    <row r="2239" spans="5:6">
      <c r="E2239" s="1">
        <v>22340</v>
      </c>
      <c r="F2239" s="1">
        <v>0.79988300000000001</v>
      </c>
    </row>
    <row r="2240" spans="5:6">
      <c r="E2240" s="1">
        <v>22350</v>
      </c>
      <c r="F2240" s="1">
        <v>0.80790300000000004</v>
      </c>
    </row>
    <row r="2241" spans="5:6">
      <c r="E2241" s="1">
        <v>22360</v>
      </c>
      <c r="F2241" s="1">
        <v>0.80626799999999998</v>
      </c>
    </row>
    <row r="2242" spans="5:6">
      <c r="E2242" s="1">
        <v>22370</v>
      </c>
      <c r="F2242" s="1">
        <v>0.80739899999999998</v>
      </c>
    </row>
    <row r="2243" spans="5:6">
      <c r="E2243" s="1">
        <v>22380</v>
      </c>
      <c r="F2243" s="1">
        <v>0.80623599999999995</v>
      </c>
    </row>
    <row r="2244" spans="5:6">
      <c r="E2244" s="1">
        <v>22390</v>
      </c>
      <c r="F2244" s="1">
        <v>0.80036499999999999</v>
      </c>
    </row>
    <row r="2245" spans="5:6">
      <c r="E2245" s="1">
        <v>22400</v>
      </c>
      <c r="F2245" s="1">
        <v>0.80253799999999997</v>
      </c>
    </row>
    <row r="2246" spans="5:6">
      <c r="E2246" s="1">
        <v>22410</v>
      </c>
      <c r="F2246" s="1">
        <v>0.80449199999999998</v>
      </c>
    </row>
    <row r="2247" spans="5:6">
      <c r="E2247" s="1">
        <v>22420</v>
      </c>
      <c r="F2247" s="1">
        <v>0.80201100000000003</v>
      </c>
    </row>
    <row r="2248" spans="5:6">
      <c r="E2248" s="1">
        <v>22430</v>
      </c>
      <c r="F2248" s="1">
        <v>0.79825699999999999</v>
      </c>
    </row>
    <row r="2249" spans="5:6">
      <c r="E2249" s="1">
        <v>22440</v>
      </c>
      <c r="F2249" s="1">
        <v>0.80120800000000003</v>
      </c>
    </row>
    <row r="2250" spans="5:6">
      <c r="E2250" s="1">
        <v>22450</v>
      </c>
      <c r="F2250" s="1">
        <v>0.80066300000000001</v>
      </c>
    </row>
    <row r="2251" spans="5:6">
      <c r="E2251" s="1">
        <v>22460</v>
      </c>
      <c r="F2251" s="1">
        <v>0.80457100000000004</v>
      </c>
    </row>
    <row r="2252" spans="5:6">
      <c r="E2252" s="1">
        <v>22470</v>
      </c>
      <c r="F2252" s="1">
        <v>0.80888899999999997</v>
      </c>
    </row>
    <row r="2253" spans="5:6">
      <c r="E2253" s="1">
        <v>22480</v>
      </c>
      <c r="F2253" s="1">
        <v>0.80842700000000001</v>
      </c>
    </row>
    <row r="2254" spans="5:6">
      <c r="E2254" s="1">
        <v>22490</v>
      </c>
      <c r="F2254" s="1">
        <v>0.80444800000000005</v>
      </c>
    </row>
    <row r="2255" spans="5:6">
      <c r="E2255" s="1">
        <v>22500</v>
      </c>
      <c r="F2255" s="1">
        <v>0.80062</v>
      </c>
    </row>
    <row r="2256" spans="5:6">
      <c r="E2256" s="1">
        <v>22510</v>
      </c>
      <c r="F2256" s="1">
        <v>0.80139899999999997</v>
      </c>
    </row>
    <row r="2257" spans="5:6">
      <c r="E2257" s="1">
        <v>22520</v>
      </c>
      <c r="F2257" s="1">
        <v>0.80447900000000006</v>
      </c>
    </row>
    <row r="2258" spans="5:6">
      <c r="E2258" s="1">
        <v>22530</v>
      </c>
      <c r="F2258" s="1">
        <v>0.80260900000000002</v>
      </c>
    </row>
    <row r="2259" spans="5:6">
      <c r="E2259" s="1">
        <v>22540</v>
      </c>
      <c r="F2259" s="1">
        <v>0.80125199999999996</v>
      </c>
    </row>
    <row r="2260" spans="5:6">
      <c r="E2260" s="1">
        <v>22550</v>
      </c>
      <c r="F2260" s="1">
        <v>0.80082600000000004</v>
      </c>
    </row>
    <row r="2261" spans="5:6">
      <c r="E2261" s="1">
        <v>22560</v>
      </c>
      <c r="F2261" s="1">
        <v>0.80049599999999999</v>
      </c>
    </row>
    <row r="2262" spans="5:6">
      <c r="E2262" s="1">
        <v>22570</v>
      </c>
      <c r="F2262" s="1">
        <v>0.80692299999999995</v>
      </c>
    </row>
    <row r="2263" spans="5:6">
      <c r="E2263" s="1">
        <v>22580</v>
      </c>
      <c r="F2263" s="1">
        <v>0.80454400000000004</v>
      </c>
    </row>
    <row r="2264" spans="5:6">
      <c r="E2264" s="1">
        <v>22590</v>
      </c>
      <c r="F2264" s="1">
        <v>0.80315300000000001</v>
      </c>
    </row>
    <row r="2265" spans="5:6">
      <c r="E2265" s="1">
        <v>22600</v>
      </c>
      <c r="F2265" s="1">
        <v>0.80244899999999997</v>
      </c>
    </row>
    <row r="2266" spans="5:6">
      <c r="E2266" s="1">
        <v>22610</v>
      </c>
      <c r="F2266" s="1">
        <v>0.80176800000000004</v>
      </c>
    </row>
    <row r="2267" spans="5:6">
      <c r="E2267" s="1">
        <v>22620</v>
      </c>
      <c r="F2267" s="1">
        <v>0.80396599999999996</v>
      </c>
    </row>
    <row r="2268" spans="5:6">
      <c r="E2268" s="1">
        <v>22630</v>
      </c>
      <c r="F2268" s="1">
        <v>0.80314399999999997</v>
      </c>
    </row>
    <row r="2269" spans="5:6">
      <c r="E2269" s="1">
        <v>22640</v>
      </c>
      <c r="F2269" s="1">
        <v>0.80185300000000004</v>
      </c>
    </row>
    <row r="2270" spans="5:6">
      <c r="E2270" s="1">
        <v>22650</v>
      </c>
      <c r="F2270" s="1">
        <v>0.80423800000000001</v>
      </c>
    </row>
    <row r="2271" spans="5:6">
      <c r="E2271" s="1">
        <v>22660</v>
      </c>
      <c r="F2271" s="1">
        <v>0.79907399999999995</v>
      </c>
    </row>
    <row r="2272" spans="5:6">
      <c r="E2272" s="1">
        <v>22670</v>
      </c>
      <c r="F2272" s="1">
        <v>0.80505199999999999</v>
      </c>
    </row>
    <row r="2273" spans="5:6">
      <c r="E2273" s="1">
        <v>22680</v>
      </c>
      <c r="F2273" s="1">
        <v>0.802589</v>
      </c>
    </row>
    <row r="2274" spans="5:6">
      <c r="E2274" s="1">
        <v>22690</v>
      </c>
      <c r="F2274" s="1">
        <v>0.80372100000000002</v>
      </c>
    </row>
    <row r="2275" spans="5:6">
      <c r="E2275" s="1">
        <v>22700</v>
      </c>
      <c r="F2275" s="1">
        <v>0.80379599999999995</v>
      </c>
    </row>
    <row r="2276" spans="5:6">
      <c r="E2276" s="1">
        <v>22710</v>
      </c>
      <c r="F2276" s="1">
        <v>0.80411299999999997</v>
      </c>
    </row>
    <row r="2277" spans="5:6">
      <c r="E2277" s="1">
        <v>22720</v>
      </c>
      <c r="F2277" s="1">
        <v>0.80461499999999997</v>
      </c>
    </row>
    <row r="2278" spans="5:6">
      <c r="E2278" s="1">
        <v>22730</v>
      </c>
      <c r="F2278" s="1">
        <v>0.80465299999999995</v>
      </c>
    </row>
    <row r="2279" spans="5:6">
      <c r="E2279" s="1">
        <v>22740</v>
      </c>
      <c r="F2279" s="1">
        <v>0.80284199999999994</v>
      </c>
    </row>
    <row r="2280" spans="5:6">
      <c r="E2280" s="1">
        <v>22750</v>
      </c>
      <c r="F2280" s="1">
        <v>0.80495399999999995</v>
      </c>
    </row>
    <row r="2281" spans="5:6">
      <c r="E2281" s="1">
        <v>22760</v>
      </c>
      <c r="F2281" s="1">
        <v>0.80040900000000004</v>
      </c>
    </row>
    <row r="2282" spans="5:6">
      <c r="E2282" s="1">
        <v>22770</v>
      </c>
      <c r="F2282" s="1">
        <v>0.80094200000000004</v>
      </c>
    </row>
    <row r="2283" spans="5:6">
      <c r="E2283" s="1">
        <v>22780</v>
      </c>
      <c r="F2283" s="1">
        <v>0.80591100000000004</v>
      </c>
    </row>
    <row r="2284" spans="5:6">
      <c r="E2284" s="1">
        <v>22790</v>
      </c>
      <c r="F2284" s="1">
        <v>0.80079699999999998</v>
      </c>
    </row>
    <row r="2285" spans="5:6">
      <c r="E2285" s="1">
        <v>22800</v>
      </c>
      <c r="F2285" s="1">
        <v>0.79822700000000002</v>
      </c>
    </row>
    <row r="2286" spans="5:6">
      <c r="E2286" s="1">
        <v>22810</v>
      </c>
      <c r="F2286" s="1">
        <v>0.79645200000000005</v>
      </c>
    </row>
    <row r="2287" spans="5:6">
      <c r="E2287" s="1">
        <v>22820</v>
      </c>
      <c r="F2287" s="1">
        <v>0.79629499999999998</v>
      </c>
    </row>
    <row r="2288" spans="5:6">
      <c r="E2288" s="1">
        <v>22830</v>
      </c>
      <c r="F2288" s="1">
        <v>0.798709</v>
      </c>
    </row>
    <row r="2289" spans="5:6">
      <c r="E2289" s="1">
        <v>22840</v>
      </c>
      <c r="F2289" s="1">
        <v>0.80133799999999999</v>
      </c>
    </row>
    <row r="2290" spans="5:6">
      <c r="E2290" s="1">
        <v>22850</v>
      </c>
      <c r="F2290" s="1">
        <v>0.80394900000000002</v>
      </c>
    </row>
    <row r="2291" spans="5:6">
      <c r="E2291" s="1">
        <v>22860</v>
      </c>
      <c r="F2291" s="1">
        <v>0.80399900000000002</v>
      </c>
    </row>
    <row r="2292" spans="5:6">
      <c r="E2292" s="1">
        <v>22870</v>
      </c>
      <c r="F2292" s="1">
        <v>0.79995300000000003</v>
      </c>
    </row>
    <row r="2293" spans="5:6">
      <c r="E2293" s="1">
        <v>22880</v>
      </c>
      <c r="F2293" s="1">
        <v>0.79868399999999995</v>
      </c>
    </row>
    <row r="2294" spans="5:6">
      <c r="E2294" s="1">
        <v>22890</v>
      </c>
      <c r="F2294" s="1">
        <v>0.79622099999999996</v>
      </c>
    </row>
    <row r="2295" spans="5:6">
      <c r="E2295" s="1">
        <v>22900</v>
      </c>
      <c r="F2295" s="1">
        <v>0.79681400000000002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3902-9357-4B80-8C2D-7748EC545832}">
  <dimension ref="E5:F1006"/>
  <sheetViews>
    <sheetView workbookViewId="0">
      <selection activeCell="I7" sqref="I7"/>
    </sheetView>
  </sheetViews>
  <sheetFormatPr defaultRowHeight="14.4"/>
  <sheetData>
    <row r="5" spans="5:6">
      <c r="E5" s="2"/>
      <c r="F5" s="2" t="s">
        <v>215</v>
      </c>
    </row>
    <row r="6" spans="5:6">
      <c r="E6" s="1">
        <v>0</v>
      </c>
      <c r="F6" s="1">
        <v>1.4139999999999999E-4</v>
      </c>
    </row>
    <row r="7" spans="5:6">
      <c r="E7" s="1">
        <v>20</v>
      </c>
      <c r="F7" s="1">
        <v>1.858819</v>
      </c>
    </row>
    <row r="8" spans="5:6">
      <c r="E8" s="1">
        <v>40</v>
      </c>
      <c r="F8" s="1">
        <v>1.9326713</v>
      </c>
    </row>
    <row r="9" spans="5:6">
      <c r="E9" s="1">
        <v>60</v>
      </c>
      <c r="F9" s="1">
        <v>1.8300650999999999</v>
      </c>
    </row>
    <row r="10" spans="5:6">
      <c r="E10" s="1">
        <v>80</v>
      </c>
      <c r="F10" s="1">
        <v>2.1376629</v>
      </c>
    </row>
    <row r="11" spans="5:6">
      <c r="E11" s="1">
        <v>100</v>
      </c>
      <c r="F11" s="1">
        <v>2.2299137</v>
      </c>
    </row>
    <row r="12" spans="5:6">
      <c r="E12" s="1">
        <v>120</v>
      </c>
      <c r="F12" s="1">
        <v>2.2346292000000001</v>
      </c>
    </row>
    <row r="13" spans="5:6">
      <c r="E13" s="1">
        <v>140</v>
      </c>
      <c r="F13" s="1">
        <v>2.1200950000000001</v>
      </c>
    </row>
    <row r="14" spans="5:6">
      <c r="E14" s="1">
        <v>160</v>
      </c>
      <c r="F14" s="1">
        <v>2.0574846</v>
      </c>
    </row>
    <row r="15" spans="5:6">
      <c r="E15" s="1">
        <v>180</v>
      </c>
      <c r="F15" s="1">
        <v>1.7635323000000001</v>
      </c>
    </row>
    <row r="16" spans="5:6">
      <c r="E16" s="1">
        <v>200</v>
      </c>
      <c r="F16" s="1">
        <v>1.6907692000000001</v>
      </c>
    </row>
    <row r="17" spans="5:6">
      <c r="E17" s="1">
        <v>220</v>
      </c>
      <c r="F17" s="1">
        <v>1.6929959000000001</v>
      </c>
    </row>
    <row r="18" spans="5:6">
      <c r="E18" s="1">
        <v>240</v>
      </c>
      <c r="F18" s="1">
        <v>1.7817008000000001</v>
      </c>
    </row>
    <row r="19" spans="5:6">
      <c r="E19" s="1">
        <v>260</v>
      </c>
      <c r="F19" s="1">
        <v>1.7839836</v>
      </c>
    </row>
    <row r="20" spans="5:6">
      <c r="E20" s="1">
        <v>280</v>
      </c>
      <c r="F20" s="1">
        <v>1.8888062000000001</v>
      </c>
    </row>
    <row r="21" spans="5:6">
      <c r="E21" s="1">
        <v>300</v>
      </c>
      <c r="F21" s="1">
        <v>1.9966223999999999</v>
      </c>
    </row>
    <row r="22" spans="5:6">
      <c r="E22" s="1">
        <v>320</v>
      </c>
      <c r="F22" s="1">
        <v>1.7863868000000001</v>
      </c>
    </row>
    <row r="23" spans="5:6">
      <c r="E23" s="1">
        <v>340</v>
      </c>
      <c r="F23" s="1">
        <v>2.0721661999999998</v>
      </c>
    </row>
    <row r="24" spans="5:6">
      <c r="E24" s="1">
        <v>360</v>
      </c>
      <c r="F24" s="1">
        <v>2.0032605999999999</v>
      </c>
    </row>
    <row r="25" spans="5:6">
      <c r="E25" s="1">
        <v>380</v>
      </c>
      <c r="F25" s="1">
        <v>1.9396580000000001</v>
      </c>
    </row>
    <row r="26" spans="5:6">
      <c r="E26" s="1">
        <v>400</v>
      </c>
      <c r="F26" s="1">
        <v>1.8031292000000001</v>
      </c>
    </row>
    <row r="27" spans="5:6">
      <c r="E27" s="1">
        <v>420</v>
      </c>
      <c r="F27" s="1">
        <v>1.9436051999999999</v>
      </c>
    </row>
    <row r="28" spans="5:6">
      <c r="E28" s="1">
        <v>440</v>
      </c>
      <c r="F28" s="1">
        <v>2.0810814</v>
      </c>
    </row>
    <row r="29" spans="5:6">
      <c r="E29" s="1">
        <v>460</v>
      </c>
      <c r="F29" s="1">
        <v>2.1245069999999999</v>
      </c>
    </row>
    <row r="30" spans="5:6">
      <c r="E30" s="1">
        <v>480</v>
      </c>
      <c r="F30" s="1">
        <v>2.0217659000000001</v>
      </c>
    </row>
    <row r="31" spans="5:6">
      <c r="E31" s="1">
        <v>500</v>
      </c>
      <c r="F31" s="1">
        <v>2.1534049999999998</v>
      </c>
    </row>
    <row r="32" spans="5:6">
      <c r="E32" s="1">
        <v>520</v>
      </c>
      <c r="F32" s="1">
        <v>2.2181909000000002</v>
      </c>
    </row>
    <row r="33" spans="5:6">
      <c r="E33" s="1">
        <v>540</v>
      </c>
      <c r="F33" s="1">
        <v>2.0891109000000001</v>
      </c>
    </row>
    <row r="34" spans="5:6">
      <c r="E34" s="1">
        <v>560</v>
      </c>
      <c r="F34" s="1">
        <v>2.1514973999999998</v>
      </c>
    </row>
    <row r="35" spans="5:6">
      <c r="E35" s="1">
        <v>580</v>
      </c>
      <c r="F35" s="1">
        <v>2.0309727</v>
      </c>
    </row>
    <row r="36" spans="5:6">
      <c r="E36" s="1">
        <v>600</v>
      </c>
      <c r="F36" s="1">
        <v>1.9640628</v>
      </c>
    </row>
    <row r="37" spans="5:6">
      <c r="E37" s="1">
        <v>620</v>
      </c>
      <c r="F37" s="1">
        <v>2.1354635000000002</v>
      </c>
    </row>
    <row r="38" spans="5:6">
      <c r="E38" s="1">
        <v>640</v>
      </c>
      <c r="F38" s="1">
        <v>1.8948777999999999</v>
      </c>
    </row>
    <row r="39" spans="5:6">
      <c r="E39" s="1">
        <v>660</v>
      </c>
      <c r="F39" s="1">
        <v>2.1351135000000001</v>
      </c>
    </row>
    <row r="40" spans="5:6">
      <c r="E40" s="1">
        <v>680</v>
      </c>
      <c r="F40" s="1">
        <v>2.2886047</v>
      </c>
    </row>
    <row r="41" spans="5:6">
      <c r="E41" s="1">
        <v>700</v>
      </c>
      <c r="F41" s="1">
        <v>2.2823763000000001</v>
      </c>
    </row>
    <row r="42" spans="5:6">
      <c r="E42" s="1">
        <v>720</v>
      </c>
      <c r="F42" s="1">
        <v>1.8998363</v>
      </c>
    </row>
    <row r="43" spans="5:6">
      <c r="E43" s="1">
        <v>740</v>
      </c>
      <c r="F43" s="1">
        <v>2.4652150000000002</v>
      </c>
    </row>
    <row r="44" spans="5:6">
      <c r="E44" s="1">
        <v>760</v>
      </c>
      <c r="F44" s="1">
        <v>2.1392074000000001</v>
      </c>
    </row>
    <row r="45" spans="5:6">
      <c r="E45" s="1">
        <v>780</v>
      </c>
      <c r="F45" s="1">
        <v>2.4050240999999999</v>
      </c>
    </row>
    <row r="46" spans="5:6">
      <c r="E46" s="1">
        <v>800</v>
      </c>
      <c r="F46" s="1">
        <v>2.129874</v>
      </c>
    </row>
    <row r="47" spans="5:6">
      <c r="E47" s="1">
        <v>820</v>
      </c>
      <c r="F47" s="1">
        <v>2.4041114000000001</v>
      </c>
    </row>
    <row r="48" spans="5:6">
      <c r="E48" s="1">
        <v>840</v>
      </c>
      <c r="F48" s="1">
        <v>2.4348551999999999</v>
      </c>
    </row>
    <row r="49" spans="5:6">
      <c r="E49" s="1">
        <v>860</v>
      </c>
      <c r="F49" s="1">
        <v>2.3707240000000001</v>
      </c>
    </row>
    <row r="50" spans="5:6">
      <c r="E50" s="1">
        <v>880</v>
      </c>
      <c r="F50" s="1">
        <v>2.4631363999999998</v>
      </c>
    </row>
    <row r="51" spans="5:6">
      <c r="E51" s="1">
        <v>900</v>
      </c>
      <c r="F51" s="1">
        <v>2.4037004</v>
      </c>
    </row>
    <row r="52" spans="5:6">
      <c r="E52" s="1">
        <v>920</v>
      </c>
      <c r="F52" s="1">
        <v>2.3503699</v>
      </c>
    </row>
    <row r="53" spans="5:6">
      <c r="E53" s="1">
        <v>940</v>
      </c>
      <c r="F53" s="1">
        <v>2.4123313</v>
      </c>
    </row>
    <row r="54" spans="5:6">
      <c r="E54" s="1">
        <v>960</v>
      </c>
      <c r="F54" s="1">
        <v>2.4108814999999999</v>
      </c>
    </row>
    <row r="55" spans="5:6">
      <c r="E55" s="1">
        <v>980</v>
      </c>
      <c r="F55" s="1">
        <v>2.4984782000000001</v>
      </c>
    </row>
    <row r="56" spans="5:6">
      <c r="E56" s="1">
        <v>1000</v>
      </c>
      <c r="F56" s="1">
        <v>2.3569677000000002</v>
      </c>
    </row>
    <row r="57" spans="5:6">
      <c r="E57" s="1">
        <v>1020</v>
      </c>
      <c r="F57" s="1">
        <v>2.1528971000000001</v>
      </c>
    </row>
    <row r="58" spans="5:6">
      <c r="E58" s="1">
        <v>1040</v>
      </c>
      <c r="F58" s="1">
        <v>2.3621628000000001</v>
      </c>
    </row>
    <row r="59" spans="5:6">
      <c r="E59" s="1">
        <v>1060</v>
      </c>
      <c r="F59" s="1">
        <v>2.4066944000000001</v>
      </c>
    </row>
    <row r="60" spans="5:6">
      <c r="E60" s="1">
        <v>1080</v>
      </c>
      <c r="F60" s="1">
        <v>2.2392094</v>
      </c>
    </row>
    <row r="61" spans="5:6">
      <c r="E61" s="1">
        <v>1100</v>
      </c>
      <c r="F61" s="1">
        <v>2.2994061000000001</v>
      </c>
    </row>
    <row r="62" spans="5:6">
      <c r="E62" s="1">
        <v>1120</v>
      </c>
      <c r="F62" s="1">
        <v>2.2552302000000002</v>
      </c>
    </row>
    <row r="63" spans="5:6">
      <c r="E63" s="1">
        <v>1140</v>
      </c>
      <c r="F63" s="1">
        <v>2.2535498</v>
      </c>
    </row>
    <row r="64" spans="5:6">
      <c r="E64" s="1">
        <v>1160</v>
      </c>
      <c r="F64" s="1">
        <v>2.2998995999999998</v>
      </c>
    </row>
    <row r="65" spans="5:6">
      <c r="E65" s="1">
        <v>1180</v>
      </c>
      <c r="F65" s="1">
        <v>2.1443517000000001</v>
      </c>
    </row>
    <row r="66" spans="5:6">
      <c r="E66" s="1">
        <v>1200</v>
      </c>
      <c r="F66" s="1">
        <v>2.4143786</v>
      </c>
    </row>
    <row r="67" spans="5:6">
      <c r="E67" s="1">
        <v>1220</v>
      </c>
      <c r="F67" s="1">
        <v>2.5006656999999999</v>
      </c>
    </row>
    <row r="68" spans="5:6">
      <c r="E68" s="1">
        <v>1240</v>
      </c>
      <c r="F68" s="1">
        <v>2.2737527000000002</v>
      </c>
    </row>
    <row r="69" spans="5:6">
      <c r="E69" s="1">
        <v>1260</v>
      </c>
      <c r="F69" s="1">
        <v>2.3881101999999998</v>
      </c>
    </row>
    <row r="70" spans="5:6">
      <c r="E70" s="1">
        <v>1280</v>
      </c>
      <c r="F70" s="1">
        <v>2.3557074</v>
      </c>
    </row>
    <row r="71" spans="5:6">
      <c r="E71" s="1">
        <v>1300</v>
      </c>
      <c r="F71" s="1">
        <v>2.3061986000000001</v>
      </c>
    </row>
    <row r="72" spans="5:6">
      <c r="E72" s="1">
        <v>1320</v>
      </c>
      <c r="F72" s="1">
        <v>2.1569664</v>
      </c>
    </row>
    <row r="73" spans="5:6">
      <c r="E73" s="1">
        <v>1340</v>
      </c>
      <c r="F73" s="1">
        <v>1.8460909999999999</v>
      </c>
    </row>
    <row r="74" spans="5:6">
      <c r="E74" s="1">
        <v>1360</v>
      </c>
      <c r="F74" s="1">
        <v>1.8120290999999999</v>
      </c>
    </row>
    <row r="75" spans="5:6">
      <c r="E75" s="1">
        <v>1380</v>
      </c>
      <c r="F75" s="1">
        <v>1.9617366000000001</v>
      </c>
    </row>
    <row r="76" spans="5:6">
      <c r="E76" s="1">
        <v>1400</v>
      </c>
      <c r="F76" s="1">
        <v>2.1218618999999999</v>
      </c>
    </row>
    <row r="77" spans="5:6">
      <c r="E77" s="1">
        <v>1420</v>
      </c>
      <c r="F77" s="1">
        <v>2.1303131999999998</v>
      </c>
    </row>
    <row r="78" spans="5:6">
      <c r="E78" s="1">
        <v>1440</v>
      </c>
      <c r="F78" s="1">
        <v>1.8443153000000001</v>
      </c>
    </row>
    <row r="79" spans="5:6">
      <c r="E79" s="1">
        <v>1460</v>
      </c>
      <c r="F79" s="1">
        <v>2.0581868000000001</v>
      </c>
    </row>
    <row r="80" spans="5:6">
      <c r="E80" s="1">
        <v>1480</v>
      </c>
      <c r="F80" s="1">
        <v>1.8139926</v>
      </c>
    </row>
    <row r="81" spans="5:6">
      <c r="E81" s="1">
        <v>1500</v>
      </c>
      <c r="F81" s="1">
        <v>1.9564147000000001</v>
      </c>
    </row>
    <row r="82" spans="5:6">
      <c r="E82" s="1">
        <v>1520</v>
      </c>
      <c r="F82" s="1">
        <v>2.1305795000000001</v>
      </c>
    </row>
    <row r="83" spans="5:6">
      <c r="E83" s="1">
        <v>1540</v>
      </c>
      <c r="F83" s="1">
        <v>2.3657153000000002</v>
      </c>
    </row>
    <row r="84" spans="5:6">
      <c r="E84" s="1">
        <v>1560</v>
      </c>
      <c r="F84" s="1">
        <v>2.2465556000000002</v>
      </c>
    </row>
    <row r="85" spans="5:6">
      <c r="E85" s="1">
        <v>1580</v>
      </c>
      <c r="F85" s="1">
        <v>2.3544318999999998</v>
      </c>
    </row>
    <row r="86" spans="5:6">
      <c r="E86" s="1">
        <v>1600</v>
      </c>
      <c r="F86" s="1">
        <v>2.0568528000000001</v>
      </c>
    </row>
    <row r="87" spans="5:6">
      <c r="E87" s="1">
        <v>1620</v>
      </c>
      <c r="F87" s="1">
        <v>2.3645298000000001</v>
      </c>
    </row>
    <row r="88" spans="5:6">
      <c r="E88" s="1">
        <v>1640</v>
      </c>
      <c r="F88" s="1">
        <v>2.3402718999999998</v>
      </c>
    </row>
    <row r="89" spans="5:6">
      <c r="E89" s="1">
        <v>1660</v>
      </c>
      <c r="F89" s="1">
        <v>2.3520818000000001</v>
      </c>
    </row>
    <row r="90" spans="5:6">
      <c r="E90" s="1">
        <v>1680</v>
      </c>
      <c r="F90" s="1">
        <v>2.1907825000000001</v>
      </c>
    </row>
    <row r="91" spans="5:6">
      <c r="E91" s="1">
        <v>1700</v>
      </c>
      <c r="F91" s="1">
        <v>2.3715818</v>
      </c>
    </row>
    <row r="92" spans="5:6">
      <c r="E92" s="1">
        <v>1720</v>
      </c>
      <c r="F92" s="1">
        <v>2.2549657999999999</v>
      </c>
    </row>
    <row r="93" spans="5:6">
      <c r="E93" s="1">
        <v>1740</v>
      </c>
      <c r="F93" s="1">
        <v>2.3046240999999998</v>
      </c>
    </row>
    <row r="94" spans="5:6">
      <c r="E94" s="1">
        <v>1760</v>
      </c>
      <c r="F94" s="1">
        <v>2.3093994000000002</v>
      </c>
    </row>
    <row r="95" spans="5:6">
      <c r="E95" s="1">
        <v>1780</v>
      </c>
      <c r="F95" s="1">
        <v>2.3692234000000001</v>
      </c>
    </row>
    <row r="96" spans="5:6">
      <c r="E96" s="1">
        <v>1800</v>
      </c>
      <c r="F96" s="1">
        <v>2.4241318999999999</v>
      </c>
    </row>
    <row r="97" spans="5:6">
      <c r="E97" s="1">
        <v>1820</v>
      </c>
      <c r="F97" s="1">
        <v>2.2195155999999998</v>
      </c>
    </row>
    <row r="98" spans="5:6">
      <c r="E98" s="1">
        <v>1840</v>
      </c>
      <c r="F98" s="1">
        <v>2.2878416000000001</v>
      </c>
    </row>
    <row r="99" spans="5:6">
      <c r="E99" s="1">
        <v>1860</v>
      </c>
      <c r="F99" s="1">
        <v>2.3114404999999998</v>
      </c>
    </row>
    <row r="100" spans="5:6">
      <c r="E100" s="1">
        <v>1880</v>
      </c>
      <c r="F100" s="1">
        <v>2.3093832000000001</v>
      </c>
    </row>
    <row r="101" spans="5:6">
      <c r="E101" s="1">
        <v>1900</v>
      </c>
      <c r="F101" s="1">
        <v>2.0900647999999999</v>
      </c>
    </row>
    <row r="102" spans="5:6">
      <c r="E102" s="1">
        <v>1920</v>
      </c>
      <c r="F102" s="1">
        <v>1.9292096999999999</v>
      </c>
    </row>
    <row r="103" spans="5:6">
      <c r="E103" s="1">
        <v>1940</v>
      </c>
      <c r="F103" s="1">
        <v>2.0566444000000002</v>
      </c>
    </row>
    <row r="104" spans="5:6">
      <c r="E104" s="1">
        <v>1960</v>
      </c>
      <c r="F104" s="1">
        <v>2.1547258</v>
      </c>
    </row>
    <row r="105" spans="5:6">
      <c r="E105" s="1">
        <v>1980</v>
      </c>
      <c r="F105" s="1">
        <v>2.2164489999999999</v>
      </c>
    </row>
    <row r="106" spans="5:6">
      <c r="E106" s="1">
        <v>2000</v>
      </c>
      <c r="F106" s="1">
        <v>2.2832531999999999</v>
      </c>
    </row>
    <row r="107" spans="5:6">
      <c r="E107" s="1">
        <v>2020</v>
      </c>
      <c r="F107" s="1">
        <v>2.2775335000000001</v>
      </c>
    </row>
    <row r="108" spans="5:6">
      <c r="E108" s="1">
        <v>2040</v>
      </c>
      <c r="F108" s="1">
        <v>2.3374907999999999</v>
      </c>
    </row>
    <row r="109" spans="5:6">
      <c r="E109" s="1">
        <v>2060</v>
      </c>
      <c r="F109" s="1">
        <v>2.3976628999999998</v>
      </c>
    </row>
    <row r="110" spans="5:6">
      <c r="E110" s="1">
        <v>2080</v>
      </c>
      <c r="F110" s="1">
        <v>2.3912032000000001</v>
      </c>
    </row>
    <row r="111" spans="5:6">
      <c r="E111" s="1">
        <v>2100</v>
      </c>
      <c r="F111" s="1">
        <v>2.5820949</v>
      </c>
    </row>
    <row r="112" spans="5:6">
      <c r="E112" s="1">
        <v>2120</v>
      </c>
      <c r="F112" s="1">
        <v>2.5810591999999999</v>
      </c>
    </row>
    <row r="113" spans="5:6">
      <c r="E113" s="1">
        <v>2140</v>
      </c>
      <c r="F113" s="1">
        <v>2.5313685000000001</v>
      </c>
    </row>
    <row r="114" spans="5:6">
      <c r="E114" s="1">
        <v>2160</v>
      </c>
      <c r="F114" s="1">
        <v>2.4259107000000002</v>
      </c>
    </row>
    <row r="115" spans="5:6">
      <c r="E115" s="1">
        <v>2180</v>
      </c>
      <c r="F115" s="1">
        <v>2.1646885999999999</v>
      </c>
    </row>
    <row r="116" spans="5:6">
      <c r="E116" s="1">
        <v>2200</v>
      </c>
      <c r="F116" s="1">
        <v>2.2856565</v>
      </c>
    </row>
    <row r="117" spans="5:6">
      <c r="E117" s="1">
        <v>2220</v>
      </c>
      <c r="F117" s="1">
        <v>2.1935074000000001</v>
      </c>
    </row>
    <row r="118" spans="5:6">
      <c r="E118" s="1">
        <v>2240</v>
      </c>
      <c r="F118" s="1">
        <v>2.6986829999999999</v>
      </c>
    </row>
    <row r="119" spans="5:6">
      <c r="E119" s="1">
        <v>2260</v>
      </c>
      <c r="F119" s="1">
        <v>2.7630796000000002</v>
      </c>
    </row>
    <row r="120" spans="5:6">
      <c r="E120" s="1">
        <v>2280</v>
      </c>
      <c r="F120" s="1">
        <v>2.7175137999999999</v>
      </c>
    </row>
    <row r="121" spans="5:6">
      <c r="E121" s="1">
        <v>2300</v>
      </c>
      <c r="F121" s="1">
        <v>2.7162796999999999</v>
      </c>
    </row>
    <row r="122" spans="5:6">
      <c r="E122" s="1">
        <v>2320</v>
      </c>
      <c r="F122" s="1">
        <v>2.6619635000000001</v>
      </c>
    </row>
    <row r="123" spans="5:6">
      <c r="E123" s="1">
        <v>2340</v>
      </c>
      <c r="F123" s="1">
        <v>2.6642513000000001</v>
      </c>
    </row>
    <row r="124" spans="5:6">
      <c r="E124" s="1">
        <v>2360</v>
      </c>
      <c r="F124" s="1">
        <v>2.7141687999999999</v>
      </c>
    </row>
    <row r="125" spans="5:6">
      <c r="E125" s="1">
        <v>2380</v>
      </c>
      <c r="F125" s="1">
        <v>2.7221096</v>
      </c>
    </row>
    <row r="126" spans="5:6">
      <c r="E126" s="1">
        <v>2400</v>
      </c>
      <c r="F126" s="1">
        <v>2.6905861</v>
      </c>
    </row>
    <row r="127" spans="5:6">
      <c r="E127" s="1">
        <v>2420</v>
      </c>
      <c r="F127" s="1">
        <v>2.6732466000000001</v>
      </c>
    </row>
    <row r="128" spans="5:6">
      <c r="E128" s="1">
        <v>2440</v>
      </c>
      <c r="F128" s="1">
        <v>2.5428236000000002</v>
      </c>
    </row>
    <row r="129" spans="5:6">
      <c r="E129" s="1">
        <v>2460</v>
      </c>
      <c r="F129" s="1">
        <v>2.3492782000000001</v>
      </c>
    </row>
    <row r="130" spans="5:6">
      <c r="E130" s="1">
        <v>2480</v>
      </c>
      <c r="F130" s="1">
        <v>2.4909172000000002</v>
      </c>
    </row>
    <row r="131" spans="5:6">
      <c r="E131" s="1">
        <v>2500</v>
      </c>
      <c r="F131" s="1">
        <v>2.4374568000000001</v>
      </c>
    </row>
    <row r="132" spans="5:6">
      <c r="E132" s="1">
        <v>2520</v>
      </c>
      <c r="F132" s="1">
        <v>2.3253216999999999</v>
      </c>
    </row>
    <row r="133" spans="5:6">
      <c r="E133" s="1">
        <v>2540</v>
      </c>
      <c r="F133" s="1">
        <v>2.6268823000000001</v>
      </c>
    </row>
    <row r="134" spans="5:6">
      <c r="E134" s="1">
        <v>2560</v>
      </c>
      <c r="F134" s="1">
        <v>2.51667</v>
      </c>
    </row>
    <row r="135" spans="5:6">
      <c r="E135" s="1">
        <v>2580</v>
      </c>
      <c r="F135" s="1">
        <v>2.5122003999999998</v>
      </c>
    </row>
    <row r="136" spans="5:6">
      <c r="E136" s="1">
        <v>2600</v>
      </c>
      <c r="F136" s="1">
        <v>2.6493389999999999</v>
      </c>
    </row>
    <row r="137" spans="5:6">
      <c r="E137" s="1">
        <v>2620</v>
      </c>
      <c r="F137" s="1">
        <v>2.4921598</v>
      </c>
    </row>
    <row r="138" spans="5:6">
      <c r="E138" s="1">
        <v>2640</v>
      </c>
      <c r="F138" s="1">
        <v>2.4413722</v>
      </c>
    </row>
    <row r="139" spans="5:6">
      <c r="E139" s="1">
        <v>2660</v>
      </c>
      <c r="F139" s="1">
        <v>2.4366523999999998</v>
      </c>
    </row>
    <row r="140" spans="5:6">
      <c r="E140" s="1">
        <v>2680</v>
      </c>
      <c r="F140" s="1">
        <v>2.4872298000000002</v>
      </c>
    </row>
    <row r="141" spans="5:6">
      <c r="E141" s="1">
        <v>2700</v>
      </c>
      <c r="F141" s="1">
        <v>2.6540534</v>
      </c>
    </row>
    <row r="142" spans="5:6">
      <c r="E142" s="1">
        <v>2720</v>
      </c>
      <c r="F142" s="1">
        <v>2.5805883000000001</v>
      </c>
    </row>
    <row r="143" spans="5:6">
      <c r="E143" s="1">
        <v>2740</v>
      </c>
      <c r="F143" s="1">
        <v>2.7360414999999998</v>
      </c>
    </row>
    <row r="144" spans="5:6">
      <c r="E144" s="1">
        <v>2760</v>
      </c>
      <c r="F144" s="1">
        <v>2.7784656999999999</v>
      </c>
    </row>
    <row r="145" spans="5:6">
      <c r="E145" s="1">
        <v>2780</v>
      </c>
      <c r="F145" s="1">
        <v>2.9305281999999999</v>
      </c>
    </row>
    <row r="146" spans="5:6">
      <c r="E146" s="1">
        <v>2800</v>
      </c>
      <c r="F146" s="1">
        <v>2.8618557</v>
      </c>
    </row>
    <row r="147" spans="5:6">
      <c r="E147" s="1">
        <v>2820</v>
      </c>
      <c r="F147" s="1">
        <v>2.8477942999999999</v>
      </c>
    </row>
    <row r="148" spans="5:6">
      <c r="E148" s="1">
        <v>2840</v>
      </c>
      <c r="F148" s="1">
        <v>2.7615929000000001</v>
      </c>
    </row>
    <row r="149" spans="5:6">
      <c r="E149" s="1">
        <v>2860</v>
      </c>
      <c r="F149" s="1">
        <v>2.7230848999999999</v>
      </c>
    </row>
    <row r="150" spans="5:6">
      <c r="E150" s="1">
        <v>2880</v>
      </c>
      <c r="F150" s="1">
        <v>2.9349077000000001</v>
      </c>
    </row>
    <row r="151" spans="5:6">
      <c r="E151" s="1">
        <v>2900</v>
      </c>
      <c r="F151" s="1">
        <v>2.7428522000000002</v>
      </c>
    </row>
    <row r="152" spans="5:6">
      <c r="E152" s="1">
        <v>2920</v>
      </c>
      <c r="F152" s="1">
        <v>2.7959556999999999</v>
      </c>
    </row>
    <row r="153" spans="5:6">
      <c r="E153" s="1">
        <v>2940</v>
      </c>
      <c r="F153" s="1">
        <v>2.9548914000000002</v>
      </c>
    </row>
    <row r="154" spans="5:6">
      <c r="E154" s="1">
        <v>2960</v>
      </c>
      <c r="F154" s="1">
        <v>2.7528343</v>
      </c>
    </row>
    <row r="155" spans="5:6">
      <c r="E155" s="1">
        <v>2980</v>
      </c>
      <c r="F155" s="1">
        <v>2.6911051000000001</v>
      </c>
    </row>
    <row r="156" spans="5:6">
      <c r="E156" s="1">
        <v>3000</v>
      </c>
      <c r="F156" s="1">
        <v>2.8760621999999998</v>
      </c>
    </row>
    <row r="157" spans="5:6">
      <c r="E157" s="1">
        <v>3020</v>
      </c>
      <c r="F157" s="1">
        <v>2.7609786999999999</v>
      </c>
    </row>
    <row r="158" spans="5:6">
      <c r="E158" s="1">
        <v>3040</v>
      </c>
      <c r="F158" s="1">
        <v>2.6032199999999999</v>
      </c>
    </row>
    <row r="159" spans="5:6">
      <c r="E159" s="1">
        <v>3060</v>
      </c>
      <c r="F159" s="1">
        <v>2.6314845</v>
      </c>
    </row>
    <row r="160" spans="5:6">
      <c r="E160" s="1">
        <v>3080</v>
      </c>
      <c r="F160" s="1">
        <v>2.5871634000000001</v>
      </c>
    </row>
    <row r="161" spans="5:6">
      <c r="E161" s="1">
        <v>3100</v>
      </c>
      <c r="F161" s="1">
        <v>2.7647027999999998</v>
      </c>
    </row>
    <row r="162" spans="5:6">
      <c r="E162" s="1">
        <v>3120</v>
      </c>
      <c r="F162" s="1">
        <v>2.7367840000000001</v>
      </c>
    </row>
    <row r="163" spans="5:6">
      <c r="E163" s="1">
        <v>3140</v>
      </c>
      <c r="F163" s="1">
        <v>2.7342662999999998</v>
      </c>
    </row>
    <row r="164" spans="5:6">
      <c r="E164" s="1">
        <v>3160</v>
      </c>
      <c r="F164" s="1">
        <v>2.6333584999999999</v>
      </c>
    </row>
    <row r="165" spans="5:6">
      <c r="E165" s="1">
        <v>3180</v>
      </c>
      <c r="F165" s="1">
        <v>2.3931577000000002</v>
      </c>
    </row>
    <row r="166" spans="5:6">
      <c r="E166" s="1">
        <v>3200</v>
      </c>
      <c r="F166" s="1">
        <v>2.4786541</v>
      </c>
    </row>
    <row r="167" spans="5:6">
      <c r="E167" s="1">
        <v>3220</v>
      </c>
      <c r="F167" s="1">
        <v>2.4455594999999999</v>
      </c>
    </row>
    <row r="168" spans="5:6">
      <c r="E168" s="1">
        <v>3240</v>
      </c>
      <c r="F168" s="1">
        <v>2.3706374000000001</v>
      </c>
    </row>
    <row r="169" spans="5:6">
      <c r="E169" s="1">
        <v>3260</v>
      </c>
      <c r="F169" s="1">
        <v>2.3417037000000001</v>
      </c>
    </row>
    <row r="170" spans="5:6">
      <c r="E170" s="1">
        <v>3280</v>
      </c>
      <c r="F170" s="1">
        <v>2.3435383000000001</v>
      </c>
    </row>
    <row r="171" spans="5:6">
      <c r="E171" s="1">
        <v>3300</v>
      </c>
      <c r="F171" s="1">
        <v>2.2846179000000002</v>
      </c>
    </row>
    <row r="172" spans="5:6">
      <c r="E172" s="1">
        <v>3320</v>
      </c>
      <c r="F172" s="1">
        <v>2.3297303</v>
      </c>
    </row>
    <row r="173" spans="5:6">
      <c r="E173" s="1">
        <v>3340</v>
      </c>
      <c r="F173" s="1">
        <v>2.3825443000000002</v>
      </c>
    </row>
    <row r="174" spans="5:6">
      <c r="E174" s="1">
        <v>3360</v>
      </c>
      <c r="F174" s="1">
        <v>2.2342450999999999</v>
      </c>
    </row>
    <row r="175" spans="5:6">
      <c r="E175" s="1">
        <v>3380</v>
      </c>
      <c r="F175" s="1">
        <v>2.2320134999999999</v>
      </c>
    </row>
    <row r="176" spans="5:6">
      <c r="E176" s="1">
        <v>3400</v>
      </c>
      <c r="F176" s="1">
        <v>2.2644869999999999</v>
      </c>
    </row>
    <row r="177" spans="5:6">
      <c r="E177" s="1">
        <v>3420</v>
      </c>
      <c r="F177" s="1">
        <v>2.3555367</v>
      </c>
    </row>
    <row r="178" spans="5:6">
      <c r="E178" s="1">
        <v>3440</v>
      </c>
      <c r="F178" s="1">
        <v>2.3565743000000001</v>
      </c>
    </row>
    <row r="179" spans="5:6">
      <c r="E179" s="1">
        <v>3460</v>
      </c>
      <c r="F179" s="1">
        <v>2.2350487999999999</v>
      </c>
    </row>
    <row r="180" spans="5:6">
      <c r="E180" s="1">
        <v>3480</v>
      </c>
      <c r="F180" s="1">
        <v>2.3188727</v>
      </c>
    </row>
    <row r="181" spans="5:6">
      <c r="E181" s="1">
        <v>3500</v>
      </c>
      <c r="F181" s="1">
        <v>2.5715671000000002</v>
      </c>
    </row>
    <row r="182" spans="5:6">
      <c r="E182" s="1">
        <v>3520</v>
      </c>
      <c r="F182" s="1">
        <v>2.7513545000000001</v>
      </c>
    </row>
    <row r="183" spans="5:6">
      <c r="E183" s="1">
        <v>3540</v>
      </c>
      <c r="F183" s="1">
        <v>2.6741120999999999</v>
      </c>
    </row>
    <row r="184" spans="5:6">
      <c r="E184" s="1">
        <v>3560</v>
      </c>
      <c r="F184" s="1">
        <v>2.6228785999999999</v>
      </c>
    </row>
    <row r="185" spans="5:6">
      <c r="E185" s="1">
        <v>3580</v>
      </c>
      <c r="F185" s="1">
        <v>2.8408736999999999</v>
      </c>
    </row>
    <row r="186" spans="5:6">
      <c r="E186" s="1">
        <v>3600</v>
      </c>
      <c r="F186" s="1">
        <v>2.7427595</v>
      </c>
    </row>
    <row r="187" spans="5:6">
      <c r="E187" s="1">
        <v>3620</v>
      </c>
      <c r="F187" s="1">
        <v>2.7985650999999998</v>
      </c>
    </row>
    <row r="188" spans="5:6">
      <c r="E188" s="1">
        <v>3640</v>
      </c>
      <c r="F188" s="1">
        <v>2.6381543000000001</v>
      </c>
    </row>
    <row r="189" spans="5:6">
      <c r="E189" s="1">
        <v>3660</v>
      </c>
      <c r="F189" s="1">
        <v>2.7842728999999999</v>
      </c>
    </row>
    <row r="190" spans="5:6">
      <c r="E190" s="1">
        <v>3680</v>
      </c>
      <c r="F190" s="1">
        <v>2.6105056000000002</v>
      </c>
    </row>
    <row r="191" spans="5:6">
      <c r="E191" s="1">
        <v>3700</v>
      </c>
      <c r="F191" s="1">
        <v>2.8352411000000002</v>
      </c>
    </row>
    <row r="192" spans="5:6">
      <c r="E192" s="1">
        <v>3720</v>
      </c>
      <c r="F192" s="1">
        <v>2.7912024999999998</v>
      </c>
    </row>
    <row r="193" spans="5:6">
      <c r="E193" s="1">
        <v>3740</v>
      </c>
      <c r="F193" s="1">
        <v>2.7910027999999998</v>
      </c>
    </row>
    <row r="194" spans="5:6">
      <c r="E194" s="1">
        <v>3760</v>
      </c>
      <c r="F194" s="1">
        <v>2.6219907</v>
      </c>
    </row>
    <row r="195" spans="5:6">
      <c r="E195" s="1">
        <v>3780</v>
      </c>
      <c r="F195" s="1">
        <v>2.6666758000000002</v>
      </c>
    </row>
    <row r="196" spans="5:6">
      <c r="E196" s="1">
        <v>3800</v>
      </c>
      <c r="F196" s="1">
        <v>2.5314822000000001</v>
      </c>
    </row>
    <row r="197" spans="5:6">
      <c r="E197" s="1">
        <v>3820</v>
      </c>
      <c r="F197" s="1">
        <v>2.6706948000000001</v>
      </c>
    </row>
    <row r="198" spans="5:6">
      <c r="E198" s="1">
        <v>3840</v>
      </c>
      <c r="F198" s="1">
        <v>2.6702442</v>
      </c>
    </row>
    <row r="199" spans="5:6">
      <c r="E199" s="1">
        <v>3860</v>
      </c>
      <c r="F199" s="1">
        <v>2.8339891000000001</v>
      </c>
    </row>
    <row r="200" spans="5:6">
      <c r="E200" s="1">
        <v>3880</v>
      </c>
      <c r="F200" s="1">
        <v>2.9343423999999998</v>
      </c>
    </row>
    <row r="201" spans="5:6">
      <c r="E201" s="1">
        <v>3900</v>
      </c>
      <c r="F201" s="1">
        <v>2.9323603999999999</v>
      </c>
    </row>
    <row r="202" spans="5:6">
      <c r="E202" s="1">
        <v>3920</v>
      </c>
      <c r="F202" s="1">
        <v>2.7967145000000002</v>
      </c>
    </row>
    <row r="203" spans="5:6">
      <c r="E203" s="1">
        <v>3940</v>
      </c>
      <c r="F203" s="1">
        <v>2.9785705</v>
      </c>
    </row>
    <row r="204" spans="5:6">
      <c r="E204" s="1">
        <v>3960</v>
      </c>
      <c r="F204" s="1">
        <v>3.0242844</v>
      </c>
    </row>
    <row r="205" spans="5:6">
      <c r="E205" s="1">
        <v>3980</v>
      </c>
      <c r="F205" s="1">
        <v>3.0639148</v>
      </c>
    </row>
    <row r="206" spans="5:6">
      <c r="E206" s="1">
        <v>4000</v>
      </c>
      <c r="F206" s="1">
        <v>3.1021187000000001</v>
      </c>
    </row>
    <row r="207" spans="5:6">
      <c r="E207" s="1">
        <v>4020</v>
      </c>
      <c r="F207" s="1">
        <v>2.983006</v>
      </c>
    </row>
    <row r="208" spans="5:6">
      <c r="E208" s="1">
        <v>4040</v>
      </c>
      <c r="F208" s="1">
        <v>2.7770944000000002</v>
      </c>
    </row>
    <row r="209" spans="5:6">
      <c r="E209" s="1">
        <v>4060</v>
      </c>
      <c r="F209" s="1">
        <v>2.8205155999999998</v>
      </c>
    </row>
    <row r="210" spans="5:6">
      <c r="E210" s="1">
        <v>4080</v>
      </c>
      <c r="F210" s="1">
        <v>3.0666300999999998</v>
      </c>
    </row>
    <row r="211" spans="5:6">
      <c r="E211" s="1">
        <v>4100</v>
      </c>
      <c r="F211" s="1">
        <v>2.8629451000000001</v>
      </c>
    </row>
    <row r="212" spans="5:6">
      <c r="E212" s="1">
        <v>4120</v>
      </c>
      <c r="F212" s="1">
        <v>2.9031744000000002</v>
      </c>
    </row>
    <row r="213" spans="5:6">
      <c r="E213" s="1">
        <v>4140</v>
      </c>
      <c r="F213" s="1">
        <v>2.9366962999999999</v>
      </c>
    </row>
    <row r="214" spans="5:6">
      <c r="E214" s="1">
        <v>4160</v>
      </c>
      <c r="F214" s="1">
        <v>3.0676122000000001</v>
      </c>
    </row>
    <row r="215" spans="5:6">
      <c r="E215" s="1">
        <v>4180</v>
      </c>
      <c r="F215" s="1">
        <v>3.0017583000000001</v>
      </c>
    </row>
    <row r="216" spans="5:6">
      <c r="E216" s="1">
        <v>4200</v>
      </c>
      <c r="F216" s="1">
        <v>2.9358270000000002</v>
      </c>
    </row>
    <row r="217" spans="5:6">
      <c r="E217" s="1">
        <v>4220</v>
      </c>
      <c r="F217" s="1">
        <v>2.9573355000000001</v>
      </c>
    </row>
    <row r="218" spans="5:6">
      <c r="E218" s="1">
        <v>4240</v>
      </c>
      <c r="F218" s="1">
        <v>2.9590936000000001</v>
      </c>
    </row>
    <row r="219" spans="5:6">
      <c r="E219" s="1">
        <v>4260</v>
      </c>
      <c r="F219" s="1">
        <v>2.6435613999999998</v>
      </c>
    </row>
    <row r="220" spans="5:6">
      <c r="E220" s="1">
        <v>4280</v>
      </c>
      <c r="F220" s="1">
        <v>2.8562582000000001</v>
      </c>
    </row>
    <row r="221" spans="5:6">
      <c r="E221" s="1">
        <v>4300</v>
      </c>
      <c r="F221" s="1">
        <v>2.6878666999999998</v>
      </c>
    </row>
    <row r="222" spans="5:6">
      <c r="E222" s="1">
        <v>4320</v>
      </c>
      <c r="F222" s="1">
        <v>2.6878738000000002</v>
      </c>
    </row>
    <row r="223" spans="5:6">
      <c r="E223" s="1">
        <v>4340</v>
      </c>
      <c r="F223" s="1">
        <v>2.5620126999999999</v>
      </c>
    </row>
    <row r="224" spans="5:6">
      <c r="E224" s="1">
        <v>4360</v>
      </c>
      <c r="F224" s="1">
        <v>2.593677</v>
      </c>
    </row>
    <row r="225" spans="5:6">
      <c r="E225" s="1">
        <v>4380</v>
      </c>
      <c r="F225" s="1">
        <v>2.5250968999999999</v>
      </c>
    </row>
    <row r="226" spans="5:6">
      <c r="E226" s="1">
        <v>4400</v>
      </c>
      <c r="F226" s="1">
        <v>2.7411846999999998</v>
      </c>
    </row>
    <row r="227" spans="5:6">
      <c r="E227" s="1">
        <v>4420</v>
      </c>
      <c r="F227" s="1">
        <v>2.2204815999999998</v>
      </c>
    </row>
    <row r="228" spans="5:6">
      <c r="E228" s="1">
        <v>4440</v>
      </c>
      <c r="F228" s="1">
        <v>2.7000820999999999</v>
      </c>
    </row>
    <row r="229" spans="5:6">
      <c r="E229" s="1">
        <v>4460</v>
      </c>
      <c r="F229" s="1">
        <v>2.5559516000000002</v>
      </c>
    </row>
    <row r="230" spans="5:6">
      <c r="E230" s="1">
        <v>4480</v>
      </c>
      <c r="F230" s="1">
        <v>2.6518171000000001</v>
      </c>
    </row>
    <row r="231" spans="5:6">
      <c r="E231" s="1">
        <v>4500</v>
      </c>
      <c r="F231" s="1">
        <v>2.5493872</v>
      </c>
    </row>
    <row r="232" spans="5:6">
      <c r="E232" s="1">
        <v>4520</v>
      </c>
      <c r="F232" s="1">
        <v>2.5809812999999999</v>
      </c>
    </row>
    <row r="233" spans="5:6">
      <c r="E233" s="1">
        <v>4540</v>
      </c>
      <c r="F233" s="1">
        <v>2.6055590999999998</v>
      </c>
    </row>
    <row r="234" spans="5:6">
      <c r="E234" s="1">
        <v>4560</v>
      </c>
      <c r="F234" s="1">
        <v>2.5934740999999999</v>
      </c>
    </row>
    <row r="235" spans="5:6">
      <c r="E235" s="1">
        <v>4580</v>
      </c>
      <c r="F235" s="1">
        <v>2.7707627000000001</v>
      </c>
    </row>
    <row r="236" spans="5:6">
      <c r="E236" s="1">
        <v>4600</v>
      </c>
      <c r="F236" s="1">
        <v>2.5946302000000001</v>
      </c>
    </row>
    <row r="237" spans="5:6">
      <c r="E237" s="1">
        <v>4620</v>
      </c>
      <c r="F237" s="1">
        <v>2.8125613</v>
      </c>
    </row>
    <row r="238" spans="5:6">
      <c r="E238" s="1">
        <v>4640</v>
      </c>
      <c r="F238" s="1">
        <v>2.7336822000000001</v>
      </c>
    </row>
    <row r="239" spans="5:6">
      <c r="E239" s="1">
        <v>4660</v>
      </c>
      <c r="F239" s="1">
        <v>2.7335973</v>
      </c>
    </row>
    <row r="240" spans="5:6">
      <c r="E240" s="1">
        <v>4680</v>
      </c>
      <c r="F240" s="1">
        <v>2.8100147</v>
      </c>
    </row>
    <row r="241" spans="5:6">
      <c r="E241" s="1">
        <v>4700</v>
      </c>
      <c r="F241" s="1">
        <v>2.7815850000000002</v>
      </c>
    </row>
    <row r="242" spans="5:6">
      <c r="E242" s="1">
        <v>4720</v>
      </c>
      <c r="F242" s="1">
        <v>2.7280549999999999</v>
      </c>
    </row>
    <row r="243" spans="5:6">
      <c r="E243" s="1">
        <v>4740</v>
      </c>
      <c r="F243" s="1">
        <v>2.5467412</v>
      </c>
    </row>
    <row r="244" spans="5:6">
      <c r="E244" s="1">
        <v>4760</v>
      </c>
      <c r="F244" s="1">
        <v>2.8297848999999999</v>
      </c>
    </row>
    <row r="245" spans="5:6">
      <c r="E245" s="1">
        <v>4780</v>
      </c>
      <c r="F245" s="1">
        <v>2.7712469</v>
      </c>
    </row>
    <row r="246" spans="5:6">
      <c r="E246" s="1">
        <v>4800</v>
      </c>
      <c r="F246" s="1">
        <v>2.8248533999999998</v>
      </c>
    </row>
    <row r="247" spans="5:6">
      <c r="E247" s="1">
        <v>4820</v>
      </c>
      <c r="F247" s="1">
        <v>2.8202503000000001</v>
      </c>
    </row>
    <row r="248" spans="5:6">
      <c r="E248" s="1">
        <v>4840</v>
      </c>
      <c r="F248" s="1">
        <v>2.8238444</v>
      </c>
    </row>
    <row r="249" spans="5:6">
      <c r="E249" s="1">
        <v>4860</v>
      </c>
      <c r="F249" s="1">
        <v>2.8663601999999999</v>
      </c>
    </row>
    <row r="250" spans="5:6">
      <c r="E250" s="1">
        <v>4880</v>
      </c>
      <c r="F250" s="1">
        <v>2.7746629999999999</v>
      </c>
    </row>
    <row r="251" spans="5:6">
      <c r="E251" s="1">
        <v>4900</v>
      </c>
      <c r="F251" s="1">
        <v>2.8687879999999999</v>
      </c>
    </row>
    <row r="252" spans="5:6">
      <c r="E252" s="1">
        <v>4920</v>
      </c>
      <c r="F252" s="1">
        <v>2.7082397999999999</v>
      </c>
    </row>
    <row r="253" spans="5:6">
      <c r="E253" s="1">
        <v>4940</v>
      </c>
      <c r="F253" s="1">
        <v>2.7097886</v>
      </c>
    </row>
    <row r="254" spans="5:6">
      <c r="E254" s="1">
        <v>4960</v>
      </c>
      <c r="F254" s="1">
        <v>2.580883</v>
      </c>
    </row>
    <row r="255" spans="5:6">
      <c r="E255" s="1">
        <v>4980</v>
      </c>
      <c r="F255" s="1">
        <v>2.6224389000000001</v>
      </c>
    </row>
    <row r="256" spans="5:6">
      <c r="E256" s="1">
        <v>5000</v>
      </c>
      <c r="F256" s="1">
        <v>2.5965633000000001</v>
      </c>
    </row>
    <row r="257" spans="5:6">
      <c r="E257" s="1">
        <v>5020</v>
      </c>
      <c r="F257" s="1">
        <v>2.5733926</v>
      </c>
    </row>
    <row r="258" spans="5:6">
      <c r="E258" s="1">
        <v>5040</v>
      </c>
      <c r="F258" s="1">
        <v>2.4977114</v>
      </c>
    </row>
    <row r="259" spans="5:6">
      <c r="E259" s="1">
        <v>5060</v>
      </c>
      <c r="F259" s="1">
        <v>2.6299174000000001</v>
      </c>
    </row>
    <row r="260" spans="5:6">
      <c r="E260" s="1">
        <v>5080</v>
      </c>
      <c r="F260" s="1">
        <v>2.5573117999999999</v>
      </c>
    </row>
    <row r="261" spans="5:6">
      <c r="E261" s="1">
        <v>5100</v>
      </c>
      <c r="F261" s="1">
        <v>2.7746352999999999</v>
      </c>
    </row>
    <row r="262" spans="5:6">
      <c r="E262" s="1">
        <v>5120</v>
      </c>
      <c r="F262" s="1">
        <v>3.038456</v>
      </c>
    </row>
    <row r="263" spans="5:6">
      <c r="E263" s="1">
        <v>5140</v>
      </c>
      <c r="F263" s="1">
        <v>2.8853046999999998</v>
      </c>
    </row>
    <row r="264" spans="5:6">
      <c r="E264" s="1">
        <v>5160</v>
      </c>
      <c r="F264" s="1">
        <v>2.7749157000000002</v>
      </c>
    </row>
    <row r="265" spans="5:6">
      <c r="E265" s="1">
        <v>5180</v>
      </c>
      <c r="F265" s="1">
        <v>2.8020839999999998</v>
      </c>
    </row>
    <row r="266" spans="5:6">
      <c r="E266" s="1">
        <v>5200</v>
      </c>
      <c r="F266" s="1">
        <v>2.5905203999999999</v>
      </c>
    </row>
    <row r="267" spans="5:6">
      <c r="E267" s="1">
        <v>5220</v>
      </c>
      <c r="F267" s="1">
        <v>2.6681048999999999</v>
      </c>
    </row>
    <row r="268" spans="5:6">
      <c r="E268" s="1">
        <v>5240</v>
      </c>
      <c r="F268" s="1">
        <v>2.6820729000000001</v>
      </c>
    </row>
    <row r="269" spans="5:6">
      <c r="E269" s="1">
        <v>5260</v>
      </c>
      <c r="F269" s="1">
        <v>2.8038447</v>
      </c>
    </row>
    <row r="270" spans="5:6">
      <c r="E270" s="1">
        <v>5280</v>
      </c>
      <c r="F270" s="1">
        <v>2.6994669</v>
      </c>
    </row>
    <row r="271" spans="5:6">
      <c r="E271" s="1">
        <v>5300</v>
      </c>
      <c r="F271" s="1">
        <v>2.9067631</v>
      </c>
    </row>
    <row r="272" spans="5:6">
      <c r="E272" s="1">
        <v>5320</v>
      </c>
      <c r="F272" s="1">
        <v>2.9088066000000001</v>
      </c>
    </row>
    <row r="273" spans="5:6">
      <c r="E273" s="1">
        <v>5340</v>
      </c>
      <c r="F273" s="1">
        <v>2.7697167</v>
      </c>
    </row>
    <row r="274" spans="5:6">
      <c r="E274" s="1">
        <v>5360</v>
      </c>
      <c r="F274" s="1">
        <v>2.7692347000000002</v>
      </c>
    </row>
    <row r="275" spans="5:6">
      <c r="E275" s="1">
        <v>5380</v>
      </c>
      <c r="F275" s="1">
        <v>2.9494064</v>
      </c>
    </row>
    <row r="276" spans="5:6">
      <c r="E276" s="1">
        <v>5400</v>
      </c>
      <c r="F276" s="1">
        <v>2.7240787000000002</v>
      </c>
    </row>
    <row r="277" spans="5:6">
      <c r="E277" s="1">
        <v>5420</v>
      </c>
      <c r="F277" s="1">
        <v>2.7468292999999999</v>
      </c>
    </row>
    <row r="278" spans="5:6">
      <c r="E278" s="1">
        <v>5440</v>
      </c>
      <c r="F278" s="1">
        <v>2.8219261000000002</v>
      </c>
    </row>
    <row r="279" spans="5:6">
      <c r="E279" s="1">
        <v>5460</v>
      </c>
      <c r="F279" s="1">
        <v>2.9614267000000001</v>
      </c>
    </row>
    <row r="280" spans="5:6">
      <c r="E280" s="1">
        <v>5480</v>
      </c>
      <c r="F280" s="1">
        <v>2.9974905999999999</v>
      </c>
    </row>
    <row r="281" spans="5:6">
      <c r="E281" s="1">
        <v>5500</v>
      </c>
      <c r="F281" s="1">
        <v>2.9599717000000001</v>
      </c>
    </row>
    <row r="282" spans="5:6">
      <c r="E282" s="1">
        <v>5520</v>
      </c>
      <c r="F282" s="1">
        <v>3.0497904</v>
      </c>
    </row>
    <row r="283" spans="5:6">
      <c r="E283" s="1">
        <v>5540</v>
      </c>
      <c r="F283" s="1">
        <v>3.0654089</v>
      </c>
    </row>
    <row r="284" spans="5:6">
      <c r="E284" s="1">
        <v>5560</v>
      </c>
      <c r="F284" s="1">
        <v>3.1130673999999998</v>
      </c>
    </row>
    <row r="285" spans="5:6">
      <c r="E285" s="1">
        <v>5580</v>
      </c>
      <c r="F285" s="1">
        <v>3.1830015</v>
      </c>
    </row>
    <row r="286" spans="5:6">
      <c r="E286" s="1">
        <v>5600</v>
      </c>
      <c r="F286" s="1">
        <v>3.2652253999999998</v>
      </c>
    </row>
    <row r="287" spans="5:6">
      <c r="E287" s="1">
        <v>5620</v>
      </c>
      <c r="F287" s="1">
        <v>3.2683944999999999</v>
      </c>
    </row>
    <row r="288" spans="5:6">
      <c r="E288" s="1">
        <v>5640</v>
      </c>
      <c r="F288" s="1">
        <v>3.1707841999999999</v>
      </c>
    </row>
    <row r="289" spans="5:6">
      <c r="E289" s="1">
        <v>5660</v>
      </c>
      <c r="F289" s="1">
        <v>3.1840416999999999</v>
      </c>
    </row>
    <row r="290" spans="5:6">
      <c r="E290" s="1">
        <v>5680</v>
      </c>
      <c r="F290" s="1">
        <v>3.2327577999999999</v>
      </c>
    </row>
    <row r="291" spans="5:6">
      <c r="E291" s="1">
        <v>5700</v>
      </c>
      <c r="F291" s="1">
        <v>3.0824478000000002</v>
      </c>
    </row>
    <row r="292" spans="5:6">
      <c r="E292" s="1">
        <v>5720</v>
      </c>
      <c r="F292" s="1">
        <v>3.1106253000000001</v>
      </c>
    </row>
    <row r="293" spans="5:6">
      <c r="E293" s="1">
        <v>5740</v>
      </c>
      <c r="F293" s="1">
        <v>2.9802618000000001</v>
      </c>
    </row>
    <row r="294" spans="5:6">
      <c r="E294" s="1">
        <v>5760</v>
      </c>
      <c r="F294" s="1">
        <v>3.1280332</v>
      </c>
    </row>
    <row r="295" spans="5:6">
      <c r="E295" s="1">
        <v>5780</v>
      </c>
      <c r="F295" s="1">
        <v>3.0807905</v>
      </c>
    </row>
    <row r="296" spans="5:6">
      <c r="E296" s="1">
        <v>5800</v>
      </c>
      <c r="F296" s="1">
        <v>3.1056859000000001</v>
      </c>
    </row>
    <row r="297" spans="5:6">
      <c r="E297" s="1">
        <v>5820</v>
      </c>
      <c r="F297" s="1">
        <v>3.0786023</v>
      </c>
    </row>
    <row r="298" spans="5:6">
      <c r="E298" s="1">
        <v>5840</v>
      </c>
      <c r="F298" s="1">
        <v>3.0628408999999999</v>
      </c>
    </row>
    <row r="299" spans="5:6">
      <c r="E299" s="1">
        <v>5860</v>
      </c>
      <c r="F299" s="1">
        <v>3.1135155999999999</v>
      </c>
    </row>
    <row r="300" spans="5:6">
      <c r="E300" s="1">
        <v>5880</v>
      </c>
      <c r="F300" s="1">
        <v>3.0279612999999999</v>
      </c>
    </row>
    <row r="301" spans="5:6">
      <c r="E301" s="1">
        <v>5900</v>
      </c>
      <c r="F301" s="1">
        <v>3.1459283999999998</v>
      </c>
    </row>
    <row r="302" spans="5:6">
      <c r="E302" s="1">
        <v>5920</v>
      </c>
      <c r="F302" s="1">
        <v>3.0523604999999998</v>
      </c>
    </row>
    <row r="303" spans="5:6">
      <c r="E303" s="1">
        <v>5940</v>
      </c>
      <c r="F303" s="1">
        <v>2.9045074</v>
      </c>
    </row>
    <row r="304" spans="5:6">
      <c r="E304" s="1">
        <v>5960</v>
      </c>
      <c r="F304" s="1">
        <v>2.642169</v>
      </c>
    </row>
    <row r="305" spans="5:6">
      <c r="E305" s="1">
        <v>5980</v>
      </c>
      <c r="F305" s="1">
        <v>2.9059550999999999</v>
      </c>
    </row>
    <row r="306" spans="5:6">
      <c r="E306" s="1">
        <v>6000</v>
      </c>
      <c r="F306" s="1">
        <v>2.8758043999999998</v>
      </c>
    </row>
    <row r="307" spans="5:6">
      <c r="E307" s="1">
        <v>6020</v>
      </c>
      <c r="F307" s="1">
        <v>2.9237578000000002</v>
      </c>
    </row>
    <row r="308" spans="5:6">
      <c r="E308" s="1">
        <v>6040</v>
      </c>
      <c r="F308" s="1">
        <v>2.8569154999999999</v>
      </c>
    </row>
    <row r="309" spans="5:6">
      <c r="E309" s="1">
        <v>6060</v>
      </c>
      <c r="F309" s="1">
        <v>2.8594067000000001</v>
      </c>
    </row>
    <row r="310" spans="5:6">
      <c r="E310" s="1">
        <v>6080</v>
      </c>
      <c r="F310" s="1">
        <v>2.9264128</v>
      </c>
    </row>
    <row r="311" spans="5:6">
      <c r="E311" s="1">
        <v>6100</v>
      </c>
      <c r="F311" s="1">
        <v>2.9827302000000002</v>
      </c>
    </row>
    <row r="312" spans="5:6">
      <c r="E312" s="1">
        <v>6120</v>
      </c>
      <c r="F312" s="1">
        <v>2.7816432</v>
      </c>
    </row>
    <row r="313" spans="5:6">
      <c r="E313" s="1">
        <v>6140</v>
      </c>
      <c r="F313" s="1">
        <v>2.7445303999999999</v>
      </c>
    </row>
    <row r="314" spans="5:6">
      <c r="E314" s="1">
        <v>6160</v>
      </c>
      <c r="F314" s="1">
        <v>2.7949522</v>
      </c>
    </row>
    <row r="315" spans="5:6">
      <c r="E315" s="1">
        <v>6180</v>
      </c>
      <c r="F315" s="1">
        <v>2.8390791000000002</v>
      </c>
    </row>
    <row r="316" spans="5:6">
      <c r="E316" s="1">
        <v>6200</v>
      </c>
      <c r="F316" s="1">
        <v>2.9049144</v>
      </c>
    </row>
    <row r="317" spans="5:6">
      <c r="E317" s="1">
        <v>6220</v>
      </c>
      <c r="F317" s="1">
        <v>2.8376085999999998</v>
      </c>
    </row>
    <row r="318" spans="5:6">
      <c r="E318" s="1">
        <v>6240</v>
      </c>
      <c r="F318" s="1">
        <v>2.7900421999999998</v>
      </c>
    </row>
    <row r="319" spans="5:6">
      <c r="E319" s="1">
        <v>6260</v>
      </c>
      <c r="F319" s="1">
        <v>2.9931966999999999</v>
      </c>
    </row>
    <row r="320" spans="5:6">
      <c r="E320" s="1">
        <v>6280</v>
      </c>
      <c r="F320" s="1">
        <v>2.7826335000000002</v>
      </c>
    </row>
    <row r="321" spans="5:6">
      <c r="E321" s="1">
        <v>6300</v>
      </c>
      <c r="F321" s="1">
        <v>2.9212546000000001</v>
      </c>
    </row>
    <row r="322" spans="5:6">
      <c r="E322" s="1">
        <v>6320</v>
      </c>
      <c r="F322" s="1">
        <v>3.0716986999999998</v>
      </c>
    </row>
    <row r="323" spans="5:6">
      <c r="E323" s="1">
        <v>6340</v>
      </c>
      <c r="F323" s="1">
        <v>2.8300261</v>
      </c>
    </row>
    <row r="324" spans="5:6">
      <c r="E324" s="1">
        <v>6360</v>
      </c>
      <c r="F324" s="1">
        <v>2.9873970000000001</v>
      </c>
    </row>
    <row r="325" spans="5:6">
      <c r="E325" s="1">
        <v>6380</v>
      </c>
      <c r="F325" s="1">
        <v>3.0684140000000002</v>
      </c>
    </row>
    <row r="326" spans="5:6">
      <c r="E326" s="1">
        <v>6400</v>
      </c>
      <c r="F326" s="1">
        <v>3.0328537999999998</v>
      </c>
    </row>
    <row r="327" spans="5:6">
      <c r="E327" s="1">
        <v>6420</v>
      </c>
      <c r="F327" s="1">
        <v>3.0132965999999999</v>
      </c>
    </row>
    <row r="328" spans="5:6">
      <c r="E328" s="1">
        <v>6440</v>
      </c>
      <c r="F328" s="1">
        <v>3.0936471999999999</v>
      </c>
    </row>
    <row r="329" spans="5:6">
      <c r="E329" s="1">
        <v>6460</v>
      </c>
      <c r="F329" s="1">
        <v>3.0781964999999998</v>
      </c>
    </row>
    <row r="330" spans="5:6">
      <c r="E330" s="1">
        <v>6480</v>
      </c>
      <c r="F330" s="1">
        <v>3.3520937000000002</v>
      </c>
    </row>
    <row r="331" spans="5:6">
      <c r="E331" s="1">
        <v>6500</v>
      </c>
      <c r="F331" s="1">
        <v>3.2032105999999998</v>
      </c>
    </row>
    <row r="332" spans="5:6">
      <c r="E332" s="1">
        <v>6520</v>
      </c>
      <c r="F332" s="1">
        <v>3.2350492000000002</v>
      </c>
    </row>
    <row r="333" spans="5:6">
      <c r="E333" s="1">
        <v>6540</v>
      </c>
      <c r="F333" s="1">
        <v>3.3418581000000001</v>
      </c>
    </row>
    <row r="334" spans="5:6">
      <c r="E334" s="1">
        <v>6560</v>
      </c>
      <c r="F334" s="1">
        <v>3.1635284000000001</v>
      </c>
    </row>
    <row r="335" spans="5:6">
      <c r="E335" s="1">
        <v>6580</v>
      </c>
      <c r="F335" s="1">
        <v>2.8846704999999999</v>
      </c>
    </row>
    <row r="336" spans="5:6">
      <c r="E336" s="1">
        <v>6600</v>
      </c>
      <c r="F336" s="1">
        <v>2.9005556000000001</v>
      </c>
    </row>
    <row r="337" spans="5:6">
      <c r="E337" s="1">
        <v>6620</v>
      </c>
      <c r="F337" s="1">
        <v>2.9169934</v>
      </c>
    </row>
    <row r="338" spans="5:6">
      <c r="E338" s="1">
        <v>6640</v>
      </c>
      <c r="F338" s="1">
        <v>2.9058557</v>
      </c>
    </row>
    <row r="339" spans="5:6">
      <c r="E339" s="1">
        <v>6660</v>
      </c>
      <c r="F339" s="1">
        <v>2.9924202000000002</v>
      </c>
    </row>
    <row r="340" spans="5:6">
      <c r="E340" s="1">
        <v>6680</v>
      </c>
      <c r="F340" s="1">
        <v>2.8003900000000002</v>
      </c>
    </row>
    <row r="341" spans="5:6">
      <c r="E341" s="1">
        <v>6700</v>
      </c>
      <c r="F341" s="1">
        <v>2.8332476999999998</v>
      </c>
    </row>
    <row r="342" spans="5:6">
      <c r="E342" s="1">
        <v>6720</v>
      </c>
      <c r="F342" s="1">
        <v>2.9804797000000001</v>
      </c>
    </row>
    <row r="343" spans="5:6">
      <c r="E343" s="1">
        <v>6740</v>
      </c>
      <c r="F343" s="1">
        <v>2.9932384000000001</v>
      </c>
    </row>
    <row r="344" spans="5:6">
      <c r="E344" s="1">
        <v>6760</v>
      </c>
      <c r="F344" s="1">
        <v>2.7820032000000001</v>
      </c>
    </row>
    <row r="345" spans="5:6">
      <c r="E345" s="1">
        <v>6780</v>
      </c>
      <c r="F345" s="1">
        <v>2.7057129999999998</v>
      </c>
    </row>
    <row r="346" spans="5:6">
      <c r="E346" s="1">
        <v>6800</v>
      </c>
      <c r="F346" s="1">
        <v>3.0721840999999999</v>
      </c>
    </row>
    <row r="347" spans="5:6">
      <c r="E347" s="1">
        <v>6820</v>
      </c>
      <c r="F347" s="1">
        <v>2.8155351</v>
      </c>
    </row>
    <row r="348" spans="5:6">
      <c r="E348" s="1">
        <v>6840</v>
      </c>
      <c r="F348" s="1">
        <v>2.924747</v>
      </c>
    </row>
    <row r="349" spans="5:6">
      <c r="E349" s="1">
        <v>6860</v>
      </c>
      <c r="F349" s="1">
        <v>2.8405216000000002</v>
      </c>
    </row>
    <row r="350" spans="5:6">
      <c r="E350" s="1">
        <v>6880</v>
      </c>
      <c r="F350" s="1">
        <v>2.7609610999999998</v>
      </c>
    </row>
    <row r="351" spans="5:6">
      <c r="E351" s="1">
        <v>6900</v>
      </c>
      <c r="F351" s="1">
        <v>2.7043412</v>
      </c>
    </row>
    <row r="352" spans="5:6">
      <c r="E352" s="1">
        <v>6920</v>
      </c>
      <c r="F352" s="1">
        <v>2.8151700000000002</v>
      </c>
    </row>
    <row r="353" spans="5:6">
      <c r="E353" s="1">
        <v>6940</v>
      </c>
      <c r="F353" s="1">
        <v>3.1768744</v>
      </c>
    </row>
    <row r="354" spans="5:6">
      <c r="E354" s="1">
        <v>6960</v>
      </c>
      <c r="F354" s="1">
        <v>3.0660338</v>
      </c>
    </row>
    <row r="355" spans="5:6">
      <c r="E355" s="1">
        <v>6980</v>
      </c>
      <c r="F355" s="1">
        <v>2.8637111000000002</v>
      </c>
    </row>
    <row r="356" spans="5:6">
      <c r="E356" s="1">
        <v>7000</v>
      </c>
      <c r="F356" s="1">
        <v>2.9471736000000002</v>
      </c>
    </row>
    <row r="357" spans="5:6">
      <c r="E357" s="1">
        <v>7020</v>
      </c>
      <c r="F357" s="1">
        <v>3.0892903999999999</v>
      </c>
    </row>
    <row r="358" spans="5:6">
      <c r="E358" s="1">
        <v>7040</v>
      </c>
      <c r="F358" s="1">
        <v>2.9063922999999998</v>
      </c>
    </row>
    <row r="359" spans="5:6">
      <c r="E359" s="1">
        <v>7060</v>
      </c>
      <c r="F359" s="1">
        <v>3.2370667000000002</v>
      </c>
    </row>
    <row r="360" spans="5:6">
      <c r="E360" s="1">
        <v>7080</v>
      </c>
      <c r="F360" s="1">
        <v>3.2167984999999999</v>
      </c>
    </row>
    <row r="361" spans="5:6">
      <c r="E361" s="1">
        <v>7100</v>
      </c>
      <c r="F361" s="1">
        <v>3.1362524000000001</v>
      </c>
    </row>
    <row r="362" spans="5:6">
      <c r="E362" s="1">
        <v>7120</v>
      </c>
      <c r="F362" s="1">
        <v>3.1184433</v>
      </c>
    </row>
    <row r="363" spans="5:6">
      <c r="E363" s="1">
        <v>7140</v>
      </c>
      <c r="F363" s="1">
        <v>2.8532269000000001</v>
      </c>
    </row>
    <row r="364" spans="5:6">
      <c r="E364" s="1">
        <v>7160</v>
      </c>
      <c r="F364" s="1">
        <v>3.0140207000000001</v>
      </c>
    </row>
    <row r="365" spans="5:6">
      <c r="E365" s="1">
        <v>7180</v>
      </c>
      <c r="F365" s="1">
        <v>2.8676715000000002</v>
      </c>
    </row>
    <row r="366" spans="5:6">
      <c r="E366" s="1">
        <v>7200</v>
      </c>
      <c r="F366" s="1">
        <v>3.0362306000000001</v>
      </c>
    </row>
    <row r="367" spans="5:6">
      <c r="E367" s="1">
        <v>7220</v>
      </c>
      <c r="F367" s="1">
        <v>3.2475182999999999</v>
      </c>
    </row>
    <row r="368" spans="5:6">
      <c r="E368" s="1">
        <v>7240</v>
      </c>
      <c r="F368" s="1">
        <v>3.4160756999999999</v>
      </c>
    </row>
    <row r="369" spans="5:6">
      <c r="E369" s="1">
        <v>7260</v>
      </c>
      <c r="F369" s="1">
        <v>3.5445715999999998</v>
      </c>
    </row>
    <row r="370" spans="5:6">
      <c r="E370" s="1">
        <v>7280</v>
      </c>
      <c r="F370" s="1">
        <v>3.4663246000000001</v>
      </c>
    </row>
    <row r="371" spans="5:6">
      <c r="E371" s="1">
        <v>7300</v>
      </c>
      <c r="F371" s="1">
        <v>3.5952225000000002</v>
      </c>
    </row>
    <row r="372" spans="5:6">
      <c r="E372" s="1">
        <v>7320</v>
      </c>
      <c r="F372" s="1">
        <v>3.3274148000000001</v>
      </c>
    </row>
    <row r="373" spans="5:6">
      <c r="E373" s="1">
        <v>7340</v>
      </c>
      <c r="F373" s="1">
        <v>3.7944361999999998</v>
      </c>
    </row>
    <row r="374" spans="5:6">
      <c r="E374" s="1">
        <v>7360</v>
      </c>
      <c r="F374" s="1">
        <v>3.714566</v>
      </c>
    </row>
    <row r="375" spans="5:6">
      <c r="E375" s="1">
        <v>7380</v>
      </c>
      <c r="F375" s="1">
        <v>3.7911896999999999</v>
      </c>
    </row>
    <row r="376" spans="5:6">
      <c r="E376" s="1">
        <v>7400</v>
      </c>
      <c r="F376" s="1">
        <v>3.5893294999999998</v>
      </c>
    </row>
    <row r="377" spans="5:6">
      <c r="E377" s="1">
        <v>7420</v>
      </c>
      <c r="F377" s="1">
        <v>3.5847733000000002</v>
      </c>
    </row>
    <row r="378" spans="5:6">
      <c r="E378" s="1">
        <v>7440</v>
      </c>
      <c r="F378" s="1">
        <v>3.7775821999999999</v>
      </c>
    </row>
    <row r="379" spans="5:6">
      <c r="E379" s="1">
        <v>7460</v>
      </c>
      <c r="F379" s="1">
        <v>3.8410277000000002</v>
      </c>
    </row>
    <row r="380" spans="5:6">
      <c r="E380" s="1">
        <v>7480</v>
      </c>
      <c r="F380" s="1">
        <v>3.6838765000000002</v>
      </c>
    </row>
    <row r="381" spans="5:6">
      <c r="E381" s="1">
        <v>7500</v>
      </c>
      <c r="F381" s="1">
        <v>3.7113895000000001</v>
      </c>
    </row>
    <row r="382" spans="5:6">
      <c r="E382" s="1">
        <v>7520</v>
      </c>
      <c r="F382" s="1">
        <v>3.6521826000000002</v>
      </c>
    </row>
    <row r="383" spans="5:6">
      <c r="E383" s="1">
        <v>7540</v>
      </c>
      <c r="F383" s="1">
        <v>3.8169727</v>
      </c>
    </row>
    <row r="384" spans="5:6">
      <c r="E384" s="1">
        <v>7560</v>
      </c>
      <c r="F384" s="1">
        <v>3.8714917</v>
      </c>
    </row>
    <row r="385" spans="5:6">
      <c r="E385" s="1">
        <v>7580</v>
      </c>
      <c r="F385" s="1">
        <v>3.9291770000000001</v>
      </c>
    </row>
    <row r="386" spans="5:6">
      <c r="E386" s="1">
        <v>7600</v>
      </c>
      <c r="F386" s="1">
        <v>3.8875720999999999</v>
      </c>
    </row>
    <row r="387" spans="5:6">
      <c r="E387" s="1">
        <v>7620</v>
      </c>
      <c r="F387" s="1">
        <v>3.8483176000000001</v>
      </c>
    </row>
    <row r="388" spans="5:6">
      <c r="E388" s="1">
        <v>7640</v>
      </c>
      <c r="F388" s="1">
        <v>3.9203242999999999</v>
      </c>
    </row>
    <row r="389" spans="5:6">
      <c r="E389" s="1">
        <v>7660</v>
      </c>
      <c r="F389" s="1">
        <v>3.7984102000000002</v>
      </c>
    </row>
    <row r="390" spans="5:6">
      <c r="E390" s="1">
        <v>7680</v>
      </c>
      <c r="F390" s="1">
        <v>3.9140415000000002</v>
      </c>
    </row>
    <row r="391" spans="5:6">
      <c r="E391" s="1">
        <v>7700</v>
      </c>
      <c r="F391" s="1">
        <v>4.1111493000000001</v>
      </c>
    </row>
    <row r="392" spans="5:6">
      <c r="E392" s="1">
        <v>7720</v>
      </c>
      <c r="F392" s="1">
        <v>4.0196551999999999</v>
      </c>
    </row>
    <row r="393" spans="5:6">
      <c r="E393" s="1">
        <v>7740</v>
      </c>
      <c r="F393" s="1">
        <v>4.0778154999999998</v>
      </c>
    </row>
    <row r="394" spans="5:6">
      <c r="E394" s="1">
        <v>7760</v>
      </c>
      <c r="F394" s="1">
        <v>3.6836490999999998</v>
      </c>
    </row>
    <row r="395" spans="5:6">
      <c r="E395" s="1">
        <v>7780</v>
      </c>
      <c r="F395" s="1">
        <v>3.7744632</v>
      </c>
    </row>
    <row r="396" spans="5:6">
      <c r="E396" s="1">
        <v>7800</v>
      </c>
      <c r="F396" s="1">
        <v>3.8078408000000001</v>
      </c>
    </row>
    <row r="397" spans="5:6">
      <c r="E397" s="1">
        <v>7820</v>
      </c>
      <c r="F397" s="1">
        <v>3.8631891999999999</v>
      </c>
    </row>
    <row r="398" spans="5:6">
      <c r="E398" s="1">
        <v>7840</v>
      </c>
      <c r="F398" s="1">
        <v>3.8908827000000001</v>
      </c>
    </row>
    <row r="399" spans="5:6">
      <c r="E399" s="1">
        <v>7860</v>
      </c>
      <c r="F399" s="1">
        <v>3.4943485000000001</v>
      </c>
    </row>
    <row r="400" spans="5:6">
      <c r="E400" s="1">
        <v>7880</v>
      </c>
      <c r="F400" s="1">
        <v>3.5970962000000002</v>
      </c>
    </row>
    <row r="401" spans="5:6">
      <c r="E401" s="1">
        <v>7900</v>
      </c>
      <c r="F401" s="1">
        <v>3.5487715999999998</v>
      </c>
    </row>
    <row r="402" spans="5:6">
      <c r="E402" s="1">
        <v>7920</v>
      </c>
      <c r="F402" s="1">
        <v>3.7402120000000001</v>
      </c>
    </row>
    <row r="403" spans="5:6">
      <c r="E403" s="1">
        <v>7940</v>
      </c>
      <c r="F403" s="1">
        <v>3.5493546</v>
      </c>
    </row>
    <row r="404" spans="5:6">
      <c r="E404" s="1">
        <v>7960</v>
      </c>
      <c r="F404" s="1">
        <v>3.6180789</v>
      </c>
    </row>
    <row r="405" spans="5:6">
      <c r="E405" s="1">
        <v>7980</v>
      </c>
      <c r="F405" s="1">
        <v>3.6421329999999998</v>
      </c>
    </row>
    <row r="406" spans="5:6">
      <c r="E406" s="1">
        <v>8000</v>
      </c>
      <c r="F406" s="1">
        <v>3.653753</v>
      </c>
    </row>
    <row r="407" spans="5:6">
      <c r="E407" s="1">
        <v>8020</v>
      </c>
      <c r="F407" s="1">
        <v>3.5542905</v>
      </c>
    </row>
    <row r="408" spans="5:6">
      <c r="E408" s="1">
        <v>8040</v>
      </c>
      <c r="F408" s="1">
        <v>3.6770415000000001</v>
      </c>
    </row>
    <row r="409" spans="5:6">
      <c r="E409" s="1">
        <v>8060</v>
      </c>
      <c r="F409" s="1">
        <v>3.8826323</v>
      </c>
    </row>
    <row r="410" spans="5:6">
      <c r="E410" s="1">
        <v>8080</v>
      </c>
      <c r="F410" s="1">
        <v>3.7235393999999999</v>
      </c>
    </row>
    <row r="411" spans="5:6">
      <c r="E411" s="1">
        <v>8100</v>
      </c>
      <c r="F411" s="1">
        <v>4.0217308999999997</v>
      </c>
    </row>
    <row r="412" spans="5:6">
      <c r="E412" s="1">
        <v>8120</v>
      </c>
      <c r="F412" s="1">
        <v>3.6749182</v>
      </c>
    </row>
    <row r="413" spans="5:6">
      <c r="E413" s="1">
        <v>8140</v>
      </c>
      <c r="F413" s="1">
        <v>3.6516506999999998</v>
      </c>
    </row>
    <row r="414" spans="5:6">
      <c r="E414" s="1">
        <v>8160</v>
      </c>
      <c r="F414" s="1">
        <v>3.7536082</v>
      </c>
    </row>
    <row r="415" spans="5:6">
      <c r="E415" s="1">
        <v>8180</v>
      </c>
      <c r="F415" s="1">
        <v>3.7274159999999998</v>
      </c>
    </row>
    <row r="416" spans="5:6">
      <c r="E416" s="1">
        <v>8200</v>
      </c>
      <c r="F416" s="1">
        <v>3.6080363000000002</v>
      </c>
    </row>
    <row r="417" spans="5:6">
      <c r="E417" s="1">
        <v>8220</v>
      </c>
      <c r="F417" s="1">
        <v>3.6171357999999998</v>
      </c>
    </row>
    <row r="418" spans="5:6">
      <c r="E418" s="1">
        <v>8240</v>
      </c>
      <c r="F418" s="1">
        <v>3.5003525999999998</v>
      </c>
    </row>
    <row r="419" spans="5:6">
      <c r="E419" s="1">
        <v>8260</v>
      </c>
      <c r="F419" s="1">
        <v>3.5362534999999999</v>
      </c>
    </row>
    <row r="420" spans="5:6">
      <c r="E420" s="1">
        <v>8280</v>
      </c>
      <c r="F420" s="1">
        <v>3.6787074</v>
      </c>
    </row>
    <row r="421" spans="5:6">
      <c r="E421" s="1">
        <v>8300</v>
      </c>
      <c r="F421" s="1">
        <v>3.7788742000000002</v>
      </c>
    </row>
    <row r="422" spans="5:6">
      <c r="E422" s="1">
        <v>8320</v>
      </c>
      <c r="F422" s="1">
        <v>3.7790959000000002</v>
      </c>
    </row>
    <row r="423" spans="5:6">
      <c r="E423" s="1">
        <v>8340</v>
      </c>
      <c r="F423" s="1">
        <v>3.7041404</v>
      </c>
    </row>
    <row r="424" spans="5:6">
      <c r="E424" s="1">
        <v>8360</v>
      </c>
      <c r="F424" s="1">
        <v>3.5321465000000001</v>
      </c>
    </row>
    <row r="425" spans="5:6">
      <c r="E425" s="1">
        <v>8380</v>
      </c>
      <c r="F425" s="1">
        <v>3.6460414000000001</v>
      </c>
    </row>
    <row r="426" spans="5:6">
      <c r="E426" s="1">
        <v>8400</v>
      </c>
      <c r="F426" s="1">
        <v>3.828408</v>
      </c>
    </row>
    <row r="427" spans="5:6">
      <c r="E427" s="1">
        <v>8420</v>
      </c>
      <c r="F427" s="1">
        <v>3.7951733999999999</v>
      </c>
    </row>
    <row r="428" spans="5:6">
      <c r="E428" s="1">
        <v>8440</v>
      </c>
      <c r="F428" s="1">
        <v>3.6125147000000002</v>
      </c>
    </row>
    <row r="429" spans="5:6">
      <c r="E429" s="1">
        <v>8460</v>
      </c>
      <c r="F429" s="1">
        <v>3.7604248999999998</v>
      </c>
    </row>
    <row r="430" spans="5:6">
      <c r="E430" s="1">
        <v>8480</v>
      </c>
      <c r="F430" s="1">
        <v>3.6125226000000001</v>
      </c>
    </row>
    <row r="431" spans="5:6">
      <c r="E431" s="1">
        <v>8500</v>
      </c>
      <c r="F431" s="1">
        <v>3.6251395</v>
      </c>
    </row>
    <row r="432" spans="5:6">
      <c r="E432" s="1">
        <v>8520</v>
      </c>
      <c r="F432" s="1">
        <v>3.6095218999999998</v>
      </c>
    </row>
    <row r="433" spans="5:6">
      <c r="E433" s="1">
        <v>8540</v>
      </c>
      <c r="F433" s="1">
        <v>3.4793432000000002</v>
      </c>
    </row>
    <row r="434" spans="5:6">
      <c r="E434" s="1">
        <v>8560</v>
      </c>
      <c r="F434" s="1">
        <v>3.4211779</v>
      </c>
    </row>
    <row r="435" spans="5:6">
      <c r="E435" s="1">
        <v>8580</v>
      </c>
      <c r="F435" s="1">
        <v>3.4419271999999999</v>
      </c>
    </row>
    <row r="436" spans="5:6">
      <c r="E436" s="1">
        <v>8600</v>
      </c>
      <c r="F436" s="1">
        <v>3.5326613999999998</v>
      </c>
    </row>
    <row r="437" spans="5:6">
      <c r="E437" s="1">
        <v>8620</v>
      </c>
      <c r="F437" s="1">
        <v>3.3740869</v>
      </c>
    </row>
    <row r="438" spans="5:6">
      <c r="E438" s="1">
        <v>8640</v>
      </c>
      <c r="F438" s="1">
        <v>3.4692082000000002</v>
      </c>
    </row>
    <row r="439" spans="5:6">
      <c r="E439" s="1">
        <v>8660</v>
      </c>
      <c r="F439" s="1">
        <v>3.5252773999999998</v>
      </c>
    </row>
    <row r="440" spans="5:6">
      <c r="E440" s="1">
        <v>8680</v>
      </c>
      <c r="F440" s="1">
        <v>3.4702923000000001</v>
      </c>
    </row>
    <row r="441" spans="5:6">
      <c r="E441" s="1">
        <v>8700</v>
      </c>
      <c r="F441" s="1">
        <v>3.4815526000000001</v>
      </c>
    </row>
    <row r="442" spans="5:6">
      <c r="E442" s="1">
        <v>8720</v>
      </c>
      <c r="F442" s="1">
        <v>3.4570612999999999</v>
      </c>
    </row>
    <row r="443" spans="5:6">
      <c r="E443" s="1">
        <v>8740</v>
      </c>
      <c r="F443" s="1">
        <v>3.3646696</v>
      </c>
    </row>
    <row r="444" spans="5:6">
      <c r="E444" s="1">
        <v>8760</v>
      </c>
      <c r="F444" s="1">
        <v>3.2308053999999999</v>
      </c>
    </row>
    <row r="445" spans="5:6">
      <c r="E445" s="1">
        <v>8780</v>
      </c>
      <c r="F445" s="1">
        <v>3.3290899</v>
      </c>
    </row>
    <row r="446" spans="5:6">
      <c r="E446" s="1">
        <v>8800</v>
      </c>
      <c r="F446" s="1">
        <v>3.3399119000000002</v>
      </c>
    </row>
    <row r="447" spans="5:6">
      <c r="E447" s="1">
        <v>8820</v>
      </c>
      <c r="F447" s="1">
        <v>3.1370882999999998</v>
      </c>
    </row>
    <row r="448" spans="5:6">
      <c r="E448" s="1">
        <v>8840</v>
      </c>
      <c r="F448" s="1">
        <v>3.4076702999999999</v>
      </c>
    </row>
    <row r="449" spans="5:6">
      <c r="E449" s="1">
        <v>8860</v>
      </c>
      <c r="F449" s="1">
        <v>3.2610998000000002</v>
      </c>
    </row>
    <row r="450" spans="5:6">
      <c r="E450" s="1">
        <v>8880</v>
      </c>
      <c r="F450" s="1">
        <v>3.2010846000000002</v>
      </c>
    </row>
    <row r="451" spans="5:6">
      <c r="E451" s="1">
        <v>8900</v>
      </c>
      <c r="F451" s="1">
        <v>3.1437065999999998</v>
      </c>
    </row>
    <row r="452" spans="5:6">
      <c r="E452" s="1">
        <v>8920</v>
      </c>
      <c r="F452" s="1">
        <v>3.2481740000000001</v>
      </c>
    </row>
    <row r="453" spans="5:6">
      <c r="E453" s="1">
        <v>8940</v>
      </c>
      <c r="F453" s="1">
        <v>3.2793402999999999</v>
      </c>
    </row>
    <row r="454" spans="5:6">
      <c r="E454" s="1">
        <v>8960</v>
      </c>
      <c r="F454" s="1">
        <v>3.3752539000000001</v>
      </c>
    </row>
    <row r="455" spans="5:6">
      <c r="E455" s="1">
        <v>8980</v>
      </c>
      <c r="F455" s="1">
        <v>3.5711827</v>
      </c>
    </row>
    <row r="456" spans="5:6">
      <c r="E456" s="1">
        <v>9000</v>
      </c>
      <c r="F456" s="1">
        <v>3.4640168999999998</v>
      </c>
    </row>
    <row r="457" spans="5:6">
      <c r="E457" s="1">
        <v>9020</v>
      </c>
      <c r="F457" s="1">
        <v>3.5032885</v>
      </c>
    </row>
    <row r="458" spans="5:6">
      <c r="E458" s="1">
        <v>9040</v>
      </c>
      <c r="F458" s="1">
        <v>3.4070499000000001</v>
      </c>
    </row>
    <row r="459" spans="5:6">
      <c r="E459" s="1">
        <v>9060</v>
      </c>
      <c r="F459" s="1">
        <v>3.6990972000000002</v>
      </c>
    </row>
    <row r="460" spans="5:6">
      <c r="E460" s="1">
        <v>9080</v>
      </c>
      <c r="F460" s="1">
        <v>3.6228275000000001</v>
      </c>
    </row>
    <row r="461" spans="5:6">
      <c r="E461" s="1">
        <v>9100</v>
      </c>
      <c r="F461" s="1">
        <v>3.6822395000000001</v>
      </c>
    </row>
    <row r="462" spans="5:6">
      <c r="E462" s="1">
        <v>9120</v>
      </c>
      <c r="F462" s="1">
        <v>3.6079352</v>
      </c>
    </row>
    <row r="463" spans="5:6">
      <c r="E463" s="1">
        <v>9140</v>
      </c>
      <c r="F463" s="1">
        <v>3.4180901000000001</v>
      </c>
    </row>
    <row r="464" spans="5:6">
      <c r="E464" s="1">
        <v>9160</v>
      </c>
      <c r="F464" s="1">
        <v>3.4786556000000002</v>
      </c>
    </row>
    <row r="465" spans="5:6">
      <c r="E465" s="1">
        <v>9180</v>
      </c>
      <c r="F465" s="1">
        <v>3.4489790999999999</v>
      </c>
    </row>
    <row r="466" spans="5:6">
      <c r="E466" s="1">
        <v>9200</v>
      </c>
      <c r="F466" s="1">
        <v>3.6518350000000002</v>
      </c>
    </row>
    <row r="467" spans="5:6">
      <c r="E467" s="1">
        <v>9220</v>
      </c>
      <c r="F467" s="1">
        <v>3.3722143</v>
      </c>
    </row>
    <row r="468" spans="5:6">
      <c r="E468" s="1">
        <v>9240</v>
      </c>
      <c r="F468" s="1">
        <v>3.4491673</v>
      </c>
    </row>
    <row r="469" spans="5:6">
      <c r="E469" s="1">
        <v>9260</v>
      </c>
      <c r="F469" s="1">
        <v>3.4036293</v>
      </c>
    </row>
    <row r="470" spans="5:6">
      <c r="E470" s="1">
        <v>9280</v>
      </c>
      <c r="F470" s="1">
        <v>3.2419381</v>
      </c>
    </row>
    <row r="471" spans="5:6">
      <c r="E471" s="1">
        <v>9300</v>
      </c>
      <c r="F471" s="1">
        <v>3.3793120000000001</v>
      </c>
    </row>
    <row r="472" spans="5:6">
      <c r="E472" s="1">
        <v>9320</v>
      </c>
      <c r="F472" s="1">
        <v>3.5712801999999999</v>
      </c>
    </row>
    <row r="473" spans="5:6">
      <c r="E473" s="1">
        <v>9340</v>
      </c>
      <c r="F473" s="1">
        <v>3.5911577000000001</v>
      </c>
    </row>
    <row r="474" spans="5:6">
      <c r="E474" s="1">
        <v>9360</v>
      </c>
      <c r="F474" s="1">
        <v>3.6215084000000002</v>
      </c>
    </row>
    <row r="475" spans="5:6">
      <c r="E475" s="1">
        <v>9380</v>
      </c>
      <c r="F475" s="1">
        <v>3.7056854000000001</v>
      </c>
    </row>
    <row r="476" spans="5:6">
      <c r="E476" s="1">
        <v>9400</v>
      </c>
      <c r="F476" s="1">
        <v>3.5792315000000001</v>
      </c>
    </row>
    <row r="477" spans="5:6">
      <c r="E477" s="1">
        <v>9420</v>
      </c>
      <c r="F477" s="1">
        <v>3.4635546000000001</v>
      </c>
    </row>
    <row r="478" spans="5:6">
      <c r="E478" s="1">
        <v>9440</v>
      </c>
      <c r="F478" s="1">
        <v>3.5810901999999998</v>
      </c>
    </row>
    <row r="479" spans="5:6">
      <c r="E479" s="1">
        <v>9460</v>
      </c>
      <c r="F479" s="1">
        <v>3.6071460000000002</v>
      </c>
    </row>
    <row r="480" spans="5:6">
      <c r="E480" s="1">
        <v>9480</v>
      </c>
      <c r="F480" s="1">
        <v>3.7749429000000001</v>
      </c>
    </row>
    <row r="481" spans="5:6">
      <c r="E481" s="1">
        <v>9500</v>
      </c>
      <c r="F481" s="1">
        <v>3.7818277</v>
      </c>
    </row>
    <row r="482" spans="5:6">
      <c r="E482" s="1">
        <v>9520</v>
      </c>
      <c r="F482" s="1">
        <v>3.7209026999999999</v>
      </c>
    </row>
    <row r="483" spans="5:6">
      <c r="E483" s="1">
        <v>9540</v>
      </c>
      <c r="F483" s="1">
        <v>3.7598391000000002</v>
      </c>
    </row>
    <row r="484" spans="5:6">
      <c r="E484" s="1">
        <v>9560</v>
      </c>
      <c r="F484" s="1">
        <v>3.8771453</v>
      </c>
    </row>
    <row r="485" spans="5:6">
      <c r="E485" s="1">
        <v>9580</v>
      </c>
      <c r="F485" s="1">
        <v>3.7252239999999999</v>
      </c>
    </row>
    <row r="486" spans="5:6">
      <c r="E486" s="1">
        <v>9600</v>
      </c>
      <c r="F486" s="1">
        <v>3.6697340000000001</v>
      </c>
    </row>
    <row r="487" spans="5:6">
      <c r="E487" s="1">
        <v>9620</v>
      </c>
      <c r="F487" s="1">
        <v>3.5797474</v>
      </c>
    </row>
    <row r="488" spans="5:6">
      <c r="E488" s="1">
        <v>9640</v>
      </c>
      <c r="F488" s="1">
        <v>3.6633941999999999</v>
      </c>
    </row>
    <row r="489" spans="5:6">
      <c r="E489" s="1">
        <v>9660</v>
      </c>
      <c r="F489" s="1">
        <v>3.7336626000000002</v>
      </c>
    </row>
    <row r="490" spans="5:6">
      <c r="E490" s="1">
        <v>9680</v>
      </c>
      <c r="F490" s="1">
        <v>3.6187762999999999</v>
      </c>
    </row>
    <row r="491" spans="5:6">
      <c r="E491" s="1">
        <v>9700</v>
      </c>
      <c r="F491" s="1">
        <v>3.6877808999999999</v>
      </c>
    </row>
    <row r="492" spans="5:6">
      <c r="E492" s="1">
        <v>9720</v>
      </c>
      <c r="F492" s="1">
        <v>3.7477654999999999</v>
      </c>
    </row>
    <row r="493" spans="5:6">
      <c r="E493" s="1">
        <v>9740</v>
      </c>
      <c r="F493" s="1">
        <v>3.7817509</v>
      </c>
    </row>
    <row r="494" spans="5:6">
      <c r="E494" s="1">
        <v>9760</v>
      </c>
      <c r="F494" s="1">
        <v>3.8212294999999998</v>
      </c>
    </row>
    <row r="495" spans="5:6">
      <c r="E495" s="1">
        <v>9780</v>
      </c>
      <c r="F495" s="1">
        <v>3.8226810000000002</v>
      </c>
    </row>
    <row r="496" spans="5:6">
      <c r="E496" s="1">
        <v>9800</v>
      </c>
      <c r="F496" s="1">
        <v>3.8612441999999998</v>
      </c>
    </row>
    <row r="497" spans="5:6">
      <c r="E497" s="1">
        <v>9820</v>
      </c>
      <c r="F497" s="1">
        <v>3.7151019999999999</v>
      </c>
    </row>
    <row r="498" spans="5:6">
      <c r="E498" s="1">
        <v>9840</v>
      </c>
      <c r="F498" s="1">
        <v>3.7611618</v>
      </c>
    </row>
    <row r="499" spans="5:6">
      <c r="E499" s="1">
        <v>9860</v>
      </c>
      <c r="F499" s="1">
        <v>3.7569686999999998</v>
      </c>
    </row>
    <row r="500" spans="5:6">
      <c r="E500" s="1">
        <v>9880</v>
      </c>
      <c r="F500" s="1">
        <v>3.7849414000000001</v>
      </c>
    </row>
    <row r="501" spans="5:6">
      <c r="E501" s="1">
        <v>9900</v>
      </c>
      <c r="F501" s="1">
        <v>3.6873477000000001</v>
      </c>
    </row>
    <row r="502" spans="5:6">
      <c r="E502" s="1">
        <v>9920</v>
      </c>
      <c r="F502" s="1">
        <v>3.6840806000000001</v>
      </c>
    </row>
    <row r="503" spans="5:6">
      <c r="E503" s="1">
        <v>9940</v>
      </c>
      <c r="F503" s="1">
        <v>3.7451838999999998</v>
      </c>
    </row>
    <row r="504" spans="5:6">
      <c r="E504" s="1">
        <v>9960</v>
      </c>
      <c r="F504" s="1">
        <v>3.6539687999999999</v>
      </c>
    </row>
    <row r="505" spans="5:6">
      <c r="E505" s="1">
        <v>9980</v>
      </c>
      <c r="F505" s="1">
        <v>3.6249091999999998</v>
      </c>
    </row>
    <row r="506" spans="5:6">
      <c r="E506" s="1">
        <v>10000</v>
      </c>
      <c r="F506" s="1">
        <v>3.7315353999999998</v>
      </c>
    </row>
    <row r="507" spans="5:6">
      <c r="E507" s="1">
        <v>10020</v>
      </c>
      <c r="F507" s="1">
        <v>3.5738515999999998</v>
      </c>
    </row>
    <row r="508" spans="5:6">
      <c r="E508" s="1">
        <v>10040</v>
      </c>
      <c r="F508" s="1">
        <v>3.6473985</v>
      </c>
    </row>
    <row r="509" spans="5:6">
      <c r="E509" s="1">
        <v>10060</v>
      </c>
      <c r="F509" s="1">
        <v>3.4786560999999998</v>
      </c>
    </row>
    <row r="510" spans="5:6">
      <c r="E510" s="1">
        <v>10080</v>
      </c>
      <c r="F510" s="1">
        <v>3.8120824999999998</v>
      </c>
    </row>
    <row r="511" spans="5:6">
      <c r="E511" s="1">
        <v>10100</v>
      </c>
      <c r="F511" s="1">
        <v>3.6367539999999998</v>
      </c>
    </row>
    <row r="512" spans="5:6">
      <c r="E512" s="1">
        <v>10120</v>
      </c>
      <c r="F512" s="1">
        <v>3.5490832000000001</v>
      </c>
    </row>
    <row r="513" spans="5:6">
      <c r="E513" s="1">
        <v>10140</v>
      </c>
      <c r="F513" s="1">
        <v>3.6660080000000002</v>
      </c>
    </row>
    <row r="514" spans="5:6">
      <c r="E514" s="1">
        <v>10160</v>
      </c>
      <c r="F514" s="1">
        <v>3.6175754000000002</v>
      </c>
    </row>
    <row r="515" spans="5:6">
      <c r="E515" s="1">
        <v>10180</v>
      </c>
      <c r="F515" s="1">
        <v>3.6276011000000001</v>
      </c>
    </row>
    <row r="516" spans="5:6">
      <c r="E516" s="1">
        <v>10200</v>
      </c>
      <c r="F516" s="1">
        <v>3.4597924</v>
      </c>
    </row>
    <row r="517" spans="5:6">
      <c r="E517" s="1">
        <v>10220</v>
      </c>
      <c r="F517" s="1">
        <v>3.5701608999999999</v>
      </c>
    </row>
    <row r="518" spans="5:6">
      <c r="E518" s="1">
        <v>10240</v>
      </c>
      <c r="F518" s="1">
        <v>3.5918016000000001</v>
      </c>
    </row>
    <row r="519" spans="5:6">
      <c r="E519" s="1">
        <v>10260</v>
      </c>
      <c r="F519" s="1">
        <v>3.4923112000000001</v>
      </c>
    </row>
    <row r="520" spans="5:6">
      <c r="E520" s="1">
        <v>10280</v>
      </c>
      <c r="F520" s="1">
        <v>3.6282165000000002</v>
      </c>
    </row>
    <row r="521" spans="5:6">
      <c r="E521" s="1">
        <v>10300</v>
      </c>
      <c r="F521" s="1">
        <v>3.5445384999999998</v>
      </c>
    </row>
    <row r="522" spans="5:6">
      <c r="E522" s="1">
        <v>10320</v>
      </c>
      <c r="F522" s="1">
        <v>3.7024338000000001</v>
      </c>
    </row>
    <row r="523" spans="5:6">
      <c r="E523" s="1">
        <v>10340</v>
      </c>
      <c r="F523" s="1">
        <v>3.6531851</v>
      </c>
    </row>
    <row r="524" spans="5:6">
      <c r="E524" s="1">
        <v>10360</v>
      </c>
      <c r="F524" s="1">
        <v>3.5161641000000001</v>
      </c>
    </row>
    <row r="525" spans="5:6">
      <c r="E525" s="1">
        <v>10380</v>
      </c>
      <c r="F525" s="1">
        <v>3.6134064000000001</v>
      </c>
    </row>
    <row r="526" spans="5:6">
      <c r="E526" s="1">
        <v>10400</v>
      </c>
      <c r="F526" s="1">
        <v>3.5722345999999998</v>
      </c>
    </row>
    <row r="527" spans="5:6">
      <c r="E527" s="1">
        <v>10420</v>
      </c>
      <c r="F527" s="1">
        <v>3.6542134000000002</v>
      </c>
    </row>
    <row r="528" spans="5:6">
      <c r="E528" s="1">
        <v>10440</v>
      </c>
      <c r="F528" s="1">
        <v>3.5691209000000002</v>
      </c>
    </row>
    <row r="529" spans="5:6">
      <c r="E529" s="1">
        <v>10460</v>
      </c>
      <c r="F529" s="1">
        <v>3.6118960000000002</v>
      </c>
    </row>
    <row r="530" spans="5:6">
      <c r="E530" s="1">
        <v>10480</v>
      </c>
      <c r="F530" s="1">
        <v>3.5317926000000002</v>
      </c>
    </row>
    <row r="531" spans="5:6">
      <c r="E531" s="1">
        <v>10500</v>
      </c>
      <c r="F531" s="1">
        <v>3.5450449000000002</v>
      </c>
    </row>
    <row r="532" spans="5:6">
      <c r="E532" s="1">
        <v>10520</v>
      </c>
      <c r="F532" s="1">
        <v>3.5843232</v>
      </c>
    </row>
    <row r="533" spans="5:6">
      <c r="E533" s="1">
        <v>10540</v>
      </c>
      <c r="F533" s="1">
        <v>3.4591835</v>
      </c>
    </row>
    <row r="534" spans="5:6">
      <c r="E534" s="1">
        <v>10560</v>
      </c>
      <c r="F534" s="1">
        <v>3.5158874999999998</v>
      </c>
    </row>
    <row r="535" spans="5:6">
      <c r="E535" s="1">
        <v>10580</v>
      </c>
      <c r="F535" s="1">
        <v>3.4868290000000002</v>
      </c>
    </row>
    <row r="536" spans="5:6">
      <c r="E536" s="1">
        <v>10600</v>
      </c>
      <c r="F536" s="1">
        <v>3.4865545999999998</v>
      </c>
    </row>
    <row r="537" spans="5:6">
      <c r="E537" s="1">
        <v>10620</v>
      </c>
      <c r="F537" s="1">
        <v>3.5634644</v>
      </c>
    </row>
    <row r="538" spans="5:6">
      <c r="E538" s="1">
        <v>10640</v>
      </c>
      <c r="F538" s="1">
        <v>3.4122946000000001</v>
      </c>
    </row>
    <row r="539" spans="5:6">
      <c r="E539" s="1">
        <v>10660</v>
      </c>
      <c r="F539" s="1">
        <v>3.4725857000000002</v>
      </c>
    </row>
    <row r="540" spans="5:6">
      <c r="E540" s="1">
        <v>10680</v>
      </c>
      <c r="F540" s="1">
        <v>3.5878052999999999</v>
      </c>
    </row>
    <row r="541" spans="5:6">
      <c r="E541" s="1">
        <v>10700</v>
      </c>
      <c r="F541" s="1">
        <v>3.4907463000000001</v>
      </c>
    </row>
    <row r="542" spans="5:6">
      <c r="E542" s="1">
        <v>10720</v>
      </c>
      <c r="F542" s="1">
        <v>3.6557922</v>
      </c>
    </row>
    <row r="543" spans="5:6">
      <c r="E543" s="1">
        <v>10740</v>
      </c>
      <c r="F543" s="1">
        <v>3.7512834000000002</v>
      </c>
    </row>
    <row r="544" spans="5:6">
      <c r="E544" s="1">
        <v>10760</v>
      </c>
      <c r="F544" s="1">
        <v>3.6358826</v>
      </c>
    </row>
    <row r="545" spans="5:6">
      <c r="E545" s="1">
        <v>10780</v>
      </c>
      <c r="F545" s="1">
        <v>3.6001805999999998</v>
      </c>
    </row>
    <row r="546" spans="5:6">
      <c r="E546" s="1">
        <v>10800</v>
      </c>
      <c r="F546" s="1">
        <v>3.5856366</v>
      </c>
    </row>
    <row r="547" spans="5:6">
      <c r="E547" s="1">
        <v>10820</v>
      </c>
      <c r="F547" s="1">
        <v>3.610471</v>
      </c>
    </row>
    <row r="548" spans="5:6">
      <c r="E548" s="1">
        <v>10840</v>
      </c>
      <c r="F548" s="1">
        <v>3.4755118</v>
      </c>
    </row>
    <row r="549" spans="5:6">
      <c r="E549" s="1">
        <v>10860</v>
      </c>
      <c r="F549" s="1">
        <v>3.3955166000000001</v>
      </c>
    </row>
    <row r="550" spans="5:6">
      <c r="E550" s="1">
        <v>10880</v>
      </c>
      <c r="F550" s="1">
        <v>3.5243392</v>
      </c>
    </row>
    <row r="551" spans="5:6">
      <c r="E551" s="1">
        <v>10900</v>
      </c>
      <c r="F551" s="1">
        <v>3.5016341</v>
      </c>
    </row>
    <row r="552" spans="5:6">
      <c r="E552" s="1">
        <v>10920</v>
      </c>
      <c r="F552" s="1">
        <v>3.3595006000000001</v>
      </c>
    </row>
    <row r="553" spans="5:6">
      <c r="E553" s="1">
        <v>10940</v>
      </c>
      <c r="F553" s="1">
        <v>3.4689245</v>
      </c>
    </row>
    <row r="554" spans="5:6">
      <c r="E554" s="1">
        <v>10960</v>
      </c>
      <c r="F554" s="1">
        <v>3.5138457000000001</v>
      </c>
    </row>
    <row r="555" spans="5:6">
      <c r="E555" s="1">
        <v>10980</v>
      </c>
      <c r="F555" s="1">
        <v>3.6272593</v>
      </c>
    </row>
    <row r="556" spans="5:6">
      <c r="E556" s="1">
        <v>11000</v>
      </c>
      <c r="F556" s="1">
        <v>3.6355884000000001</v>
      </c>
    </row>
    <row r="557" spans="5:6">
      <c r="E557" s="1">
        <v>11020</v>
      </c>
      <c r="F557" s="1">
        <v>3.5866956999999999</v>
      </c>
    </row>
    <row r="558" spans="5:6">
      <c r="E558" s="1">
        <v>11040</v>
      </c>
      <c r="F558" s="1">
        <v>3.5674009</v>
      </c>
    </row>
    <row r="559" spans="5:6">
      <c r="E559" s="1">
        <v>11060</v>
      </c>
      <c r="F559" s="1">
        <v>3.5554247000000001</v>
      </c>
    </row>
    <row r="560" spans="5:6">
      <c r="E560" s="1">
        <v>11080</v>
      </c>
      <c r="F560" s="1">
        <v>3.6895280000000001</v>
      </c>
    </row>
    <row r="561" spans="5:6">
      <c r="E561" s="1">
        <v>11100</v>
      </c>
      <c r="F561" s="1">
        <v>3.6100173</v>
      </c>
    </row>
    <row r="562" spans="5:6">
      <c r="E562" s="1">
        <v>11120</v>
      </c>
      <c r="F562" s="1">
        <v>3.4372294000000001</v>
      </c>
    </row>
    <row r="563" spans="5:6">
      <c r="E563" s="1">
        <v>11140</v>
      </c>
      <c r="F563" s="1">
        <v>3.5186841000000002</v>
      </c>
    </row>
    <row r="564" spans="5:6">
      <c r="E564" s="1">
        <v>11160</v>
      </c>
      <c r="F564" s="1">
        <v>3.687649</v>
      </c>
    </row>
    <row r="565" spans="5:6">
      <c r="E565" s="1">
        <v>11180</v>
      </c>
      <c r="F565" s="1">
        <v>3.7291542999999998</v>
      </c>
    </row>
    <row r="566" spans="5:6">
      <c r="E566" s="1">
        <v>11200</v>
      </c>
      <c r="F566" s="1">
        <v>3.5268519</v>
      </c>
    </row>
    <row r="567" spans="5:6">
      <c r="E567" s="1">
        <v>11220</v>
      </c>
      <c r="F567" s="1">
        <v>3.7957673000000001</v>
      </c>
    </row>
    <row r="568" spans="5:6">
      <c r="E568" s="1">
        <v>11240</v>
      </c>
      <c r="F568" s="1">
        <v>3.9131768</v>
      </c>
    </row>
    <row r="569" spans="5:6">
      <c r="E569" s="1">
        <v>11260</v>
      </c>
      <c r="F569" s="1">
        <v>3.7245509999999999</v>
      </c>
    </row>
    <row r="570" spans="5:6">
      <c r="E570" s="1">
        <v>11280</v>
      </c>
      <c r="F570" s="1">
        <v>3.5902128000000002</v>
      </c>
    </row>
    <row r="571" spans="5:6">
      <c r="E571" s="1">
        <v>11300</v>
      </c>
      <c r="F571" s="1">
        <v>3.6543280999999999</v>
      </c>
    </row>
    <row r="572" spans="5:6">
      <c r="E572" s="1">
        <v>11320</v>
      </c>
      <c r="F572" s="1">
        <v>3.7746143000000001</v>
      </c>
    </row>
    <row r="573" spans="5:6">
      <c r="E573" s="1">
        <v>11340</v>
      </c>
      <c r="F573" s="1">
        <v>3.7045111999999998</v>
      </c>
    </row>
    <row r="574" spans="5:6">
      <c r="E574" s="1">
        <v>11360</v>
      </c>
      <c r="F574" s="1">
        <v>3.9042515999999998</v>
      </c>
    </row>
    <row r="575" spans="5:6">
      <c r="E575" s="1">
        <v>11380</v>
      </c>
      <c r="F575" s="1">
        <v>3.6484065000000001</v>
      </c>
    </row>
    <row r="576" spans="5:6">
      <c r="E576" s="1">
        <v>11400</v>
      </c>
      <c r="F576" s="1">
        <v>3.7202156</v>
      </c>
    </row>
    <row r="577" spans="5:6">
      <c r="E577" s="1">
        <v>11420</v>
      </c>
      <c r="F577" s="1">
        <v>3.4386057999999999</v>
      </c>
    </row>
    <row r="578" spans="5:6">
      <c r="E578" s="1">
        <v>11440</v>
      </c>
      <c r="F578" s="1">
        <v>3.5314014</v>
      </c>
    </row>
    <row r="579" spans="5:6">
      <c r="E579" s="1">
        <v>11460</v>
      </c>
      <c r="F579" s="1">
        <v>3.3861232000000001</v>
      </c>
    </row>
    <row r="580" spans="5:6">
      <c r="E580" s="1">
        <v>11480</v>
      </c>
      <c r="F580" s="1">
        <v>3.5283451000000001</v>
      </c>
    </row>
    <row r="581" spans="5:6">
      <c r="E581" s="1">
        <v>11500</v>
      </c>
      <c r="F581" s="1">
        <v>3.6176691000000001</v>
      </c>
    </row>
    <row r="582" spans="5:6">
      <c r="E582" s="1">
        <v>11520</v>
      </c>
      <c r="F582" s="1">
        <v>3.6595895000000001</v>
      </c>
    </row>
    <row r="583" spans="5:6">
      <c r="E583" s="1">
        <v>11540</v>
      </c>
      <c r="F583" s="1">
        <v>3.5672138000000002</v>
      </c>
    </row>
    <row r="584" spans="5:6">
      <c r="E584" s="1">
        <v>11560</v>
      </c>
      <c r="F584" s="1">
        <v>3.7397010000000002</v>
      </c>
    </row>
    <row r="585" spans="5:6">
      <c r="E585" s="1">
        <v>11580</v>
      </c>
      <c r="F585" s="1">
        <v>3.6080863000000001</v>
      </c>
    </row>
    <row r="586" spans="5:6">
      <c r="E586" s="1">
        <v>11600</v>
      </c>
      <c r="F586" s="1">
        <v>3.5556724000000002</v>
      </c>
    </row>
    <row r="587" spans="5:6">
      <c r="E587" s="1">
        <v>11620</v>
      </c>
      <c r="F587" s="1">
        <v>3.8633122000000002</v>
      </c>
    </row>
    <row r="588" spans="5:6">
      <c r="E588" s="1">
        <v>11640</v>
      </c>
      <c r="F588" s="1">
        <v>3.6982658000000002</v>
      </c>
    </row>
    <row r="589" spans="5:6">
      <c r="E589" s="1">
        <v>11660</v>
      </c>
      <c r="F589" s="1">
        <v>3.6762469000000002</v>
      </c>
    </row>
    <row r="590" spans="5:6">
      <c r="E590" s="1">
        <v>11680</v>
      </c>
      <c r="F590" s="1">
        <v>3.6060924999999999</v>
      </c>
    </row>
    <row r="591" spans="5:6">
      <c r="E591" s="1">
        <v>11700</v>
      </c>
      <c r="F591" s="1">
        <v>3.5942321000000002</v>
      </c>
    </row>
    <row r="592" spans="5:6">
      <c r="E592" s="1">
        <v>11720</v>
      </c>
      <c r="F592" s="1">
        <v>3.4773204</v>
      </c>
    </row>
    <row r="593" spans="5:6">
      <c r="E593" s="1">
        <v>11740</v>
      </c>
      <c r="F593" s="1">
        <v>3.5787833</v>
      </c>
    </row>
    <row r="594" spans="5:6">
      <c r="E594" s="1">
        <v>11760</v>
      </c>
      <c r="F594" s="1">
        <v>3.3553058999999998</v>
      </c>
    </row>
    <row r="595" spans="5:6">
      <c r="E595" s="1">
        <v>11780</v>
      </c>
      <c r="F595" s="1">
        <v>3.5777321</v>
      </c>
    </row>
    <row r="596" spans="5:6">
      <c r="E596" s="1">
        <v>11800</v>
      </c>
      <c r="F596" s="1">
        <v>3.5305490000000002</v>
      </c>
    </row>
    <row r="597" spans="5:6">
      <c r="E597" s="1">
        <v>11820</v>
      </c>
      <c r="F597" s="1">
        <v>3.3868225000000001</v>
      </c>
    </row>
    <row r="598" spans="5:6">
      <c r="E598" s="1">
        <v>11840</v>
      </c>
      <c r="F598" s="1">
        <v>3.4622733999999999</v>
      </c>
    </row>
    <row r="599" spans="5:6">
      <c r="E599" s="1">
        <v>11860</v>
      </c>
      <c r="F599" s="1">
        <v>3.3864021000000002</v>
      </c>
    </row>
    <row r="600" spans="5:6">
      <c r="E600" s="1">
        <v>11880</v>
      </c>
      <c r="F600" s="1">
        <v>3.4210769999999999</v>
      </c>
    </row>
    <row r="601" spans="5:6">
      <c r="E601" s="1">
        <v>11900</v>
      </c>
      <c r="F601" s="1">
        <v>3.4214927999999998</v>
      </c>
    </row>
    <row r="602" spans="5:6">
      <c r="E602" s="1">
        <v>11920</v>
      </c>
      <c r="F602" s="1">
        <v>3.5509973000000001</v>
      </c>
    </row>
    <row r="603" spans="5:6">
      <c r="E603" s="1">
        <v>11940</v>
      </c>
      <c r="F603" s="1">
        <v>3.4533496000000001</v>
      </c>
    </row>
    <row r="604" spans="5:6">
      <c r="E604" s="1">
        <v>11960</v>
      </c>
      <c r="F604" s="1">
        <v>3.4308464999999999</v>
      </c>
    </row>
    <row r="605" spans="5:6">
      <c r="E605" s="1">
        <v>11980</v>
      </c>
      <c r="F605" s="1">
        <v>3.4190687999999998</v>
      </c>
    </row>
    <row r="606" spans="5:6">
      <c r="E606" s="1">
        <v>12000</v>
      </c>
      <c r="F606" s="1">
        <v>3.4150577000000002</v>
      </c>
    </row>
    <row r="607" spans="5:6">
      <c r="E607" s="1">
        <v>12020</v>
      </c>
      <c r="F607" s="1">
        <v>3.3587174000000002</v>
      </c>
    </row>
    <row r="608" spans="5:6">
      <c r="E608" s="1">
        <v>12040</v>
      </c>
      <c r="F608" s="1">
        <v>3.4303935000000001</v>
      </c>
    </row>
    <row r="609" spans="5:6">
      <c r="E609" s="1">
        <v>12060</v>
      </c>
      <c r="F609" s="1">
        <v>3.4377</v>
      </c>
    </row>
    <row r="610" spans="5:6">
      <c r="E610" s="1">
        <v>12080</v>
      </c>
      <c r="F610" s="1">
        <v>3.4920608999999998</v>
      </c>
    </row>
    <row r="611" spans="5:6">
      <c r="E611" s="1">
        <v>12100</v>
      </c>
      <c r="F611" s="1">
        <v>3.3974329999999999</v>
      </c>
    </row>
    <row r="612" spans="5:6">
      <c r="E612" s="1">
        <v>12120</v>
      </c>
      <c r="F612" s="1">
        <v>3.5118744</v>
      </c>
    </row>
    <row r="613" spans="5:6">
      <c r="E613" s="1">
        <v>12140</v>
      </c>
      <c r="F613" s="1">
        <v>3.6019334999999999</v>
      </c>
    </row>
    <row r="614" spans="5:6">
      <c r="E614" s="1">
        <v>12160</v>
      </c>
      <c r="F614" s="1">
        <v>3.6030723999999998</v>
      </c>
    </row>
    <row r="615" spans="5:6">
      <c r="E615" s="1">
        <v>12180</v>
      </c>
      <c r="F615" s="1">
        <v>3.4298169999999999</v>
      </c>
    </row>
    <row r="616" spans="5:6">
      <c r="E616" s="1">
        <v>12200</v>
      </c>
      <c r="F616" s="1">
        <v>3.4419881999999999</v>
      </c>
    </row>
    <row r="617" spans="5:6">
      <c r="E617" s="1">
        <v>12220</v>
      </c>
      <c r="F617" s="1">
        <v>3.2987177000000001</v>
      </c>
    </row>
    <row r="618" spans="5:6">
      <c r="E618" s="1">
        <v>12240</v>
      </c>
      <c r="F618" s="1">
        <v>3.1835922999999999</v>
      </c>
    </row>
    <row r="619" spans="5:6">
      <c r="E619" s="1">
        <v>12260</v>
      </c>
      <c r="F619" s="1">
        <v>3.285085</v>
      </c>
    </row>
    <row r="620" spans="5:6">
      <c r="E620" s="1">
        <v>12280</v>
      </c>
      <c r="F620" s="1">
        <v>3.2476647000000001</v>
      </c>
    </row>
    <row r="621" spans="5:6">
      <c r="E621" s="1">
        <v>12300</v>
      </c>
      <c r="F621" s="1">
        <v>3.6570456</v>
      </c>
    </row>
    <row r="622" spans="5:6">
      <c r="E622" s="1">
        <v>12320</v>
      </c>
      <c r="F622" s="1">
        <v>3.2128581999999999</v>
      </c>
    </row>
    <row r="623" spans="5:6">
      <c r="E623" s="1">
        <v>12340</v>
      </c>
      <c r="F623" s="1">
        <v>3.206712</v>
      </c>
    </row>
    <row r="624" spans="5:6">
      <c r="E624" s="1">
        <v>12360</v>
      </c>
      <c r="F624" s="1">
        <v>3.5093181000000002</v>
      </c>
    </row>
    <row r="625" spans="5:6">
      <c r="E625" s="1">
        <v>12380</v>
      </c>
      <c r="F625" s="1">
        <v>3.1621296000000001</v>
      </c>
    </row>
    <row r="626" spans="5:6">
      <c r="E626" s="1">
        <v>12400</v>
      </c>
      <c r="F626" s="1">
        <v>3.120393</v>
      </c>
    </row>
    <row r="627" spans="5:6">
      <c r="E627" s="1">
        <v>12420</v>
      </c>
      <c r="F627" s="1">
        <v>3.3351932</v>
      </c>
    </row>
    <row r="628" spans="5:6">
      <c r="E628" s="1">
        <v>12440</v>
      </c>
      <c r="F628" s="1">
        <v>2.9822172999999998</v>
      </c>
    </row>
    <row r="629" spans="5:6">
      <c r="E629" s="1">
        <v>12460</v>
      </c>
      <c r="F629" s="1">
        <v>3.1137657000000001</v>
      </c>
    </row>
    <row r="630" spans="5:6">
      <c r="E630" s="1">
        <v>12480</v>
      </c>
      <c r="F630" s="1">
        <v>3.3063864999999999</v>
      </c>
    </row>
    <row r="631" spans="5:6">
      <c r="E631" s="1">
        <v>12500</v>
      </c>
      <c r="F631" s="1">
        <v>3.1029007000000002</v>
      </c>
    </row>
    <row r="632" spans="5:6">
      <c r="E632" s="1">
        <v>12520</v>
      </c>
      <c r="F632" s="1">
        <v>3.2842878999999998</v>
      </c>
    </row>
    <row r="633" spans="5:6">
      <c r="E633" s="1">
        <v>12540</v>
      </c>
      <c r="F633" s="1">
        <v>3.3314203999999998</v>
      </c>
    </row>
    <row r="634" spans="5:6">
      <c r="E634" s="1">
        <v>12560</v>
      </c>
      <c r="F634" s="1">
        <v>3.1143358000000001</v>
      </c>
    </row>
    <row r="635" spans="5:6">
      <c r="E635" s="1">
        <v>12580</v>
      </c>
      <c r="F635" s="1">
        <v>3.2415683</v>
      </c>
    </row>
    <row r="636" spans="5:6">
      <c r="E636" s="1">
        <v>12600</v>
      </c>
      <c r="F636" s="1">
        <v>3.0316730000000001</v>
      </c>
    </row>
    <row r="637" spans="5:6">
      <c r="E637" s="1">
        <v>12620</v>
      </c>
      <c r="F637" s="1">
        <v>3.1175581999999999</v>
      </c>
    </row>
    <row r="638" spans="5:6">
      <c r="E638" s="1">
        <v>12640</v>
      </c>
      <c r="F638" s="1">
        <v>3.3694264999999999</v>
      </c>
    </row>
    <row r="639" spans="5:6">
      <c r="E639" s="1">
        <v>12660</v>
      </c>
      <c r="F639" s="1">
        <v>3.2689791000000001</v>
      </c>
    </row>
    <row r="640" spans="5:6">
      <c r="E640" s="1">
        <v>12680</v>
      </c>
      <c r="F640" s="1">
        <v>3.2216415</v>
      </c>
    </row>
    <row r="641" spans="5:6">
      <c r="E641" s="1">
        <v>12700</v>
      </c>
      <c r="F641" s="1">
        <v>3.3687681999999999</v>
      </c>
    </row>
    <row r="642" spans="5:6">
      <c r="E642" s="1">
        <v>12720</v>
      </c>
      <c r="F642" s="1">
        <v>3.3622185999999998</v>
      </c>
    </row>
    <row r="643" spans="5:6">
      <c r="E643" s="1">
        <v>12740</v>
      </c>
      <c r="F643" s="1">
        <v>3.1342766000000002</v>
      </c>
    </row>
    <row r="644" spans="5:6">
      <c r="E644" s="1">
        <v>12760</v>
      </c>
      <c r="F644" s="1">
        <v>3.2585782999999999</v>
      </c>
    </row>
    <row r="645" spans="5:6">
      <c r="E645" s="1">
        <v>12780</v>
      </c>
      <c r="F645" s="1">
        <v>3.3518127999999998</v>
      </c>
    </row>
    <row r="646" spans="5:6">
      <c r="E646" s="1">
        <v>12800</v>
      </c>
      <c r="F646" s="1">
        <v>3.2867967999999999</v>
      </c>
    </row>
    <row r="647" spans="5:6">
      <c r="E647" s="1">
        <v>12820</v>
      </c>
      <c r="F647" s="1">
        <v>3.1791708000000001</v>
      </c>
    </row>
    <row r="648" spans="5:6">
      <c r="E648" s="1">
        <v>12840</v>
      </c>
      <c r="F648" s="1">
        <v>2.9877250000000002</v>
      </c>
    </row>
    <row r="649" spans="5:6">
      <c r="E649" s="1">
        <v>12860</v>
      </c>
      <c r="F649" s="1">
        <v>3.2313055999999998</v>
      </c>
    </row>
    <row r="650" spans="5:6">
      <c r="E650" s="1">
        <v>12880</v>
      </c>
      <c r="F650" s="1">
        <v>3.0708139000000001</v>
      </c>
    </row>
    <row r="651" spans="5:6">
      <c r="E651" s="1">
        <v>12900</v>
      </c>
      <c r="F651" s="1">
        <v>3.1331921</v>
      </c>
    </row>
    <row r="652" spans="5:6">
      <c r="E652" s="1">
        <v>12920</v>
      </c>
      <c r="F652" s="1">
        <v>3.1401091000000001</v>
      </c>
    </row>
    <row r="653" spans="5:6">
      <c r="E653" s="1">
        <v>12940</v>
      </c>
      <c r="F653" s="1">
        <v>3.1681930999999999</v>
      </c>
    </row>
    <row r="654" spans="5:6">
      <c r="E654" s="1">
        <v>12960</v>
      </c>
      <c r="F654" s="1">
        <v>3.1259986999999998</v>
      </c>
    </row>
    <row r="655" spans="5:6">
      <c r="E655" s="1">
        <v>12980</v>
      </c>
      <c r="F655" s="1">
        <v>3.0495717999999998</v>
      </c>
    </row>
    <row r="656" spans="5:6">
      <c r="E656" s="1">
        <v>13000</v>
      </c>
      <c r="F656" s="1">
        <v>3.0907664000000001</v>
      </c>
    </row>
    <row r="657" spans="5:6">
      <c r="E657" s="1">
        <v>13020</v>
      </c>
      <c r="F657" s="1">
        <v>3.0495445999999999</v>
      </c>
    </row>
    <row r="658" spans="5:6">
      <c r="E658" s="1">
        <v>13040</v>
      </c>
      <c r="F658" s="1">
        <v>3.2320259</v>
      </c>
    </row>
    <row r="659" spans="5:6">
      <c r="E659" s="1">
        <v>13060</v>
      </c>
      <c r="F659" s="1">
        <v>3.2757101</v>
      </c>
    </row>
    <row r="660" spans="5:6">
      <c r="E660" s="1">
        <v>13080</v>
      </c>
      <c r="F660" s="1">
        <v>3.1910078999999998</v>
      </c>
    </row>
    <row r="661" spans="5:6">
      <c r="E661" s="1">
        <v>13100</v>
      </c>
      <c r="F661" s="1">
        <v>3.1262051999999998</v>
      </c>
    </row>
    <row r="662" spans="5:6">
      <c r="E662" s="1">
        <v>13120</v>
      </c>
      <c r="F662" s="1">
        <v>3.1531448000000002</v>
      </c>
    </row>
    <row r="663" spans="5:6">
      <c r="E663" s="1">
        <v>13140</v>
      </c>
      <c r="F663" s="1">
        <v>3.0355327000000001</v>
      </c>
    </row>
    <row r="664" spans="5:6">
      <c r="E664" s="1">
        <v>13160</v>
      </c>
      <c r="F664" s="1">
        <v>3.1280770000000002</v>
      </c>
    </row>
    <row r="665" spans="5:6">
      <c r="E665" s="1">
        <v>13180</v>
      </c>
      <c r="F665" s="1">
        <v>3.0821331000000001</v>
      </c>
    </row>
    <row r="666" spans="5:6">
      <c r="E666" s="1">
        <v>13200</v>
      </c>
      <c r="F666" s="1">
        <v>3.1950574</v>
      </c>
    </row>
    <row r="667" spans="5:6">
      <c r="E667" s="1">
        <v>13220</v>
      </c>
      <c r="F667" s="1">
        <v>3.1292365000000002</v>
      </c>
    </row>
    <row r="668" spans="5:6">
      <c r="E668" s="1">
        <v>13240</v>
      </c>
      <c r="F668" s="1">
        <v>3.0872606999999999</v>
      </c>
    </row>
    <row r="669" spans="5:6">
      <c r="E669" s="1">
        <v>13260</v>
      </c>
      <c r="F669" s="1">
        <v>3.3120997000000001</v>
      </c>
    </row>
    <row r="670" spans="5:6">
      <c r="E670" s="1">
        <v>13280</v>
      </c>
      <c r="F670" s="1">
        <v>3.1588916999999999</v>
      </c>
    </row>
    <row r="671" spans="5:6">
      <c r="E671" s="1">
        <v>13300</v>
      </c>
      <c r="F671" s="1">
        <v>3.1453568999999999</v>
      </c>
    </row>
    <row r="672" spans="5:6">
      <c r="E672" s="1">
        <v>13320</v>
      </c>
      <c r="F672" s="1">
        <v>3.1224167</v>
      </c>
    </row>
    <row r="673" spans="5:6">
      <c r="E673" s="1">
        <v>13340</v>
      </c>
      <c r="F673" s="1">
        <v>3.2330066999999998</v>
      </c>
    </row>
    <row r="674" spans="5:6">
      <c r="E674" s="1">
        <v>13360</v>
      </c>
      <c r="F674" s="1">
        <v>3.2281860999999998</v>
      </c>
    </row>
    <row r="675" spans="5:6">
      <c r="E675" s="1">
        <v>13380</v>
      </c>
      <c r="F675" s="1">
        <v>3.2764636999999999</v>
      </c>
    </row>
    <row r="676" spans="5:6">
      <c r="E676" s="1">
        <v>13400</v>
      </c>
      <c r="F676" s="1">
        <v>3.2416315</v>
      </c>
    </row>
    <row r="677" spans="5:6">
      <c r="E677" s="1">
        <v>13420</v>
      </c>
      <c r="F677" s="1">
        <v>3.2585475000000002</v>
      </c>
    </row>
    <row r="678" spans="5:6">
      <c r="E678" s="1">
        <v>13440</v>
      </c>
      <c r="F678" s="1">
        <v>3.2776879999999999</v>
      </c>
    </row>
    <row r="679" spans="5:6">
      <c r="E679" s="1">
        <v>13460</v>
      </c>
      <c r="F679" s="1">
        <v>3.4088984</v>
      </c>
    </row>
    <row r="680" spans="5:6">
      <c r="E680" s="1">
        <v>13480</v>
      </c>
      <c r="F680" s="1">
        <v>3.3856679999999999</v>
      </c>
    </row>
    <row r="681" spans="5:6">
      <c r="E681" s="1">
        <v>13500</v>
      </c>
      <c r="F681" s="1">
        <v>3.4868494999999999</v>
      </c>
    </row>
    <row r="682" spans="5:6">
      <c r="E682" s="1">
        <v>13520</v>
      </c>
      <c r="F682" s="1">
        <v>3.3078074000000002</v>
      </c>
    </row>
    <row r="683" spans="5:6">
      <c r="E683" s="1">
        <v>13540</v>
      </c>
      <c r="F683" s="1">
        <v>3.4065949999999998</v>
      </c>
    </row>
    <row r="684" spans="5:6">
      <c r="E684" s="1">
        <v>13560</v>
      </c>
      <c r="F684" s="1">
        <v>3.4867157999999998</v>
      </c>
    </row>
    <row r="685" spans="5:6">
      <c r="E685" s="1">
        <v>13580</v>
      </c>
      <c r="F685" s="1">
        <v>3.5194752</v>
      </c>
    </row>
    <row r="686" spans="5:6">
      <c r="E686" s="1">
        <v>13600</v>
      </c>
      <c r="F686" s="1">
        <v>3.6330705000000001</v>
      </c>
    </row>
    <row r="687" spans="5:6">
      <c r="E687" s="1">
        <v>13620</v>
      </c>
      <c r="F687" s="1">
        <v>3.4535475</v>
      </c>
    </row>
    <row r="688" spans="5:6">
      <c r="E688" s="1">
        <v>13640</v>
      </c>
      <c r="F688" s="1">
        <v>3.6087503000000001</v>
      </c>
    </row>
    <row r="689" spans="5:6">
      <c r="E689" s="1">
        <v>13660</v>
      </c>
      <c r="F689" s="1">
        <v>3.6710107000000001</v>
      </c>
    </row>
    <row r="690" spans="5:6">
      <c r="E690" s="1">
        <v>13680</v>
      </c>
      <c r="F690" s="1">
        <v>3.4957444999999998</v>
      </c>
    </row>
    <row r="691" spans="5:6">
      <c r="E691" s="1">
        <v>13700</v>
      </c>
      <c r="F691" s="1">
        <v>3.5993099000000002</v>
      </c>
    </row>
    <row r="692" spans="5:6">
      <c r="E692" s="1">
        <v>13720</v>
      </c>
      <c r="F692" s="1">
        <v>3.4252565000000001</v>
      </c>
    </row>
    <row r="693" spans="5:6">
      <c r="E693" s="1">
        <v>13740</v>
      </c>
      <c r="F693" s="1">
        <v>3.2967894000000002</v>
      </c>
    </row>
    <row r="694" spans="5:6">
      <c r="E694" s="1">
        <v>13760</v>
      </c>
      <c r="F694" s="1">
        <v>3.2879741</v>
      </c>
    </row>
    <row r="695" spans="5:6">
      <c r="E695" s="1">
        <v>13780</v>
      </c>
      <c r="F695" s="1">
        <v>3.6059524999999999</v>
      </c>
    </row>
    <row r="696" spans="5:6">
      <c r="E696" s="1">
        <v>13800</v>
      </c>
      <c r="F696" s="1">
        <v>3.3609941000000001</v>
      </c>
    </row>
    <row r="697" spans="5:6">
      <c r="E697" s="1">
        <v>13820</v>
      </c>
      <c r="F697" s="1">
        <v>3.4264038000000001</v>
      </c>
    </row>
    <row r="698" spans="5:6">
      <c r="E698" s="1">
        <v>13840</v>
      </c>
      <c r="F698" s="1">
        <v>3.5878420000000002</v>
      </c>
    </row>
    <row r="699" spans="5:6">
      <c r="E699" s="1">
        <v>13860</v>
      </c>
      <c r="F699" s="1">
        <v>3.6152685</v>
      </c>
    </row>
    <row r="700" spans="5:6">
      <c r="E700" s="1">
        <v>13880</v>
      </c>
      <c r="F700" s="1">
        <v>3.5894832999999999</v>
      </c>
    </row>
    <row r="701" spans="5:6">
      <c r="E701" s="1">
        <v>13900</v>
      </c>
      <c r="F701" s="1">
        <v>3.5884013000000001</v>
      </c>
    </row>
    <row r="702" spans="5:6">
      <c r="E702" s="1">
        <v>13920</v>
      </c>
      <c r="F702" s="1">
        <v>3.5581398000000002</v>
      </c>
    </row>
    <row r="703" spans="5:6">
      <c r="E703" s="1">
        <v>13940</v>
      </c>
      <c r="F703" s="1">
        <v>3.5336902000000001</v>
      </c>
    </row>
    <row r="704" spans="5:6">
      <c r="E704" s="1">
        <v>13960</v>
      </c>
      <c r="F704" s="1">
        <v>3.4551685000000001</v>
      </c>
    </row>
    <row r="705" spans="5:6">
      <c r="E705" s="1">
        <v>13980</v>
      </c>
      <c r="F705" s="1">
        <v>3.5535630999999999</v>
      </c>
    </row>
    <row r="706" spans="5:6">
      <c r="E706" s="1">
        <v>14000</v>
      </c>
      <c r="F706" s="1">
        <v>3.6750783999999999</v>
      </c>
    </row>
    <row r="707" spans="5:6">
      <c r="E707" s="1">
        <v>14020</v>
      </c>
      <c r="F707" s="1">
        <v>3.5897017</v>
      </c>
    </row>
    <row r="708" spans="5:6">
      <c r="E708" s="1">
        <v>14040</v>
      </c>
      <c r="F708" s="1">
        <v>3.4650327999999999</v>
      </c>
    </row>
    <row r="709" spans="5:6">
      <c r="E709" s="1">
        <v>14060</v>
      </c>
      <c r="F709" s="1">
        <v>3.4665020000000002</v>
      </c>
    </row>
    <row r="710" spans="5:6">
      <c r="E710" s="1">
        <v>14080</v>
      </c>
      <c r="F710" s="1">
        <v>3.3922745999999999</v>
      </c>
    </row>
    <row r="711" spans="5:6">
      <c r="E711" s="1">
        <v>14100</v>
      </c>
      <c r="F711" s="1">
        <v>3.3985934000000002</v>
      </c>
    </row>
    <row r="712" spans="5:6">
      <c r="E712" s="1">
        <v>14120</v>
      </c>
      <c r="F712" s="1">
        <v>3.3531879999999998</v>
      </c>
    </row>
    <row r="713" spans="5:6">
      <c r="E713" s="1">
        <v>14140</v>
      </c>
      <c r="F713" s="1">
        <v>3.4014525</v>
      </c>
    </row>
    <row r="714" spans="5:6">
      <c r="E714" s="1">
        <v>14160</v>
      </c>
      <c r="F714" s="1">
        <v>3.2332160000000001</v>
      </c>
    </row>
    <row r="715" spans="5:6">
      <c r="E715" s="1">
        <v>14180</v>
      </c>
      <c r="F715" s="1">
        <v>3.2111759000000002</v>
      </c>
    </row>
    <row r="716" spans="5:6">
      <c r="E716" s="1">
        <v>14200</v>
      </c>
      <c r="F716" s="1">
        <v>3.3192154999999999</v>
      </c>
    </row>
    <row r="717" spans="5:6">
      <c r="E717" s="1">
        <v>14220</v>
      </c>
      <c r="F717" s="1">
        <v>3.3723040000000002</v>
      </c>
    </row>
    <row r="718" spans="5:6">
      <c r="E718" s="1">
        <v>14240</v>
      </c>
      <c r="F718" s="1">
        <v>3.3930221</v>
      </c>
    </row>
    <row r="719" spans="5:6">
      <c r="E719" s="1">
        <v>14260</v>
      </c>
      <c r="F719" s="1">
        <v>3.2952404</v>
      </c>
    </row>
    <row r="720" spans="5:6">
      <c r="E720" s="1">
        <v>14280</v>
      </c>
      <c r="F720" s="1">
        <v>3.5459882999999999</v>
      </c>
    </row>
    <row r="721" spans="5:6">
      <c r="E721" s="1">
        <v>14300</v>
      </c>
      <c r="F721" s="1">
        <v>3.4073544</v>
      </c>
    </row>
    <row r="722" spans="5:6">
      <c r="E722" s="1">
        <v>14320</v>
      </c>
      <c r="F722" s="1">
        <v>3.4890756999999999</v>
      </c>
    </row>
    <row r="723" spans="5:6">
      <c r="E723" s="1">
        <v>14340</v>
      </c>
      <c r="F723" s="1">
        <v>3.3998895</v>
      </c>
    </row>
    <row r="724" spans="5:6">
      <c r="E724" s="1">
        <v>14360</v>
      </c>
      <c r="F724" s="1">
        <v>3.3793437000000002</v>
      </c>
    </row>
    <row r="725" spans="5:6">
      <c r="E725" s="1">
        <v>14380</v>
      </c>
      <c r="F725" s="1">
        <v>3.3363825999999999</v>
      </c>
    </row>
    <row r="726" spans="5:6">
      <c r="E726" s="1">
        <v>14400</v>
      </c>
      <c r="F726" s="1">
        <v>3.3316262000000001</v>
      </c>
    </row>
    <row r="727" spans="5:6">
      <c r="E727" s="1">
        <v>14420</v>
      </c>
      <c r="F727" s="1">
        <v>3.4017696000000002</v>
      </c>
    </row>
    <row r="728" spans="5:6">
      <c r="E728" s="1">
        <v>14440</v>
      </c>
      <c r="F728" s="1">
        <v>3.3791547</v>
      </c>
    </row>
    <row r="729" spans="5:6">
      <c r="E729" s="1">
        <v>14460</v>
      </c>
      <c r="F729" s="1">
        <v>3.3752599000000001</v>
      </c>
    </row>
    <row r="730" spans="5:6">
      <c r="E730" s="1">
        <v>14480</v>
      </c>
      <c r="F730" s="1">
        <v>3.3792460000000002</v>
      </c>
    </row>
    <row r="731" spans="5:6">
      <c r="E731" s="1">
        <v>14500</v>
      </c>
      <c r="F731" s="1">
        <v>3.4920713999999999</v>
      </c>
    </row>
    <row r="732" spans="5:6">
      <c r="E732" s="1">
        <v>14520</v>
      </c>
      <c r="F732" s="1">
        <v>3.2421414999999998</v>
      </c>
    </row>
    <row r="733" spans="5:6">
      <c r="E733" s="1">
        <v>14540</v>
      </c>
      <c r="F733" s="1">
        <v>3.4029508000000002</v>
      </c>
    </row>
    <row r="734" spans="5:6">
      <c r="E734" s="1">
        <v>14560</v>
      </c>
      <c r="F734" s="1">
        <v>3.4987259000000002</v>
      </c>
    </row>
    <row r="735" spans="5:6">
      <c r="E735" s="1">
        <v>14580</v>
      </c>
      <c r="F735" s="1">
        <v>3.2472593999999999</v>
      </c>
    </row>
    <row r="736" spans="5:6">
      <c r="E736" s="1">
        <v>14600</v>
      </c>
      <c r="F736" s="1">
        <v>3.2999828</v>
      </c>
    </row>
    <row r="737" spans="5:6">
      <c r="E737" s="1">
        <v>14620</v>
      </c>
      <c r="F737" s="1">
        <v>3.3450582</v>
      </c>
    </row>
    <row r="738" spans="5:6">
      <c r="E738" s="1">
        <v>14640</v>
      </c>
      <c r="F738" s="1">
        <v>3.4500277000000001</v>
      </c>
    </row>
    <row r="739" spans="5:6">
      <c r="E739" s="1">
        <v>14660</v>
      </c>
      <c r="F739" s="1">
        <v>3.1348636000000001</v>
      </c>
    </row>
    <row r="740" spans="5:6">
      <c r="E740" s="1">
        <v>14680</v>
      </c>
      <c r="F740" s="1">
        <v>3.1430728000000001</v>
      </c>
    </row>
    <row r="741" spans="5:6">
      <c r="E741" s="1">
        <v>14700</v>
      </c>
      <c r="F741" s="1">
        <v>3.1072508999999999</v>
      </c>
    </row>
    <row r="742" spans="5:6">
      <c r="E742" s="1">
        <v>14720</v>
      </c>
      <c r="F742" s="1">
        <v>3.0702593</v>
      </c>
    </row>
    <row r="743" spans="5:6">
      <c r="E743" s="1">
        <v>14740</v>
      </c>
      <c r="F743" s="1">
        <v>3.0639398</v>
      </c>
    </row>
    <row r="744" spans="5:6">
      <c r="E744" s="1">
        <v>14760</v>
      </c>
      <c r="F744" s="1">
        <v>3.2115002000000001</v>
      </c>
    </row>
    <row r="745" spans="5:6">
      <c r="E745" s="1">
        <v>14780</v>
      </c>
      <c r="F745" s="1">
        <v>3.0839322</v>
      </c>
    </row>
    <row r="746" spans="5:6">
      <c r="E746" s="1">
        <v>14800</v>
      </c>
      <c r="F746" s="1">
        <v>3.1262574000000001</v>
      </c>
    </row>
    <row r="747" spans="5:6">
      <c r="E747" s="1">
        <v>14820</v>
      </c>
      <c r="F747" s="1">
        <v>2.9808916999999999</v>
      </c>
    </row>
    <row r="748" spans="5:6">
      <c r="E748" s="1">
        <v>14840</v>
      </c>
      <c r="F748" s="1">
        <v>3.0965896000000002</v>
      </c>
    </row>
    <row r="749" spans="5:6">
      <c r="E749" s="1">
        <v>14860</v>
      </c>
      <c r="F749" s="1">
        <v>2.8363035000000001</v>
      </c>
    </row>
    <row r="750" spans="5:6">
      <c r="E750" s="1">
        <v>14880</v>
      </c>
      <c r="F750" s="1">
        <v>3.0319275999999999</v>
      </c>
    </row>
    <row r="751" spans="5:6">
      <c r="E751" s="1">
        <v>14900</v>
      </c>
      <c r="F751" s="1">
        <v>2.9144937999999998</v>
      </c>
    </row>
    <row r="752" spans="5:6">
      <c r="E752" s="1">
        <v>14920</v>
      </c>
      <c r="F752" s="1">
        <v>2.9630231999999999</v>
      </c>
    </row>
    <row r="753" spans="5:6">
      <c r="E753" s="1">
        <v>14940</v>
      </c>
      <c r="F753" s="1">
        <v>3.0271637</v>
      </c>
    </row>
    <row r="754" spans="5:6">
      <c r="E754" s="1">
        <v>14960</v>
      </c>
      <c r="F754" s="1">
        <v>3.1521835</v>
      </c>
    </row>
    <row r="755" spans="5:6">
      <c r="E755" s="1">
        <v>14980</v>
      </c>
      <c r="F755" s="1">
        <v>2.9981648999999999</v>
      </c>
    </row>
    <row r="756" spans="5:6">
      <c r="E756" s="1">
        <v>15000</v>
      </c>
      <c r="F756" s="1">
        <v>3.1863475000000001</v>
      </c>
    </row>
    <row r="757" spans="5:6">
      <c r="E757" s="1">
        <v>15020</v>
      </c>
      <c r="F757" s="1">
        <v>3.1287661</v>
      </c>
    </row>
    <row r="758" spans="5:6">
      <c r="E758" s="1">
        <v>15040</v>
      </c>
      <c r="F758" s="1">
        <v>3.1770751000000002</v>
      </c>
    </row>
    <row r="759" spans="5:6">
      <c r="E759" s="1">
        <v>15060</v>
      </c>
      <c r="F759" s="1">
        <v>3.2186257999999999</v>
      </c>
    </row>
    <row r="760" spans="5:6">
      <c r="E760" s="1">
        <v>15080</v>
      </c>
      <c r="F760" s="1">
        <v>3.0681288000000002</v>
      </c>
    </row>
    <row r="761" spans="5:6">
      <c r="E761" s="1">
        <v>15100</v>
      </c>
      <c r="F761" s="1">
        <v>3.1377282000000002</v>
      </c>
    </row>
    <row r="762" spans="5:6">
      <c r="E762" s="1">
        <v>15120</v>
      </c>
      <c r="F762" s="1">
        <v>3.1945806000000001</v>
      </c>
    </row>
    <row r="763" spans="5:6">
      <c r="E763" s="1">
        <v>15140</v>
      </c>
      <c r="F763" s="1">
        <v>3.2813593999999999</v>
      </c>
    </row>
    <row r="764" spans="5:6">
      <c r="E764" s="1">
        <v>15160</v>
      </c>
      <c r="F764" s="1">
        <v>3.2857091</v>
      </c>
    </row>
    <row r="765" spans="5:6">
      <c r="E765" s="1">
        <v>15180</v>
      </c>
      <c r="F765" s="1">
        <v>3.1715057</v>
      </c>
    </row>
    <row r="766" spans="5:6">
      <c r="E766" s="1">
        <v>15200</v>
      </c>
      <c r="F766" s="1">
        <v>3.0867498000000002</v>
      </c>
    </row>
    <row r="767" spans="5:6">
      <c r="E767" s="1">
        <v>15220</v>
      </c>
      <c r="F767" s="1">
        <v>3.1396696999999998</v>
      </c>
    </row>
    <row r="768" spans="5:6">
      <c r="E768" s="1">
        <v>15240</v>
      </c>
      <c r="F768" s="1">
        <v>2.9334349999999998</v>
      </c>
    </row>
    <row r="769" spans="5:6">
      <c r="E769" s="1">
        <v>15260</v>
      </c>
      <c r="F769" s="1">
        <v>3.1118399999999999</v>
      </c>
    </row>
    <row r="770" spans="5:6">
      <c r="E770" s="1">
        <v>15280</v>
      </c>
      <c r="F770" s="1">
        <v>3.1428541999999999</v>
      </c>
    </row>
    <row r="771" spans="5:6">
      <c r="E771" s="1">
        <v>15300</v>
      </c>
      <c r="F771" s="1">
        <v>2.9273622000000001</v>
      </c>
    </row>
    <row r="772" spans="5:6">
      <c r="E772" s="1">
        <v>15320</v>
      </c>
      <c r="F772" s="1">
        <v>3.0445514</v>
      </c>
    </row>
    <row r="773" spans="5:6">
      <c r="E773" s="1">
        <v>15340</v>
      </c>
      <c r="F773" s="1">
        <v>3.0757653999999999</v>
      </c>
    </row>
    <row r="774" spans="5:6">
      <c r="E774" s="1">
        <v>15360</v>
      </c>
      <c r="F774" s="1">
        <v>3.0215881000000002</v>
      </c>
    </row>
    <row r="775" spans="5:6">
      <c r="E775" s="1">
        <v>15380</v>
      </c>
      <c r="F775" s="1">
        <v>3.0270299999999999</v>
      </c>
    </row>
    <row r="776" spans="5:6">
      <c r="E776" s="1">
        <v>15400</v>
      </c>
      <c r="F776" s="1">
        <v>3.0961040999999998</v>
      </c>
    </row>
    <row r="777" spans="5:6">
      <c r="E777" s="1">
        <v>15420</v>
      </c>
      <c r="F777" s="1">
        <v>3.3766197999999998</v>
      </c>
    </row>
    <row r="778" spans="5:6">
      <c r="E778" s="1">
        <v>15440</v>
      </c>
      <c r="F778" s="1">
        <v>3.1752650999999998</v>
      </c>
    </row>
    <row r="779" spans="5:6">
      <c r="E779" s="1">
        <v>15460</v>
      </c>
      <c r="F779" s="1">
        <v>3.3247087</v>
      </c>
    </row>
    <row r="780" spans="5:6">
      <c r="E780" s="1">
        <v>15480</v>
      </c>
      <c r="F780" s="1">
        <v>3.4441582999999998</v>
      </c>
    </row>
    <row r="781" spans="5:6">
      <c r="E781" s="1">
        <v>15500</v>
      </c>
      <c r="F781" s="1">
        <v>3.5834722999999999</v>
      </c>
    </row>
    <row r="782" spans="5:6">
      <c r="E782" s="1">
        <v>15520</v>
      </c>
      <c r="F782" s="1">
        <v>3.3350887</v>
      </c>
    </row>
    <row r="783" spans="5:6">
      <c r="E783" s="1">
        <v>15540</v>
      </c>
      <c r="F783" s="1">
        <v>3.5351428999999999</v>
      </c>
    </row>
    <row r="784" spans="5:6">
      <c r="E784" s="1">
        <v>15560</v>
      </c>
      <c r="F784" s="1">
        <v>3.4759009000000001</v>
      </c>
    </row>
    <row r="785" spans="5:6">
      <c r="E785" s="1">
        <v>15580</v>
      </c>
      <c r="F785" s="1">
        <v>3.3041613000000001</v>
      </c>
    </row>
    <row r="786" spans="5:6">
      <c r="E786" s="1">
        <v>15600</v>
      </c>
      <c r="F786" s="1">
        <v>3.5314415000000001</v>
      </c>
    </row>
    <row r="787" spans="5:6">
      <c r="E787" s="1">
        <v>15620</v>
      </c>
      <c r="F787" s="1">
        <v>3.4053065999999999</v>
      </c>
    </row>
    <row r="788" spans="5:6">
      <c r="E788" s="1">
        <v>15640</v>
      </c>
      <c r="F788" s="1">
        <v>3.4445741000000001</v>
      </c>
    </row>
    <row r="789" spans="5:6">
      <c r="E789" s="1">
        <v>15660</v>
      </c>
      <c r="F789" s="1">
        <v>3.5902900999999998</v>
      </c>
    </row>
    <row r="790" spans="5:6">
      <c r="E790" s="1">
        <v>15680</v>
      </c>
      <c r="F790" s="1">
        <v>3.7026865</v>
      </c>
    </row>
    <row r="791" spans="5:6">
      <c r="E791" s="1">
        <v>15700</v>
      </c>
      <c r="F791" s="1">
        <v>3.5894925999999998</v>
      </c>
    </row>
    <row r="792" spans="5:6">
      <c r="E792" s="1">
        <v>15720</v>
      </c>
      <c r="F792" s="1">
        <v>3.3307741000000002</v>
      </c>
    </row>
    <row r="793" spans="5:6">
      <c r="E793" s="1">
        <v>15740</v>
      </c>
      <c r="F793" s="1">
        <v>3.6124697000000001</v>
      </c>
    </row>
    <row r="794" spans="5:6">
      <c r="E794" s="1">
        <v>15760</v>
      </c>
      <c r="F794" s="1">
        <v>3.4579811</v>
      </c>
    </row>
    <row r="795" spans="5:6">
      <c r="E795" s="1">
        <v>15780</v>
      </c>
      <c r="F795" s="1">
        <v>3.4875927</v>
      </c>
    </row>
    <row r="796" spans="5:6">
      <c r="E796" s="1">
        <v>15800</v>
      </c>
      <c r="F796" s="1">
        <v>3.7179121999999998</v>
      </c>
    </row>
    <row r="797" spans="5:6">
      <c r="E797" s="1">
        <v>15820</v>
      </c>
      <c r="F797" s="1">
        <v>3.4026798999999999</v>
      </c>
    </row>
    <row r="798" spans="5:6">
      <c r="E798" s="1">
        <v>15840</v>
      </c>
      <c r="F798" s="1">
        <v>3.6169766999999999</v>
      </c>
    </row>
    <row r="799" spans="5:6">
      <c r="E799" s="1">
        <v>15860</v>
      </c>
      <c r="F799" s="1">
        <v>3.5458099999999999</v>
      </c>
    </row>
    <row r="800" spans="5:6">
      <c r="E800" s="1">
        <v>15880</v>
      </c>
      <c r="F800" s="1">
        <v>3.6473575</v>
      </c>
    </row>
    <row r="801" spans="5:6">
      <c r="E801" s="1">
        <v>15900</v>
      </c>
      <c r="F801" s="1">
        <v>3.5242773999999999</v>
      </c>
    </row>
    <row r="802" spans="5:6">
      <c r="E802" s="1">
        <v>15920</v>
      </c>
      <c r="F802" s="1">
        <v>3.5464357999999998</v>
      </c>
    </row>
    <row r="803" spans="5:6">
      <c r="E803" s="1">
        <v>15940</v>
      </c>
      <c r="F803" s="1">
        <v>3.6957890999999998</v>
      </c>
    </row>
    <row r="804" spans="5:6">
      <c r="E804" s="1">
        <v>15960</v>
      </c>
      <c r="F804" s="1">
        <v>3.3224645000000002</v>
      </c>
    </row>
    <row r="805" spans="5:6">
      <c r="E805" s="1">
        <v>15980</v>
      </c>
      <c r="F805" s="1">
        <v>3.1789331000000001</v>
      </c>
    </row>
    <row r="806" spans="5:6">
      <c r="E806" s="1">
        <v>16000</v>
      </c>
      <c r="F806" s="1">
        <v>3.3092608000000001</v>
      </c>
    </row>
    <row r="807" spans="5:6">
      <c r="E807" s="1">
        <v>16020</v>
      </c>
      <c r="F807" s="1">
        <v>3.0129277999999999</v>
      </c>
    </row>
    <row r="808" spans="5:6">
      <c r="E808" s="1">
        <v>16040</v>
      </c>
      <c r="F808" s="1">
        <v>3.1750297999999999</v>
      </c>
    </row>
    <row r="809" spans="5:6">
      <c r="E809" s="1">
        <v>16060</v>
      </c>
      <c r="F809" s="1">
        <v>3.1330708999999999</v>
      </c>
    </row>
    <row r="810" spans="5:6">
      <c r="E810" s="1">
        <v>16080</v>
      </c>
      <c r="F810" s="1">
        <v>3.1994647999999999</v>
      </c>
    </row>
    <row r="811" spans="5:6">
      <c r="E811" s="1">
        <v>16100</v>
      </c>
      <c r="F811" s="1">
        <v>3.2628219000000001</v>
      </c>
    </row>
    <row r="812" spans="5:6">
      <c r="E812" s="1">
        <v>16120</v>
      </c>
      <c r="F812" s="1">
        <v>3.2225063</v>
      </c>
    </row>
    <row r="813" spans="5:6">
      <c r="E813" s="1">
        <v>16140</v>
      </c>
      <c r="F813" s="1">
        <v>3.2791736</v>
      </c>
    </row>
    <row r="814" spans="5:6">
      <c r="E814" s="1">
        <v>16160</v>
      </c>
      <c r="F814" s="1">
        <v>3.3178386999999998</v>
      </c>
    </row>
    <row r="815" spans="5:6">
      <c r="E815" s="1">
        <v>16180</v>
      </c>
      <c r="F815" s="1">
        <v>3.2925705999999999</v>
      </c>
    </row>
    <row r="816" spans="5:6">
      <c r="E816" s="1">
        <v>16200</v>
      </c>
      <c r="F816" s="1">
        <v>3.1780472</v>
      </c>
    </row>
    <row r="817" spans="5:6">
      <c r="E817" s="1">
        <v>16220</v>
      </c>
      <c r="F817" s="1">
        <v>3.2322261000000001</v>
      </c>
    </row>
    <row r="818" spans="5:6">
      <c r="E818" s="1">
        <v>16240</v>
      </c>
      <c r="F818" s="1">
        <v>3.1518891</v>
      </c>
    </row>
    <row r="819" spans="5:6">
      <c r="E819" s="1">
        <v>16260</v>
      </c>
      <c r="F819" s="1">
        <v>3.0462281999999998</v>
      </c>
    </row>
    <row r="820" spans="5:6">
      <c r="E820" s="1">
        <v>16280</v>
      </c>
      <c r="F820" s="1">
        <v>3.1831379000000002</v>
      </c>
    </row>
    <row r="821" spans="5:6">
      <c r="E821" s="1">
        <v>16300</v>
      </c>
      <c r="F821" s="1">
        <v>3.2373246999999998</v>
      </c>
    </row>
    <row r="822" spans="5:6">
      <c r="E822" s="1">
        <v>16320</v>
      </c>
      <c r="F822" s="1">
        <v>3.4824681000000002</v>
      </c>
    </row>
    <row r="823" spans="5:6">
      <c r="E823" s="1">
        <v>16340</v>
      </c>
      <c r="F823" s="1">
        <v>3.2371449000000001</v>
      </c>
    </row>
    <row r="824" spans="5:6">
      <c r="E824" s="1">
        <v>16360</v>
      </c>
      <c r="F824" s="1">
        <v>3.430485</v>
      </c>
    </row>
    <row r="825" spans="5:6">
      <c r="E825" s="1">
        <v>16380</v>
      </c>
      <c r="F825" s="1">
        <v>3.37148</v>
      </c>
    </row>
    <row r="826" spans="5:6">
      <c r="E826" s="1">
        <v>16400</v>
      </c>
      <c r="F826" s="1">
        <v>3.4916524999999998</v>
      </c>
    </row>
    <row r="827" spans="5:6">
      <c r="E827" s="1">
        <v>16420</v>
      </c>
      <c r="F827" s="1">
        <v>3.3777821000000001</v>
      </c>
    </row>
    <row r="828" spans="5:6">
      <c r="E828" s="1">
        <v>16440</v>
      </c>
      <c r="F828" s="1">
        <v>3.3737750000000002</v>
      </c>
    </row>
    <row r="829" spans="5:6">
      <c r="E829" s="1">
        <v>16460</v>
      </c>
      <c r="F829" s="1">
        <v>3.3264445999999999</v>
      </c>
    </row>
    <row r="830" spans="5:6">
      <c r="E830" s="1">
        <v>16480</v>
      </c>
      <c r="F830" s="1">
        <v>3.323807</v>
      </c>
    </row>
    <row r="831" spans="5:6">
      <c r="E831" s="1">
        <v>16500</v>
      </c>
      <c r="F831" s="1">
        <v>3.4688395999999999</v>
      </c>
    </row>
    <row r="832" spans="5:6">
      <c r="E832" s="1">
        <v>16520</v>
      </c>
      <c r="F832" s="1">
        <v>3.4366381000000001</v>
      </c>
    </row>
    <row r="833" spans="5:6">
      <c r="E833" s="1">
        <v>16540</v>
      </c>
      <c r="F833" s="1">
        <v>3.5453302999999998</v>
      </c>
    </row>
    <row r="834" spans="5:6">
      <c r="E834" s="1">
        <v>16560</v>
      </c>
      <c r="F834" s="1">
        <v>3.3309454999999999</v>
      </c>
    </row>
    <row r="835" spans="5:6">
      <c r="E835" s="1">
        <v>16580</v>
      </c>
      <c r="F835" s="1">
        <v>3.3451919999999999</v>
      </c>
    </row>
    <row r="836" spans="5:6">
      <c r="E836" s="1">
        <v>16600</v>
      </c>
      <c r="F836" s="1">
        <v>3.5556819000000002</v>
      </c>
    </row>
    <row r="837" spans="5:6">
      <c r="E837" s="1">
        <v>16620</v>
      </c>
      <c r="F837" s="1">
        <v>3.6256382</v>
      </c>
    </row>
    <row r="838" spans="5:6">
      <c r="E838" s="1">
        <v>16640</v>
      </c>
      <c r="F838" s="1">
        <v>3.7544479000000002</v>
      </c>
    </row>
    <row r="839" spans="5:6">
      <c r="E839" s="1">
        <v>16660</v>
      </c>
      <c r="F839" s="1">
        <v>3.6055826999999998</v>
      </c>
    </row>
    <row r="840" spans="5:6">
      <c r="E840" s="1">
        <v>16680</v>
      </c>
      <c r="F840" s="1">
        <v>3.8849722999999998</v>
      </c>
    </row>
    <row r="841" spans="5:6">
      <c r="E841" s="1">
        <v>16700</v>
      </c>
      <c r="F841" s="1">
        <v>3.7860065000000001</v>
      </c>
    </row>
    <row r="842" spans="5:6">
      <c r="E842" s="1">
        <v>16720</v>
      </c>
      <c r="F842" s="1">
        <v>3.7352523999999998</v>
      </c>
    </row>
    <row r="843" spans="5:6">
      <c r="E843" s="1">
        <v>16740</v>
      </c>
      <c r="F843" s="1">
        <v>3.7458117</v>
      </c>
    </row>
    <row r="844" spans="5:6">
      <c r="E844" s="1">
        <v>16760</v>
      </c>
      <c r="F844" s="1">
        <v>3.5403983999999999</v>
      </c>
    </row>
    <row r="845" spans="5:6">
      <c r="E845" s="1">
        <v>16780</v>
      </c>
      <c r="F845" s="1">
        <v>3.5585312999999998</v>
      </c>
    </row>
    <row r="846" spans="5:6">
      <c r="E846" s="1">
        <v>16800</v>
      </c>
      <c r="F846" s="1">
        <v>3.4814688999999999</v>
      </c>
    </row>
    <row r="847" spans="5:6">
      <c r="E847" s="1">
        <v>16820</v>
      </c>
      <c r="F847" s="1">
        <v>3.5801744000000002</v>
      </c>
    </row>
    <row r="848" spans="5:6">
      <c r="E848" s="1">
        <v>16840</v>
      </c>
      <c r="F848" s="1">
        <v>3.6485381000000001</v>
      </c>
    </row>
    <row r="849" spans="5:6">
      <c r="E849" s="1">
        <v>16860</v>
      </c>
      <c r="F849" s="1">
        <v>3.6119354000000001</v>
      </c>
    </row>
    <row r="850" spans="5:6">
      <c r="E850" s="1">
        <v>16880</v>
      </c>
      <c r="F850" s="1">
        <v>3.4880125999999998</v>
      </c>
    </row>
    <row r="851" spans="5:6">
      <c r="E851" s="1">
        <v>16900</v>
      </c>
      <c r="F851" s="1">
        <v>3.4308038000000001</v>
      </c>
    </row>
    <row r="852" spans="5:6">
      <c r="E852" s="1">
        <v>16920</v>
      </c>
      <c r="F852" s="1">
        <v>3.3051908000000001</v>
      </c>
    </row>
    <row r="853" spans="5:6">
      <c r="E853" s="1">
        <v>16940</v>
      </c>
      <c r="F853" s="1">
        <v>3.440248</v>
      </c>
    </row>
    <row r="854" spans="5:6">
      <c r="E854" s="1">
        <v>16960</v>
      </c>
      <c r="F854" s="1">
        <v>3.3856400999999998</v>
      </c>
    </row>
    <row r="855" spans="5:6">
      <c r="E855" s="1">
        <v>16980</v>
      </c>
      <c r="F855" s="1">
        <v>3.3229215000000001</v>
      </c>
    </row>
    <row r="856" spans="5:6">
      <c r="E856" s="1">
        <v>17000</v>
      </c>
      <c r="F856" s="1">
        <v>3.5134137000000001</v>
      </c>
    </row>
    <row r="857" spans="5:6">
      <c r="E857" s="1">
        <v>17020</v>
      </c>
      <c r="F857" s="1">
        <v>3.4083242</v>
      </c>
    </row>
    <row r="858" spans="5:6">
      <c r="E858" s="1">
        <v>17040</v>
      </c>
      <c r="F858" s="1">
        <v>3.4128585</v>
      </c>
    </row>
    <row r="859" spans="5:6">
      <c r="E859" s="1">
        <v>17060</v>
      </c>
      <c r="F859" s="1">
        <v>3.6485910000000001</v>
      </c>
    </row>
    <row r="860" spans="5:6">
      <c r="E860" s="1">
        <v>17080</v>
      </c>
      <c r="F860" s="1">
        <v>3.7256608</v>
      </c>
    </row>
    <row r="861" spans="5:6">
      <c r="E861" s="1">
        <v>17100</v>
      </c>
      <c r="F861" s="1">
        <v>3.6448795999999999</v>
      </c>
    </row>
    <row r="862" spans="5:6">
      <c r="E862" s="1">
        <v>17120</v>
      </c>
      <c r="F862" s="1">
        <v>3.8607433000000002</v>
      </c>
    </row>
    <row r="863" spans="5:6">
      <c r="E863" s="1">
        <v>17140</v>
      </c>
      <c r="F863" s="1">
        <v>3.6584995</v>
      </c>
    </row>
    <row r="864" spans="5:6">
      <c r="E864" s="1">
        <v>17160</v>
      </c>
      <c r="F864" s="1">
        <v>3.7871108000000002</v>
      </c>
    </row>
    <row r="865" spans="5:6">
      <c r="E865" s="1">
        <v>17180</v>
      </c>
      <c r="F865" s="1">
        <v>3.5919843</v>
      </c>
    </row>
    <row r="866" spans="5:6">
      <c r="E866" s="1">
        <v>17200</v>
      </c>
      <c r="F866" s="1">
        <v>3.5680673000000001</v>
      </c>
    </row>
    <row r="867" spans="5:6">
      <c r="E867" s="1">
        <v>17220</v>
      </c>
      <c r="F867" s="1">
        <v>3.6265179999999999</v>
      </c>
    </row>
    <row r="868" spans="5:6">
      <c r="E868" s="1">
        <v>17240</v>
      </c>
      <c r="F868" s="1">
        <v>3.7445480999999998</v>
      </c>
    </row>
    <row r="869" spans="5:6">
      <c r="E869" s="1">
        <v>17260</v>
      </c>
      <c r="F869" s="1">
        <v>3.4340600999999999</v>
      </c>
    </row>
    <row r="870" spans="5:6">
      <c r="E870" s="1">
        <v>17280</v>
      </c>
      <c r="F870" s="1">
        <v>3.3355176000000002</v>
      </c>
    </row>
    <row r="871" spans="5:6">
      <c r="E871" s="1">
        <v>17300</v>
      </c>
      <c r="F871" s="1">
        <v>3.5785165000000001</v>
      </c>
    </row>
    <row r="872" spans="5:6">
      <c r="E872" s="1">
        <v>17320</v>
      </c>
      <c r="F872" s="1">
        <v>3.6160296999999999</v>
      </c>
    </row>
    <row r="873" spans="5:6">
      <c r="E873" s="1">
        <v>17340</v>
      </c>
      <c r="F873" s="1">
        <v>3.4565065000000001</v>
      </c>
    </row>
    <row r="874" spans="5:6">
      <c r="E874" s="1">
        <v>17360</v>
      </c>
      <c r="F874" s="1">
        <v>3.4818889999999998</v>
      </c>
    </row>
    <row r="875" spans="5:6">
      <c r="E875" s="1">
        <v>17380</v>
      </c>
      <c r="F875" s="1">
        <v>3.4378600000000001</v>
      </c>
    </row>
    <row r="876" spans="5:6">
      <c r="E876" s="1">
        <v>17400</v>
      </c>
      <c r="F876" s="1">
        <v>3.3568870999999998</v>
      </c>
    </row>
    <row r="877" spans="5:6">
      <c r="E877" s="1">
        <v>17420</v>
      </c>
      <c r="F877" s="1">
        <v>3.4959085000000001</v>
      </c>
    </row>
    <row r="878" spans="5:6">
      <c r="E878" s="1">
        <v>17440</v>
      </c>
      <c r="F878" s="1">
        <v>3.4927608999999999</v>
      </c>
    </row>
    <row r="879" spans="5:6">
      <c r="E879" s="1">
        <v>17460</v>
      </c>
      <c r="F879" s="1">
        <v>3.2919762000000001</v>
      </c>
    </row>
    <row r="880" spans="5:6">
      <c r="E880" s="1">
        <v>17480</v>
      </c>
      <c r="F880" s="1">
        <v>3.3897461999999998</v>
      </c>
    </row>
    <row r="881" spans="5:6">
      <c r="E881" s="1">
        <v>17500</v>
      </c>
      <c r="F881" s="1">
        <v>3.5325799</v>
      </c>
    </row>
    <row r="882" spans="5:6">
      <c r="E882" s="1">
        <v>17520</v>
      </c>
      <c r="F882" s="1">
        <v>3.7021951999999998</v>
      </c>
    </row>
    <row r="883" spans="5:6">
      <c r="E883" s="1">
        <v>17540</v>
      </c>
      <c r="F883" s="1">
        <v>3.6912265</v>
      </c>
    </row>
    <row r="884" spans="5:6">
      <c r="E884" s="1">
        <v>17560</v>
      </c>
      <c r="F884" s="1">
        <v>3.7235539000000002</v>
      </c>
    </row>
    <row r="885" spans="5:6">
      <c r="E885" s="1">
        <v>17580</v>
      </c>
      <c r="F885" s="1">
        <v>3.7869755999999999</v>
      </c>
    </row>
    <row r="886" spans="5:6">
      <c r="E886" s="1">
        <v>17600</v>
      </c>
      <c r="F886" s="1">
        <v>3.7962022000000002</v>
      </c>
    </row>
    <row r="887" spans="5:6">
      <c r="E887" s="1">
        <v>17620</v>
      </c>
      <c r="F887" s="1">
        <v>3.9301602999999998</v>
      </c>
    </row>
    <row r="888" spans="5:6">
      <c r="E888" s="1">
        <v>17640</v>
      </c>
      <c r="F888" s="1">
        <v>3.8718246999999999</v>
      </c>
    </row>
    <row r="889" spans="5:6">
      <c r="E889" s="1">
        <v>17660</v>
      </c>
      <c r="F889" s="1">
        <v>3.9118217999999998</v>
      </c>
    </row>
    <row r="890" spans="5:6">
      <c r="E890" s="1">
        <v>17680</v>
      </c>
      <c r="F890" s="1">
        <v>3.886415</v>
      </c>
    </row>
    <row r="891" spans="5:6">
      <c r="E891" s="1">
        <v>17700</v>
      </c>
      <c r="F891" s="1">
        <v>3.9671419000000001</v>
      </c>
    </row>
    <row r="892" spans="5:6">
      <c r="E892" s="1">
        <v>17720</v>
      </c>
      <c r="F892" s="1">
        <v>3.7921220999999998</v>
      </c>
    </row>
    <row r="893" spans="5:6">
      <c r="E893" s="1">
        <v>17740</v>
      </c>
      <c r="F893" s="1">
        <v>3.7333291000000002</v>
      </c>
    </row>
    <row r="894" spans="5:6">
      <c r="E894" s="1">
        <v>17760</v>
      </c>
      <c r="F894" s="1">
        <v>3.8375613999999998</v>
      </c>
    </row>
    <row r="895" spans="5:6">
      <c r="E895" s="1">
        <v>17780</v>
      </c>
      <c r="F895" s="1">
        <v>4.0068669000000003</v>
      </c>
    </row>
    <row r="896" spans="5:6">
      <c r="E896" s="1">
        <v>17800</v>
      </c>
      <c r="F896" s="1">
        <v>3.9571573999999998</v>
      </c>
    </row>
    <row r="897" spans="5:6">
      <c r="E897" s="1">
        <v>17820</v>
      </c>
      <c r="F897" s="1">
        <v>3.6539120999999999</v>
      </c>
    </row>
    <row r="898" spans="5:6">
      <c r="E898" s="1">
        <v>17840</v>
      </c>
      <c r="F898" s="1">
        <v>3.7146903999999998</v>
      </c>
    </row>
    <row r="899" spans="5:6">
      <c r="E899" s="1">
        <v>17860</v>
      </c>
      <c r="F899" s="1">
        <v>3.5333296999999999</v>
      </c>
    </row>
    <row r="900" spans="5:6">
      <c r="E900" s="1">
        <v>17880</v>
      </c>
      <c r="F900" s="1">
        <v>3.6527704999999999</v>
      </c>
    </row>
    <row r="901" spans="5:6">
      <c r="E901" s="1">
        <v>17900</v>
      </c>
      <c r="F901" s="1">
        <v>3.4599270999999998</v>
      </c>
    </row>
    <row r="902" spans="5:6">
      <c r="E902" s="1">
        <v>17920</v>
      </c>
      <c r="F902" s="1">
        <v>3.7145853</v>
      </c>
    </row>
    <row r="903" spans="5:6">
      <c r="E903" s="1">
        <v>17940</v>
      </c>
      <c r="F903" s="1">
        <v>3.5685368</v>
      </c>
    </row>
    <row r="904" spans="5:6">
      <c r="E904" s="1">
        <v>17960</v>
      </c>
      <c r="F904" s="1">
        <v>3.8521513999999999</v>
      </c>
    </row>
    <row r="905" spans="5:6">
      <c r="E905" s="1">
        <v>17980</v>
      </c>
      <c r="F905" s="1">
        <v>3.7397399</v>
      </c>
    </row>
    <row r="906" spans="5:6">
      <c r="E906" s="1">
        <v>18000</v>
      </c>
      <c r="F906" s="1">
        <v>3.7780797000000002</v>
      </c>
    </row>
    <row r="907" spans="5:6">
      <c r="E907" s="1">
        <v>18020</v>
      </c>
      <c r="F907" s="1">
        <v>3.8147479999999998</v>
      </c>
    </row>
    <row r="908" spans="5:6">
      <c r="E908" s="1">
        <v>18040</v>
      </c>
      <c r="F908" s="1">
        <v>3.7919352000000002</v>
      </c>
    </row>
    <row r="909" spans="5:6">
      <c r="E909" s="1">
        <v>18060</v>
      </c>
      <c r="F909" s="1">
        <v>3.7796962000000001</v>
      </c>
    </row>
    <row r="910" spans="5:6">
      <c r="E910" s="1">
        <v>18080</v>
      </c>
      <c r="F910" s="1">
        <v>3.7777208999999998</v>
      </c>
    </row>
    <row r="911" spans="5:6">
      <c r="E911" s="1">
        <v>18100</v>
      </c>
      <c r="F911" s="1">
        <v>3.6521735</v>
      </c>
    </row>
    <row r="912" spans="5:6">
      <c r="E912" s="1">
        <v>18120</v>
      </c>
      <c r="F912" s="1">
        <v>3.6791784999999999</v>
      </c>
    </row>
    <row r="913" spans="5:6">
      <c r="E913" s="1">
        <v>18140</v>
      </c>
      <c r="F913" s="1">
        <v>3.8481727000000001</v>
      </c>
    </row>
    <row r="914" spans="5:6">
      <c r="E914" s="1">
        <v>18160</v>
      </c>
      <c r="F914" s="1">
        <v>3.7748194000000002</v>
      </c>
    </row>
    <row r="915" spans="5:6">
      <c r="E915" s="1">
        <v>18180</v>
      </c>
      <c r="F915" s="1">
        <v>3.6340363</v>
      </c>
    </row>
    <row r="916" spans="5:6">
      <c r="E916" s="1">
        <v>18200</v>
      </c>
      <c r="F916" s="1">
        <v>3.8513877000000001</v>
      </c>
    </row>
    <row r="917" spans="5:6">
      <c r="E917" s="1">
        <v>18220</v>
      </c>
      <c r="F917" s="1">
        <v>3.6359134000000002</v>
      </c>
    </row>
    <row r="918" spans="5:6">
      <c r="E918" s="1">
        <v>18240</v>
      </c>
      <c r="F918" s="1">
        <v>3.6740015000000001</v>
      </c>
    </row>
    <row r="919" spans="5:6">
      <c r="E919" s="1">
        <v>18260</v>
      </c>
      <c r="F919" s="1">
        <v>3.6696067000000001</v>
      </c>
    </row>
    <row r="920" spans="5:6">
      <c r="E920" s="1">
        <v>18280</v>
      </c>
      <c r="F920" s="1">
        <v>3.7200511000000001</v>
      </c>
    </row>
    <row r="921" spans="5:6">
      <c r="E921" s="1">
        <v>18300</v>
      </c>
      <c r="F921" s="1">
        <v>3.5942938</v>
      </c>
    </row>
    <row r="922" spans="5:6">
      <c r="E922" s="1">
        <v>18320</v>
      </c>
      <c r="F922" s="1">
        <v>3.6105239</v>
      </c>
    </row>
    <row r="923" spans="5:6">
      <c r="E923" s="1">
        <v>18340</v>
      </c>
      <c r="F923" s="1">
        <v>3.2823924999999998</v>
      </c>
    </row>
    <row r="924" spans="5:6">
      <c r="E924" s="1">
        <v>18360</v>
      </c>
      <c r="F924" s="1">
        <v>3.3520235999999999</v>
      </c>
    </row>
    <row r="925" spans="5:6">
      <c r="E925" s="1">
        <v>18380</v>
      </c>
      <c r="F925" s="1">
        <v>3.1723360999999999</v>
      </c>
    </row>
    <row r="926" spans="5:6">
      <c r="E926" s="1">
        <v>18400</v>
      </c>
      <c r="F926" s="1">
        <v>3.3343055000000001</v>
      </c>
    </row>
    <row r="927" spans="5:6">
      <c r="E927" s="1">
        <v>18420</v>
      </c>
      <c r="F927" s="1">
        <v>3.2678145999999999</v>
      </c>
    </row>
    <row r="928" spans="5:6">
      <c r="E928" s="1">
        <v>18440</v>
      </c>
      <c r="F928" s="1">
        <v>3.1521251000000001</v>
      </c>
    </row>
    <row r="929" spans="5:6">
      <c r="E929" s="1">
        <v>18460</v>
      </c>
      <c r="F929" s="1">
        <v>3.2249276999999998</v>
      </c>
    </row>
    <row r="930" spans="5:6">
      <c r="E930" s="1">
        <v>18480</v>
      </c>
      <c r="F930" s="1">
        <v>3.2265313</v>
      </c>
    </row>
    <row r="931" spans="5:6">
      <c r="E931" s="1">
        <v>18500</v>
      </c>
      <c r="F931" s="1">
        <v>3.1238730000000001</v>
      </c>
    </row>
    <row r="932" spans="5:6">
      <c r="E932" s="1">
        <v>18520</v>
      </c>
      <c r="F932" s="1">
        <v>3.2239906999999999</v>
      </c>
    </row>
    <row r="933" spans="5:6">
      <c r="E933" s="1">
        <v>18540</v>
      </c>
      <c r="F933" s="1">
        <v>3.3072097</v>
      </c>
    </row>
    <row r="934" spans="5:6">
      <c r="E934" s="1">
        <v>18560</v>
      </c>
      <c r="F934" s="1">
        <v>3.2322647999999998</v>
      </c>
    </row>
    <row r="935" spans="5:6">
      <c r="E935" s="1">
        <v>18580</v>
      </c>
      <c r="F935" s="1">
        <v>3.0231941</v>
      </c>
    </row>
    <row r="936" spans="5:6">
      <c r="E936" s="1">
        <v>18600</v>
      </c>
      <c r="F936" s="1">
        <v>3.0849864</v>
      </c>
    </row>
    <row r="937" spans="5:6">
      <c r="E937" s="1">
        <v>18620</v>
      </c>
      <c r="F937" s="1">
        <v>3.3695539999999999</v>
      </c>
    </row>
    <row r="938" spans="5:6">
      <c r="E938" s="1">
        <v>18640</v>
      </c>
      <c r="F938" s="1">
        <v>3.2944206999999999</v>
      </c>
    </row>
    <row r="939" spans="5:6">
      <c r="E939" s="1">
        <v>18660</v>
      </c>
      <c r="F939" s="1">
        <v>3.1951895000000001</v>
      </c>
    </row>
    <row r="940" spans="5:6">
      <c r="E940" s="1">
        <v>18680</v>
      </c>
      <c r="F940" s="1">
        <v>3.0990015999999998</v>
      </c>
    </row>
    <row r="941" spans="5:6">
      <c r="E941" s="1">
        <v>18700</v>
      </c>
      <c r="F941" s="1">
        <v>3.2297468</v>
      </c>
    </row>
    <row r="942" spans="5:6">
      <c r="E942" s="1">
        <v>18720</v>
      </c>
      <c r="F942" s="1">
        <v>3.0384068000000002</v>
      </c>
    </row>
    <row r="943" spans="5:6">
      <c r="E943" s="1">
        <v>18740</v>
      </c>
      <c r="F943" s="1">
        <v>3.2173557000000002</v>
      </c>
    </row>
    <row r="944" spans="5:6">
      <c r="E944" s="1">
        <v>18760</v>
      </c>
      <c r="F944" s="1">
        <v>3.1856624999999998</v>
      </c>
    </row>
    <row r="945" spans="5:6">
      <c r="E945" s="1">
        <v>18780</v>
      </c>
      <c r="F945" s="1">
        <v>3.2045207000000002</v>
      </c>
    </row>
    <row r="946" spans="5:6">
      <c r="E946" s="1">
        <v>18800</v>
      </c>
      <c r="F946" s="1">
        <v>2.9905368999999999</v>
      </c>
    </row>
    <row r="947" spans="5:6">
      <c r="E947" s="1">
        <v>18820</v>
      </c>
      <c r="F947" s="1">
        <v>3.1917889000000002</v>
      </c>
    </row>
    <row r="948" spans="5:6">
      <c r="E948" s="1">
        <v>18840</v>
      </c>
      <c r="F948" s="1">
        <v>3.2016110000000002</v>
      </c>
    </row>
    <row r="949" spans="5:6">
      <c r="E949" s="1">
        <v>18860</v>
      </c>
      <c r="F949" s="1">
        <v>3.484251</v>
      </c>
    </row>
    <row r="950" spans="5:6">
      <c r="E950" s="1">
        <v>18880</v>
      </c>
      <c r="F950" s="1">
        <v>3.2911625</v>
      </c>
    </row>
    <row r="951" spans="5:6">
      <c r="E951" s="1">
        <v>18900</v>
      </c>
      <c r="F951" s="1">
        <v>3.3890984</v>
      </c>
    </row>
    <row r="952" spans="5:6">
      <c r="E952" s="1">
        <v>18920</v>
      </c>
      <c r="F952" s="1">
        <v>3.3056879000000001</v>
      </c>
    </row>
    <row r="953" spans="5:6">
      <c r="E953" s="1">
        <v>18940</v>
      </c>
      <c r="F953" s="1">
        <v>3.3864415000000001</v>
      </c>
    </row>
    <row r="954" spans="5:6">
      <c r="E954" s="1">
        <v>18960</v>
      </c>
      <c r="F954" s="1">
        <v>3.2397521</v>
      </c>
    </row>
    <row r="955" spans="5:6">
      <c r="E955" s="1">
        <v>18980</v>
      </c>
      <c r="F955" s="1">
        <v>3.2285933</v>
      </c>
    </row>
    <row r="956" spans="5:6">
      <c r="E956" s="1">
        <v>19000</v>
      </c>
      <c r="F956" s="1">
        <v>3.2749476</v>
      </c>
    </row>
    <row r="957" spans="5:6">
      <c r="E957" s="1">
        <v>19020</v>
      </c>
      <c r="F957" s="1">
        <v>3.1965729999999999</v>
      </c>
    </row>
    <row r="958" spans="5:6">
      <c r="E958" s="1">
        <v>19040</v>
      </c>
      <c r="F958" s="1">
        <v>3.1602427999999998</v>
      </c>
    </row>
    <row r="959" spans="5:6">
      <c r="E959" s="1">
        <v>19060</v>
      </c>
      <c r="F959" s="1">
        <v>3.1416363999999999</v>
      </c>
    </row>
    <row r="960" spans="5:6">
      <c r="E960" s="1">
        <v>19080</v>
      </c>
      <c r="F960" s="1">
        <v>3.1637474999999999</v>
      </c>
    </row>
    <row r="961" spans="5:6">
      <c r="E961" s="1">
        <v>19100</v>
      </c>
      <c r="F961" s="1">
        <v>3.0928437999999998</v>
      </c>
    </row>
    <row r="962" spans="5:6">
      <c r="E962" s="1">
        <v>19120</v>
      </c>
      <c r="F962" s="1">
        <v>3.1383239999999999</v>
      </c>
    </row>
    <row r="963" spans="5:6">
      <c r="E963" s="1">
        <v>19140</v>
      </c>
      <c r="F963" s="1">
        <v>3.2444918</v>
      </c>
    </row>
    <row r="964" spans="5:6">
      <c r="E964" s="1">
        <v>19160</v>
      </c>
      <c r="F964" s="1">
        <v>3.2748244</v>
      </c>
    </row>
    <row r="965" spans="5:6">
      <c r="E965" s="1">
        <v>19180</v>
      </c>
      <c r="F965" s="1">
        <v>3.2469749000000001</v>
      </c>
    </row>
    <row r="966" spans="5:6">
      <c r="E966" s="1">
        <v>19200</v>
      </c>
      <c r="F966" s="1">
        <v>3.2045748000000001</v>
      </c>
    </row>
    <row r="967" spans="5:6">
      <c r="E967" s="1">
        <v>19220</v>
      </c>
      <c r="F967" s="1">
        <v>3.4076118000000002</v>
      </c>
    </row>
    <row r="968" spans="5:6">
      <c r="E968" s="1">
        <v>19240</v>
      </c>
      <c r="F968" s="1">
        <v>3.4048269000000002</v>
      </c>
    </row>
    <row r="969" spans="5:6">
      <c r="E969" s="1">
        <v>19260</v>
      </c>
      <c r="F969" s="1">
        <v>3.4712925000000001</v>
      </c>
    </row>
    <row r="970" spans="5:6">
      <c r="E970" s="1">
        <v>19280</v>
      </c>
      <c r="F970" s="1">
        <v>3.3542329999999998</v>
      </c>
    </row>
    <row r="971" spans="5:6">
      <c r="E971" s="1">
        <v>19300</v>
      </c>
      <c r="F971" s="1">
        <v>3.2301096999999999</v>
      </c>
    </row>
    <row r="972" spans="5:6">
      <c r="E972" s="1">
        <v>19320</v>
      </c>
      <c r="F972" s="1">
        <v>3.4260913999999998</v>
      </c>
    </row>
    <row r="973" spans="5:6">
      <c r="E973" s="1">
        <v>19340</v>
      </c>
      <c r="F973" s="1">
        <v>3.0958776000000001</v>
      </c>
    </row>
    <row r="974" spans="5:6">
      <c r="E974" s="1">
        <v>19360</v>
      </c>
      <c r="F974" s="1">
        <v>3.2867807999999998</v>
      </c>
    </row>
    <row r="975" spans="5:6">
      <c r="E975" s="1">
        <v>19380</v>
      </c>
      <c r="F975" s="1">
        <v>3.2225467999999999</v>
      </c>
    </row>
    <row r="976" spans="5:6">
      <c r="E976" s="1">
        <v>19400</v>
      </c>
      <c r="F976" s="1">
        <v>3.1480491000000002</v>
      </c>
    </row>
    <row r="977" spans="5:6">
      <c r="E977" s="1">
        <v>19420</v>
      </c>
      <c r="F977" s="1">
        <v>3.2851547999999999</v>
      </c>
    </row>
    <row r="978" spans="5:6">
      <c r="E978" s="1">
        <v>19440</v>
      </c>
      <c r="F978" s="1">
        <v>3.4334714000000002</v>
      </c>
    </row>
    <row r="979" spans="5:6">
      <c r="E979" s="1">
        <v>19460</v>
      </c>
      <c r="F979" s="1">
        <v>3.3385495999999999</v>
      </c>
    </row>
    <row r="980" spans="5:6">
      <c r="E980" s="1">
        <v>19480</v>
      </c>
      <c r="F980" s="1">
        <v>3.371953</v>
      </c>
    </row>
    <row r="981" spans="5:6">
      <c r="E981" s="1">
        <v>19500</v>
      </c>
      <c r="F981" s="1">
        <v>3.3203208000000002</v>
      </c>
    </row>
    <row r="982" spans="5:6">
      <c r="E982" s="1">
        <v>19520</v>
      </c>
      <c r="F982" s="1">
        <v>3.3008769</v>
      </c>
    </row>
    <row r="983" spans="5:6">
      <c r="E983" s="1">
        <v>19540</v>
      </c>
      <c r="F983" s="1">
        <v>3.4961831999999999</v>
      </c>
    </row>
    <row r="984" spans="5:6">
      <c r="E984" s="1">
        <v>19560</v>
      </c>
      <c r="F984" s="1">
        <v>3.4312208000000002</v>
      </c>
    </row>
    <row r="985" spans="5:6">
      <c r="E985" s="1">
        <v>19580</v>
      </c>
      <c r="F985" s="1">
        <v>3.2961543</v>
      </c>
    </row>
    <row r="986" spans="5:6">
      <c r="E986" s="1">
        <v>19600</v>
      </c>
      <c r="F986" s="1">
        <v>3.4049646999999998</v>
      </c>
    </row>
    <row r="987" spans="5:6">
      <c r="E987" s="1">
        <v>19620</v>
      </c>
      <c r="F987" s="1">
        <v>3.4166183000000001</v>
      </c>
    </row>
    <row r="988" spans="5:6">
      <c r="E988" s="1">
        <v>19640</v>
      </c>
      <c r="F988" s="1">
        <v>3.3377545</v>
      </c>
    </row>
    <row r="989" spans="5:6">
      <c r="E989" s="1">
        <v>19660</v>
      </c>
      <c r="F989" s="1">
        <v>3.3992996</v>
      </c>
    </row>
    <row r="990" spans="5:6">
      <c r="E990" s="1">
        <v>19680</v>
      </c>
      <c r="F990" s="1">
        <v>3.4232852</v>
      </c>
    </row>
    <row r="991" spans="5:6">
      <c r="E991" s="1">
        <v>19700</v>
      </c>
      <c r="F991" s="1">
        <v>3.4087059000000002</v>
      </c>
    </row>
    <row r="992" spans="5:6">
      <c r="E992" s="1">
        <v>19720</v>
      </c>
      <c r="F992" s="1">
        <v>3.5362768</v>
      </c>
    </row>
    <row r="993" spans="5:6">
      <c r="E993" s="1">
        <v>19740</v>
      </c>
      <c r="F993" s="1">
        <v>3.4473858000000002</v>
      </c>
    </row>
    <row r="994" spans="5:6">
      <c r="E994" s="1">
        <v>19760</v>
      </c>
      <c r="F994" s="1">
        <v>3.4469553999999998</v>
      </c>
    </row>
    <row r="995" spans="5:6">
      <c r="E995" s="1">
        <v>19780</v>
      </c>
      <c r="F995" s="1">
        <v>3.4399001999999999</v>
      </c>
    </row>
    <row r="996" spans="5:6">
      <c r="E996" s="1">
        <v>19800</v>
      </c>
      <c r="F996" s="1">
        <v>3.5692743999999998</v>
      </c>
    </row>
    <row r="997" spans="5:6">
      <c r="E997" s="1">
        <v>19820</v>
      </c>
      <c r="F997" s="1">
        <v>3.6756744000000001</v>
      </c>
    </row>
    <row r="998" spans="5:6">
      <c r="E998" s="1">
        <v>19840</v>
      </c>
      <c r="F998" s="1">
        <v>3.6003447</v>
      </c>
    </row>
    <row r="999" spans="5:6">
      <c r="E999" s="1">
        <v>19860</v>
      </c>
      <c r="F999" s="1">
        <v>3.8234332000000002</v>
      </c>
    </row>
    <row r="1000" spans="5:6">
      <c r="E1000" s="1">
        <v>19880</v>
      </c>
      <c r="F1000" s="1">
        <v>3.6017182000000001</v>
      </c>
    </row>
    <row r="1001" spans="5:6">
      <c r="E1001" s="1">
        <v>19900</v>
      </c>
      <c r="F1001" s="1">
        <v>3.6710495999999999</v>
      </c>
    </row>
    <row r="1002" spans="5:6">
      <c r="E1002" s="1">
        <v>19920</v>
      </c>
      <c r="F1002" s="1">
        <v>3.6622642999999999</v>
      </c>
    </row>
    <row r="1003" spans="5:6">
      <c r="E1003" s="1">
        <v>19940</v>
      </c>
      <c r="F1003" s="1">
        <v>3.6097676999999999</v>
      </c>
    </row>
    <row r="1004" spans="5:6">
      <c r="E1004" s="1">
        <v>19960</v>
      </c>
      <c r="F1004" s="1">
        <v>3.6548664999999998</v>
      </c>
    </row>
    <row r="1005" spans="5:6">
      <c r="E1005" s="1">
        <v>19980</v>
      </c>
      <c r="F1005" s="1">
        <v>3.5616107000000001</v>
      </c>
    </row>
    <row r="1006" spans="5:6">
      <c r="E1006" s="1">
        <v>20000</v>
      </c>
      <c r="F1006" s="1">
        <v>3.4415659999999999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24691-6B3A-45D8-B920-F685C376367F}">
  <dimension ref="E4:G19"/>
  <sheetViews>
    <sheetView workbookViewId="0">
      <selection activeCell="I7" sqref="I7"/>
    </sheetView>
  </sheetViews>
  <sheetFormatPr defaultRowHeight="14.4"/>
  <sheetData>
    <row r="4" spans="5:7">
      <c r="E4" s="1">
        <v>1</v>
      </c>
      <c r="F4" s="1">
        <v>0.29480499999999998</v>
      </c>
      <c r="G4" s="1">
        <v>0.13489100000000001</v>
      </c>
    </row>
    <row r="5" spans="5:7">
      <c r="E5" s="1">
        <v>2</v>
      </c>
      <c r="F5" s="1">
        <v>0.42379800000000001</v>
      </c>
      <c r="G5" s="1">
        <v>0.11964900000000001</v>
      </c>
    </row>
    <row r="6" spans="5:7">
      <c r="E6" s="1">
        <v>3</v>
      </c>
      <c r="F6" s="1">
        <v>0.52385099999999996</v>
      </c>
      <c r="G6" s="1">
        <v>0.359294</v>
      </c>
    </row>
    <row r="7" spans="5:7">
      <c r="E7" s="1">
        <v>4</v>
      </c>
      <c r="F7" s="1">
        <v>0.54044700000000001</v>
      </c>
      <c r="G7" s="1">
        <v>0.37360700000000002</v>
      </c>
    </row>
    <row r="8" spans="5:7">
      <c r="E8" s="1">
        <v>5</v>
      </c>
      <c r="F8" s="1">
        <v>0.545655</v>
      </c>
      <c r="G8" s="1">
        <v>0.56061700000000003</v>
      </c>
    </row>
    <row r="9" spans="5:7">
      <c r="E9" s="1">
        <v>6</v>
      </c>
      <c r="F9" s="1">
        <v>0.53285300000000002</v>
      </c>
      <c r="G9" s="1">
        <v>0.48852400000000001</v>
      </c>
    </row>
    <row r="10" spans="5:7">
      <c r="E10" s="1">
        <v>7</v>
      </c>
      <c r="F10" s="1">
        <v>0.51075000000000004</v>
      </c>
      <c r="G10" s="1">
        <v>0.53607199999999999</v>
      </c>
    </row>
    <row r="11" spans="5:7">
      <c r="E11" s="1">
        <v>8</v>
      </c>
      <c r="F11" s="1">
        <v>0.48501</v>
      </c>
      <c r="G11" s="1">
        <v>0.52122400000000002</v>
      </c>
    </row>
    <row r="12" spans="5:7">
      <c r="E12" s="1">
        <v>9</v>
      </c>
      <c r="F12" s="1">
        <v>0.45318799999999998</v>
      </c>
      <c r="G12" s="1">
        <v>0.52081699999999997</v>
      </c>
    </row>
    <row r="13" spans="5:7">
      <c r="E13" s="1">
        <v>10</v>
      </c>
      <c r="F13" s="1">
        <v>0.426875</v>
      </c>
      <c r="G13" s="1">
        <v>0.488757</v>
      </c>
    </row>
    <row r="14" spans="5:7">
      <c r="E14" s="1">
        <v>11</v>
      </c>
      <c r="F14" s="1">
        <v>0.39589299999999999</v>
      </c>
      <c r="G14" s="1">
        <v>0.46797499999999997</v>
      </c>
    </row>
    <row r="15" spans="5:7">
      <c r="E15" s="1">
        <v>12</v>
      </c>
      <c r="F15" s="1">
        <v>0.36153000000000002</v>
      </c>
      <c r="G15" s="1">
        <v>0.434087</v>
      </c>
    </row>
    <row r="16" spans="5:7">
      <c r="E16" s="1">
        <v>13</v>
      </c>
      <c r="F16" s="1">
        <v>0.316853</v>
      </c>
      <c r="G16" s="1">
        <v>0.41069600000000001</v>
      </c>
    </row>
    <row r="17" spans="5:7">
      <c r="E17" s="1">
        <v>14</v>
      </c>
      <c r="F17" s="1">
        <v>0.25479000000000002</v>
      </c>
      <c r="G17" s="1">
        <v>0.366782</v>
      </c>
    </row>
    <row r="18" spans="5:7">
      <c r="E18" s="1">
        <v>15</v>
      </c>
      <c r="F18" s="1"/>
      <c r="G18" s="1">
        <v>0.32769300000000001</v>
      </c>
    </row>
    <row r="19" spans="5:7">
      <c r="E19" s="1">
        <v>16</v>
      </c>
      <c r="F19" s="1"/>
      <c r="G19" s="1">
        <v>0.25131300000000001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D27E5-DD3B-4E6F-89EB-8BF02B25916E}">
  <dimension ref="E3:G19"/>
  <sheetViews>
    <sheetView workbookViewId="0">
      <selection activeCell="I7" sqref="I7"/>
    </sheetView>
  </sheetViews>
  <sheetFormatPr defaultRowHeight="14.4"/>
  <sheetData>
    <row r="3" spans="5:7">
      <c r="E3" s="2"/>
      <c r="F3" s="2" t="s">
        <v>216</v>
      </c>
      <c r="G3" s="2" t="s">
        <v>217</v>
      </c>
    </row>
    <row r="4" spans="5:7">
      <c r="E4" s="1">
        <v>1</v>
      </c>
      <c r="F4" s="1">
        <v>0.25569999999999998</v>
      </c>
      <c r="G4" s="1">
        <v>0.187942</v>
      </c>
    </row>
    <row r="5" spans="5:7">
      <c r="E5" s="1">
        <v>2</v>
      </c>
      <c r="F5" s="1">
        <v>0.49090800000000001</v>
      </c>
      <c r="G5" s="1">
        <v>0.333706</v>
      </c>
    </row>
    <row r="6" spans="5:7">
      <c r="E6" s="1">
        <v>3</v>
      </c>
      <c r="F6" s="1">
        <v>0.46751100000000001</v>
      </c>
      <c r="G6" s="1">
        <v>0.440946</v>
      </c>
    </row>
    <row r="7" spans="5:7">
      <c r="E7" s="1">
        <v>4</v>
      </c>
      <c r="F7" s="1">
        <v>0.50192899999999996</v>
      </c>
      <c r="G7" s="1">
        <v>0.44746200000000003</v>
      </c>
    </row>
    <row r="8" spans="5:7">
      <c r="E8" s="1">
        <v>5</v>
      </c>
      <c r="F8" s="1">
        <v>0.46328799999999998</v>
      </c>
      <c r="G8" s="1">
        <v>0.53799200000000003</v>
      </c>
    </row>
    <row r="9" spans="5:7">
      <c r="E9" s="1">
        <v>6</v>
      </c>
      <c r="F9" s="1">
        <v>0.46320699999999998</v>
      </c>
      <c r="G9" s="1">
        <v>0.44211899999999998</v>
      </c>
    </row>
    <row r="10" spans="5:7">
      <c r="E10" s="1">
        <v>7</v>
      </c>
      <c r="F10" s="1">
        <v>0.44176199999999999</v>
      </c>
      <c r="G10" s="1">
        <v>0.473667</v>
      </c>
    </row>
    <row r="11" spans="5:7">
      <c r="E11" s="1">
        <v>8</v>
      </c>
      <c r="F11" s="1">
        <v>0.42647299999999999</v>
      </c>
      <c r="G11" s="1">
        <v>0.45374900000000001</v>
      </c>
    </row>
    <row r="12" spans="5:7">
      <c r="E12" s="1">
        <v>9</v>
      </c>
      <c r="F12" s="1">
        <v>0.39227699999999999</v>
      </c>
      <c r="G12" s="1">
        <v>0.43888300000000002</v>
      </c>
    </row>
    <row r="13" spans="5:7">
      <c r="E13" s="1">
        <v>10</v>
      </c>
      <c r="F13" s="1">
        <v>0.346833</v>
      </c>
      <c r="G13" s="1">
        <v>0.41591899999999998</v>
      </c>
    </row>
    <row r="14" spans="5:7">
      <c r="E14" s="1">
        <v>11</v>
      </c>
      <c r="F14" s="1">
        <v>0.285493</v>
      </c>
      <c r="G14" s="1">
        <v>0.41876099999999999</v>
      </c>
    </row>
    <row r="15" spans="5:7">
      <c r="E15" s="1">
        <v>12</v>
      </c>
      <c r="F15" s="1">
        <v>0.25755099999999997</v>
      </c>
      <c r="G15" s="1">
        <v>0.37884800000000002</v>
      </c>
    </row>
    <row r="16" spans="5:7">
      <c r="E16" s="1">
        <v>13</v>
      </c>
      <c r="F16" s="1">
        <v>0.20948600000000001</v>
      </c>
      <c r="G16" s="1">
        <v>0.34540900000000002</v>
      </c>
    </row>
    <row r="17" spans="5:7">
      <c r="E17" s="1">
        <v>14</v>
      </c>
      <c r="F17" s="1">
        <v>0.175372</v>
      </c>
      <c r="G17" s="1">
        <v>0.28817199999999998</v>
      </c>
    </row>
    <row r="18" spans="5:7">
      <c r="E18" s="1">
        <v>15</v>
      </c>
      <c r="F18" s="1"/>
      <c r="G18" s="1">
        <v>0.25764199999999998</v>
      </c>
    </row>
    <row r="19" spans="5:7">
      <c r="E19" s="1">
        <v>16</v>
      </c>
      <c r="F19" s="1"/>
      <c r="G19" s="1">
        <v>0.189632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89BB4-12E0-4365-8DB9-0427C117A17C}">
  <dimension ref="E5:G21"/>
  <sheetViews>
    <sheetView workbookViewId="0">
      <selection activeCell="S16" sqref="S16"/>
    </sheetView>
  </sheetViews>
  <sheetFormatPr defaultRowHeight="14.4"/>
  <sheetData>
    <row r="5" spans="5:7">
      <c r="E5" s="2"/>
      <c r="F5" s="2" t="s">
        <v>218</v>
      </c>
      <c r="G5" s="2" t="s">
        <v>219</v>
      </c>
    </row>
    <row r="6" spans="5:7">
      <c r="E6" s="1">
        <v>1</v>
      </c>
      <c r="F6" s="1">
        <v>0.17854100000000001</v>
      </c>
      <c r="G6" s="1">
        <v>0.50616300000000003</v>
      </c>
    </row>
    <row r="7" spans="5:7">
      <c r="E7" s="1">
        <v>2</v>
      </c>
      <c r="F7" s="1">
        <v>0.28632600000000002</v>
      </c>
      <c r="G7" s="1">
        <v>0.428041</v>
      </c>
    </row>
    <row r="8" spans="5:7">
      <c r="E8" s="1">
        <v>3</v>
      </c>
      <c r="F8" s="1">
        <v>0.364514</v>
      </c>
      <c r="G8" s="1">
        <v>0.42809399999999997</v>
      </c>
    </row>
    <row r="9" spans="5:7">
      <c r="E9" s="1">
        <v>4</v>
      </c>
      <c r="F9" s="1">
        <v>0.35938999999999999</v>
      </c>
      <c r="G9" s="1">
        <v>0.439189</v>
      </c>
    </row>
    <row r="10" spans="5:7">
      <c r="E10" s="1">
        <v>5</v>
      </c>
      <c r="F10" s="1">
        <v>0.33109899999999998</v>
      </c>
      <c r="G10" s="1">
        <v>0.41898800000000003</v>
      </c>
    </row>
    <row r="11" spans="5:7">
      <c r="E11" s="1">
        <v>6</v>
      </c>
      <c r="F11" s="1">
        <v>0.28384999999999999</v>
      </c>
      <c r="G11" s="1">
        <v>0.40469699999999997</v>
      </c>
    </row>
    <row r="12" spans="5:7">
      <c r="E12" s="1">
        <v>7</v>
      </c>
      <c r="F12" s="1">
        <v>0.21162400000000001</v>
      </c>
      <c r="G12" s="1">
        <v>0.373311</v>
      </c>
    </row>
    <row r="13" spans="5:7">
      <c r="E13" s="1">
        <v>8</v>
      </c>
      <c r="F13" s="1">
        <v>0.184729</v>
      </c>
      <c r="G13" s="1">
        <v>0.33578200000000002</v>
      </c>
    </row>
    <row r="14" spans="5:7">
      <c r="E14" s="1">
        <v>9</v>
      </c>
      <c r="F14" s="1">
        <v>0.131553</v>
      </c>
      <c r="G14" s="1">
        <v>0.25566299999999997</v>
      </c>
    </row>
    <row r="15" spans="5:7">
      <c r="E15" s="1">
        <v>10</v>
      </c>
      <c r="F15" s="1">
        <v>8.1832000000000002E-2</v>
      </c>
      <c r="G15" s="1">
        <v>0.17349600000000001</v>
      </c>
    </row>
    <row r="16" spans="5:7">
      <c r="E16" s="1">
        <v>11</v>
      </c>
      <c r="F16" s="1">
        <v>4.1886E-2</v>
      </c>
      <c r="G16" s="1">
        <v>0.126974</v>
      </c>
    </row>
    <row r="17" spans="5:7">
      <c r="E17" s="1">
        <v>12</v>
      </c>
      <c r="F17" s="1">
        <v>2.2397E-2</v>
      </c>
      <c r="G17" s="1">
        <v>9.5723000000000003E-2</v>
      </c>
    </row>
    <row r="18" spans="5:7">
      <c r="E18" s="1">
        <v>13</v>
      </c>
      <c r="F18" s="1">
        <v>-2.7599999999999999E-3</v>
      </c>
      <c r="G18" s="1">
        <v>6.5395999999999996E-2</v>
      </c>
    </row>
    <row r="19" spans="5:7">
      <c r="E19" s="1">
        <v>14</v>
      </c>
      <c r="F19" s="1">
        <v>1.4021E-2</v>
      </c>
      <c r="G19" s="1">
        <v>5.7269E-2</v>
      </c>
    </row>
    <row r="20" spans="5:7">
      <c r="E20" s="1">
        <v>15</v>
      </c>
      <c r="F20" s="1">
        <v>3.4534000000000002E-2</v>
      </c>
      <c r="G20" s="1">
        <v>5.3763999999999999E-2</v>
      </c>
    </row>
    <row r="21" spans="5:7">
      <c r="E21" s="1">
        <v>16</v>
      </c>
      <c r="F21" s="1">
        <v>3.6074000000000002E-2</v>
      </c>
      <c r="G21" s="1">
        <v>4.027E-2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6A03C-0BAB-45E4-9BDB-AE7F93E6FD59}">
  <dimension ref="D5:W65"/>
  <sheetViews>
    <sheetView topLeftCell="A46" workbookViewId="0">
      <selection activeCell="J63" sqref="J63"/>
    </sheetView>
  </sheetViews>
  <sheetFormatPr defaultRowHeight="14.4"/>
  <cols>
    <col min="4" max="4" width="14.89453125" customWidth="1"/>
  </cols>
  <sheetData>
    <row r="5" spans="4:14">
      <c r="D5" t="s">
        <v>13</v>
      </c>
      <c r="E5" s="2"/>
      <c r="F5" s="39" t="s">
        <v>226</v>
      </c>
      <c r="G5" s="39"/>
      <c r="H5" s="39"/>
      <c r="I5" s="39" t="s">
        <v>227</v>
      </c>
      <c r="J5" s="39"/>
      <c r="K5" s="39"/>
      <c r="L5" s="39" t="s">
        <v>141</v>
      </c>
      <c r="M5" s="39"/>
      <c r="N5" s="39"/>
    </row>
    <row r="6" spans="4:14">
      <c r="E6" s="1">
        <v>1</v>
      </c>
      <c r="F6" s="1">
        <v>19</v>
      </c>
      <c r="G6" s="1">
        <v>19</v>
      </c>
      <c r="H6" s="1">
        <v>17.899999999999999</v>
      </c>
      <c r="I6" s="1">
        <v>16.899999999999999</v>
      </c>
      <c r="J6" s="1">
        <v>19.399999999999999</v>
      </c>
      <c r="K6" s="1">
        <v>18.8</v>
      </c>
      <c r="L6" s="1">
        <v>17</v>
      </c>
      <c r="M6" s="1">
        <v>19</v>
      </c>
      <c r="N6" s="1">
        <v>20.399999999999999</v>
      </c>
    </row>
    <row r="7" spans="4:14">
      <c r="E7" s="1">
        <v>2</v>
      </c>
      <c r="F7" s="1">
        <v>18.7</v>
      </c>
      <c r="G7" s="1">
        <v>18.8</v>
      </c>
      <c r="H7" s="1">
        <v>17.5</v>
      </c>
      <c r="I7" s="1"/>
      <c r="J7" s="1">
        <v>18.7</v>
      </c>
      <c r="K7" s="1">
        <v>18.100000000000001</v>
      </c>
      <c r="L7" s="1">
        <v>17.2</v>
      </c>
      <c r="M7" s="1">
        <v>19.2</v>
      </c>
      <c r="N7" s="1">
        <v>20.5</v>
      </c>
    </row>
    <row r="8" spans="4:14">
      <c r="E8" s="1">
        <v>4</v>
      </c>
      <c r="F8" s="1">
        <v>18.7</v>
      </c>
      <c r="G8" s="1">
        <v>18.5</v>
      </c>
      <c r="H8" s="1">
        <v>17.399999999999999</v>
      </c>
      <c r="I8" s="1"/>
      <c r="J8" s="1"/>
      <c r="K8" s="1"/>
      <c r="L8" s="1">
        <v>17</v>
      </c>
      <c r="M8" s="1">
        <v>19.100000000000001</v>
      </c>
      <c r="N8" s="1">
        <v>20.100000000000001</v>
      </c>
    </row>
    <row r="9" spans="4:14">
      <c r="E9" s="1">
        <v>6</v>
      </c>
      <c r="F9" s="1">
        <v>19</v>
      </c>
      <c r="G9" s="1">
        <v>18.399999999999999</v>
      </c>
      <c r="H9" s="1">
        <v>17</v>
      </c>
      <c r="I9" s="1"/>
      <c r="J9" s="1"/>
      <c r="K9" s="1"/>
      <c r="L9" s="1">
        <v>17.100000000000001</v>
      </c>
      <c r="M9" s="1">
        <v>19</v>
      </c>
      <c r="N9" s="1">
        <v>20</v>
      </c>
    </row>
    <row r="10" spans="4:14">
      <c r="E10" s="1">
        <v>8</v>
      </c>
      <c r="F10" s="1">
        <v>18.600000000000001</v>
      </c>
      <c r="G10" s="1">
        <v>18</v>
      </c>
      <c r="H10" s="1">
        <v>17.2</v>
      </c>
      <c r="I10" s="1"/>
      <c r="J10" s="1"/>
      <c r="K10" s="1"/>
      <c r="L10" s="1">
        <v>17</v>
      </c>
      <c r="M10" s="1">
        <v>19</v>
      </c>
      <c r="N10" s="1">
        <v>20</v>
      </c>
    </row>
    <row r="11" spans="4:14">
      <c r="E11" s="1">
        <v>10</v>
      </c>
      <c r="F11" s="1">
        <v>19.3</v>
      </c>
      <c r="G11" s="1">
        <v>18.899999999999999</v>
      </c>
      <c r="H11" s="1">
        <v>17.3</v>
      </c>
      <c r="I11" s="1"/>
      <c r="J11" s="1"/>
      <c r="K11" s="1"/>
      <c r="L11" s="1">
        <v>17.2</v>
      </c>
      <c r="M11" s="1">
        <v>19.100000000000001</v>
      </c>
      <c r="N11" s="1">
        <v>20</v>
      </c>
    </row>
    <row r="12" spans="4:14">
      <c r="E12" s="1">
        <v>12</v>
      </c>
      <c r="F12" s="1">
        <v>19.399999999999999</v>
      </c>
      <c r="G12" s="1">
        <v>19</v>
      </c>
      <c r="H12" s="1">
        <v>17.600000000000001</v>
      </c>
      <c r="I12" s="1"/>
      <c r="J12" s="1"/>
      <c r="K12" s="1"/>
      <c r="L12" s="1">
        <v>17.3</v>
      </c>
      <c r="M12" s="1">
        <v>19.100000000000001</v>
      </c>
      <c r="N12" s="1">
        <v>19.8</v>
      </c>
    </row>
    <row r="13" spans="4:14">
      <c r="E13" s="1">
        <v>14</v>
      </c>
      <c r="F13" s="1">
        <v>19.5</v>
      </c>
      <c r="G13" s="1">
        <v>19</v>
      </c>
      <c r="H13" s="1">
        <v>17.5</v>
      </c>
      <c r="I13" s="1"/>
      <c r="J13" s="1"/>
      <c r="K13" s="1"/>
      <c r="L13" s="1">
        <v>17.399999999999999</v>
      </c>
      <c r="M13" s="1">
        <v>19</v>
      </c>
      <c r="N13" s="1">
        <v>19.399999999999999</v>
      </c>
    </row>
    <row r="18" spans="4:23">
      <c r="D18" t="s">
        <v>22</v>
      </c>
      <c r="E18" s="2"/>
      <c r="F18" s="39" t="s">
        <v>228</v>
      </c>
      <c r="G18" s="39"/>
      <c r="H18" s="39"/>
      <c r="I18" s="39" t="s">
        <v>229</v>
      </c>
      <c r="J18" s="39"/>
      <c r="K18" s="39"/>
      <c r="L18" s="39" t="s">
        <v>230</v>
      </c>
      <c r="M18" s="39"/>
      <c r="N18" s="39"/>
      <c r="O18" s="39" t="s">
        <v>142</v>
      </c>
      <c r="P18" s="39"/>
      <c r="Q18" s="39"/>
      <c r="R18" s="39" t="s">
        <v>143</v>
      </c>
      <c r="S18" s="39"/>
      <c r="T18" s="39"/>
      <c r="U18" s="39" t="s">
        <v>144</v>
      </c>
      <c r="V18" s="39"/>
      <c r="W18" s="39"/>
    </row>
    <row r="19" spans="4:23">
      <c r="E19" s="1">
        <v>1</v>
      </c>
      <c r="F19" s="1">
        <v>22.5</v>
      </c>
      <c r="G19" s="1">
        <v>20.399999999999999</v>
      </c>
      <c r="H19" s="1">
        <v>22.4</v>
      </c>
      <c r="I19" s="1">
        <v>21.5</v>
      </c>
      <c r="J19" s="1">
        <v>19.2</v>
      </c>
      <c r="K19" s="1">
        <v>21.4</v>
      </c>
      <c r="L19" s="1">
        <v>19.8</v>
      </c>
      <c r="M19" s="1">
        <v>21.4</v>
      </c>
      <c r="N19" s="1">
        <v>20.9</v>
      </c>
      <c r="O19" s="1">
        <v>20.8</v>
      </c>
      <c r="P19" s="1">
        <v>21.6</v>
      </c>
      <c r="Q19" s="1">
        <v>20.100000000000001</v>
      </c>
      <c r="R19" s="1">
        <v>21.8</v>
      </c>
      <c r="S19" s="1">
        <v>20.399999999999999</v>
      </c>
      <c r="T19" s="1">
        <v>20.7</v>
      </c>
      <c r="U19" s="1">
        <v>20.399999999999999</v>
      </c>
      <c r="V19" s="1">
        <v>22.5</v>
      </c>
      <c r="W19" s="1">
        <v>20.8</v>
      </c>
    </row>
    <row r="20" spans="4:23">
      <c r="E20" s="1">
        <v>2</v>
      </c>
      <c r="F20" s="1">
        <v>22.4</v>
      </c>
      <c r="G20" s="1">
        <v>20.5</v>
      </c>
      <c r="H20" s="1">
        <v>22.5</v>
      </c>
      <c r="I20" s="1">
        <v>21.4</v>
      </c>
      <c r="J20" s="1">
        <v>19.100000000000001</v>
      </c>
      <c r="K20" s="1">
        <v>21.6</v>
      </c>
      <c r="L20" s="1">
        <v>19.5</v>
      </c>
      <c r="M20" s="1">
        <v>20.399999999999999</v>
      </c>
      <c r="N20" s="1">
        <v>19.399999999999999</v>
      </c>
      <c r="O20" s="1">
        <v>19.399999999999999</v>
      </c>
      <c r="P20" s="1">
        <v>20.100000000000001</v>
      </c>
      <c r="Q20" s="1">
        <v>18.100000000000001</v>
      </c>
      <c r="R20" s="1">
        <v>19.399999999999999</v>
      </c>
      <c r="S20" s="1">
        <v>18.399999999999999</v>
      </c>
      <c r="T20" s="1">
        <v>17.5</v>
      </c>
      <c r="U20" s="1">
        <v>16.5</v>
      </c>
      <c r="V20" s="1">
        <v>18.7</v>
      </c>
      <c r="W20" s="1">
        <v>17.100000000000001</v>
      </c>
    </row>
    <row r="21" spans="4:23">
      <c r="E21" s="1">
        <v>4</v>
      </c>
      <c r="F21" s="1">
        <v>22.1</v>
      </c>
      <c r="G21" s="1">
        <v>20.3</v>
      </c>
      <c r="H21" s="1">
        <v>22.1</v>
      </c>
      <c r="I21" s="1">
        <v>21.3</v>
      </c>
      <c r="J21" s="1">
        <v>19.3</v>
      </c>
      <c r="K21" s="1">
        <v>21.3</v>
      </c>
      <c r="L21" s="1">
        <v>19.2</v>
      </c>
      <c r="M21" s="1">
        <v>20.2</v>
      </c>
      <c r="N21" s="1">
        <v>19.3</v>
      </c>
      <c r="O21" s="1">
        <v>18.2</v>
      </c>
      <c r="P21" s="1">
        <v>19.399999999999999</v>
      </c>
      <c r="Q21" s="1">
        <v>17.399999999999999</v>
      </c>
      <c r="R21" s="1"/>
      <c r="S21" s="1"/>
      <c r="T21" s="1"/>
      <c r="U21" s="1"/>
      <c r="V21" s="1"/>
      <c r="W21" s="1"/>
    </row>
    <row r="22" spans="4:23">
      <c r="E22" s="1">
        <v>6</v>
      </c>
      <c r="F22" s="1">
        <v>22</v>
      </c>
      <c r="G22" s="1">
        <v>20</v>
      </c>
      <c r="H22" s="1">
        <v>22.3</v>
      </c>
      <c r="I22" s="1">
        <v>21.1</v>
      </c>
      <c r="J22" s="1">
        <v>19.100000000000001</v>
      </c>
      <c r="K22" s="1">
        <v>21.2</v>
      </c>
      <c r="L22" s="1">
        <v>17</v>
      </c>
      <c r="M22" s="1">
        <v>19.3</v>
      </c>
      <c r="N22" s="1">
        <v>18.899999999999999</v>
      </c>
      <c r="O22" s="1"/>
      <c r="P22" s="1"/>
      <c r="Q22" s="1"/>
      <c r="R22" s="1"/>
      <c r="S22" s="1"/>
      <c r="T22" s="1"/>
      <c r="U22" s="1"/>
      <c r="V22" s="1"/>
      <c r="W22" s="1"/>
    </row>
    <row r="23" spans="4:23">
      <c r="E23" s="1">
        <v>8</v>
      </c>
      <c r="F23" s="1">
        <v>22.3</v>
      </c>
      <c r="G23" s="1">
        <v>20.3</v>
      </c>
      <c r="H23" s="1">
        <v>22.5</v>
      </c>
      <c r="I23" s="1">
        <v>21.6</v>
      </c>
      <c r="J23" s="1">
        <v>19.2</v>
      </c>
      <c r="K23" s="1">
        <v>21.4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4:23">
      <c r="E24" s="1">
        <v>10</v>
      </c>
      <c r="F24" s="1">
        <v>22.4</v>
      </c>
      <c r="G24" s="1">
        <v>20.399999999999999</v>
      </c>
      <c r="H24" s="1">
        <v>22.6</v>
      </c>
      <c r="I24" s="1">
        <v>21.5</v>
      </c>
      <c r="J24" s="1">
        <v>19.100000000000001</v>
      </c>
      <c r="K24" s="1">
        <v>21.3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4:23">
      <c r="E25" s="1">
        <v>12</v>
      </c>
      <c r="F25" s="1">
        <v>22.2</v>
      </c>
      <c r="G25" s="1">
        <v>20.3</v>
      </c>
      <c r="H25" s="1">
        <v>22.3</v>
      </c>
      <c r="I25" s="1">
        <v>21.3</v>
      </c>
      <c r="J25" s="1">
        <v>19.2</v>
      </c>
      <c r="K25" s="1">
        <v>21.4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4:23">
      <c r="E26" s="1">
        <v>14</v>
      </c>
      <c r="F26" s="1">
        <v>22.4</v>
      </c>
      <c r="G26" s="1">
        <v>20.3</v>
      </c>
      <c r="H26" s="1">
        <v>22.5</v>
      </c>
      <c r="I26" s="1">
        <v>21.5</v>
      </c>
      <c r="J26" s="1">
        <v>19</v>
      </c>
      <c r="K26" s="1">
        <v>21.3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32" spans="4:23">
      <c r="D32" t="s">
        <v>15</v>
      </c>
      <c r="E32" s="2"/>
      <c r="F32" s="39" t="s">
        <v>231</v>
      </c>
      <c r="G32" s="39"/>
      <c r="H32" s="39"/>
      <c r="I32" s="39" t="s">
        <v>232</v>
      </c>
      <c r="J32" s="39"/>
      <c r="K32" s="39"/>
      <c r="L32" s="39"/>
      <c r="M32" s="39"/>
      <c r="N32" s="39"/>
      <c r="O32" s="39"/>
      <c r="P32" s="39"/>
      <c r="Q32" s="39"/>
    </row>
    <row r="33" spans="4:20">
      <c r="E33" s="1">
        <v>1</v>
      </c>
      <c r="F33" s="1">
        <v>22.8</v>
      </c>
      <c r="G33" s="1">
        <v>24.5</v>
      </c>
      <c r="H33" s="1">
        <v>22.4</v>
      </c>
      <c r="I33" s="1">
        <v>22.2</v>
      </c>
      <c r="J33" s="1">
        <v>22.6</v>
      </c>
      <c r="K33" s="1">
        <v>21.6</v>
      </c>
      <c r="L33" s="1"/>
      <c r="M33" s="1"/>
      <c r="N33" s="1"/>
      <c r="O33" s="1"/>
      <c r="P33" s="1"/>
      <c r="Q33" s="1"/>
    </row>
    <row r="34" spans="4:20">
      <c r="E34" s="1">
        <v>2</v>
      </c>
      <c r="F34" s="1">
        <v>20.7</v>
      </c>
      <c r="G34" s="1">
        <v>23.1</v>
      </c>
      <c r="H34" s="1">
        <v>20.3</v>
      </c>
      <c r="I34" s="1">
        <v>20.5</v>
      </c>
      <c r="J34" s="1">
        <v>20.7</v>
      </c>
      <c r="K34" s="1"/>
      <c r="L34" s="1"/>
      <c r="M34" s="1"/>
      <c r="N34" s="1"/>
      <c r="O34" s="1"/>
      <c r="P34" s="1"/>
      <c r="Q34" s="1"/>
    </row>
    <row r="35" spans="4:20">
      <c r="E35" s="1">
        <v>4</v>
      </c>
      <c r="F35" s="1">
        <v>23.3</v>
      </c>
      <c r="G35" s="1">
        <v>23.7</v>
      </c>
      <c r="H35" s="1">
        <v>22.5</v>
      </c>
      <c r="I35" s="1"/>
      <c r="J35" s="1"/>
      <c r="K35" s="1"/>
      <c r="L35" s="1"/>
      <c r="M35" s="1"/>
      <c r="N35" s="1"/>
      <c r="O35" s="1"/>
      <c r="P35" s="1"/>
      <c r="Q35" s="1"/>
    </row>
    <row r="36" spans="4:20">
      <c r="E36" s="1">
        <v>6</v>
      </c>
      <c r="F36" s="1">
        <v>24.8</v>
      </c>
      <c r="G36" s="1">
        <v>24.3</v>
      </c>
      <c r="H36" s="1">
        <v>23.7</v>
      </c>
      <c r="I36" s="1"/>
      <c r="J36" s="1"/>
      <c r="K36" s="1"/>
      <c r="L36" s="1"/>
      <c r="M36" s="1"/>
      <c r="N36" s="1"/>
      <c r="O36" s="1"/>
      <c r="P36" s="1"/>
      <c r="Q36" s="1"/>
    </row>
    <row r="37" spans="4:20">
      <c r="E37" s="1">
        <v>8</v>
      </c>
      <c r="F37" s="1">
        <v>24.7</v>
      </c>
      <c r="G37" s="1">
        <v>23.8</v>
      </c>
      <c r="H37" s="1">
        <v>24.9</v>
      </c>
      <c r="I37" s="1"/>
      <c r="J37" s="1"/>
      <c r="K37" s="1"/>
      <c r="L37" s="1"/>
      <c r="M37" s="1"/>
      <c r="N37" s="1"/>
      <c r="O37" s="1"/>
      <c r="P37" s="1"/>
      <c r="Q37" s="1"/>
    </row>
    <row r="38" spans="4:20">
      <c r="E38" s="1">
        <v>10</v>
      </c>
      <c r="F38" s="1">
        <v>25.5</v>
      </c>
      <c r="G38" s="1">
        <v>24.6</v>
      </c>
      <c r="H38" s="1">
        <v>23.7</v>
      </c>
      <c r="I38" s="1"/>
      <c r="J38" s="1"/>
      <c r="K38" s="1"/>
      <c r="L38" s="1"/>
      <c r="M38" s="1"/>
      <c r="N38" s="1"/>
      <c r="O38" s="1"/>
      <c r="P38" s="1"/>
      <c r="Q38" s="1"/>
    </row>
    <row r="39" spans="4:20">
      <c r="E39" s="1">
        <v>12</v>
      </c>
      <c r="F39" s="1">
        <v>25.2</v>
      </c>
      <c r="G39" s="1">
        <v>24.5</v>
      </c>
      <c r="H39" s="1">
        <v>24.1</v>
      </c>
      <c r="I39" s="1"/>
      <c r="J39" s="1"/>
      <c r="K39" s="1"/>
      <c r="L39" s="1"/>
      <c r="M39" s="1"/>
      <c r="N39" s="1"/>
      <c r="O39" s="1"/>
      <c r="P39" s="1"/>
      <c r="Q39" s="1"/>
    </row>
    <row r="40" spans="4:20">
      <c r="E40" s="1">
        <v>14</v>
      </c>
      <c r="F40" s="1">
        <v>26</v>
      </c>
      <c r="G40" s="1">
        <v>25.9</v>
      </c>
      <c r="H40" s="1">
        <v>25.5</v>
      </c>
      <c r="I40" s="1"/>
      <c r="J40" s="1"/>
      <c r="K40" s="1"/>
      <c r="L40" s="1"/>
      <c r="M40" s="1"/>
      <c r="N40" s="1"/>
      <c r="O40" s="1"/>
      <c r="P40" s="1"/>
      <c r="Q40" s="1"/>
    </row>
    <row r="44" spans="4:20">
      <c r="D44" t="s">
        <v>16</v>
      </c>
      <c r="E44" s="2"/>
      <c r="F44" s="39" t="s">
        <v>230</v>
      </c>
      <c r="G44" s="39"/>
      <c r="H44" s="39"/>
      <c r="I44" s="39" t="s">
        <v>143</v>
      </c>
      <c r="J44" s="39"/>
      <c r="K44" s="39"/>
      <c r="L44" s="39" t="s">
        <v>144</v>
      </c>
      <c r="M44" s="39"/>
      <c r="N44" s="39"/>
      <c r="O44" s="39" t="s">
        <v>231</v>
      </c>
      <c r="P44" s="39"/>
      <c r="Q44" s="39"/>
      <c r="R44" s="39" t="s">
        <v>232</v>
      </c>
      <c r="S44" s="39"/>
      <c r="T44" s="39"/>
    </row>
    <row r="45" spans="4:20">
      <c r="E45" s="1">
        <v>1</v>
      </c>
      <c r="F45" s="1">
        <v>23.2</v>
      </c>
      <c r="G45" s="1">
        <v>19.7</v>
      </c>
      <c r="H45" s="1">
        <v>21.2</v>
      </c>
      <c r="I45" s="1">
        <v>20.3</v>
      </c>
      <c r="J45" s="1">
        <v>17.100000000000001</v>
      </c>
      <c r="K45" s="1">
        <v>22</v>
      </c>
      <c r="L45" s="1">
        <v>20.5</v>
      </c>
      <c r="M45" s="1">
        <v>20.3</v>
      </c>
      <c r="N45" s="1">
        <v>17.899999999999999</v>
      </c>
      <c r="O45" s="1">
        <v>20.3</v>
      </c>
      <c r="P45" s="1">
        <v>20.399999999999999</v>
      </c>
      <c r="Q45" s="1">
        <v>19.7</v>
      </c>
      <c r="R45" s="1">
        <v>22.3</v>
      </c>
      <c r="S45" s="1">
        <v>18.5</v>
      </c>
      <c r="T45" s="1">
        <v>20</v>
      </c>
    </row>
    <row r="46" spans="4:20">
      <c r="E46" s="1">
        <v>2</v>
      </c>
      <c r="F46" s="1">
        <v>22.1</v>
      </c>
      <c r="G46" s="1">
        <v>19.2</v>
      </c>
      <c r="H46" s="1">
        <v>19.899999999999999</v>
      </c>
      <c r="I46" s="1">
        <v>19.100000000000001</v>
      </c>
      <c r="J46" s="1">
        <v>16</v>
      </c>
      <c r="K46" s="1">
        <v>20.7</v>
      </c>
      <c r="L46" s="1">
        <v>19.399999999999999</v>
      </c>
      <c r="M46" s="1">
        <v>19</v>
      </c>
      <c r="N46" s="1">
        <v>15.8</v>
      </c>
      <c r="O46" s="1">
        <v>17.8</v>
      </c>
      <c r="P46" s="1">
        <v>19.100000000000001</v>
      </c>
      <c r="Q46" s="1"/>
      <c r="R46" s="1"/>
      <c r="S46" s="1"/>
      <c r="T46" s="1"/>
    </row>
    <row r="47" spans="4:20">
      <c r="E47" s="1">
        <v>4</v>
      </c>
      <c r="F47" s="1">
        <v>21.7</v>
      </c>
      <c r="G47" s="1">
        <v>19.3</v>
      </c>
      <c r="H47" s="1">
        <v>19.2</v>
      </c>
      <c r="I47" s="1">
        <v>19.2</v>
      </c>
      <c r="J47" s="1">
        <v>15.7</v>
      </c>
      <c r="K47" s="1">
        <v>21.2</v>
      </c>
      <c r="L47" s="1">
        <v>19.399999999999999</v>
      </c>
      <c r="M47" s="1">
        <v>19.100000000000001</v>
      </c>
      <c r="N47" s="1">
        <v>14</v>
      </c>
      <c r="O47" s="1"/>
      <c r="P47" s="1"/>
      <c r="Q47" s="1"/>
      <c r="R47" s="1"/>
      <c r="S47" s="1"/>
      <c r="T47" s="1"/>
    </row>
    <row r="48" spans="4:20">
      <c r="E48" s="1">
        <v>6</v>
      </c>
      <c r="F48" s="1">
        <v>21.2</v>
      </c>
      <c r="G48" s="1">
        <v>19</v>
      </c>
      <c r="H48" s="1">
        <v>19</v>
      </c>
      <c r="I48" s="1">
        <v>18.600000000000001</v>
      </c>
      <c r="J48" s="1">
        <v>15.7</v>
      </c>
      <c r="K48" s="1">
        <v>21.6</v>
      </c>
      <c r="L48" s="1"/>
      <c r="M48" s="1"/>
      <c r="N48" s="1"/>
      <c r="O48" s="1"/>
      <c r="P48" s="1"/>
      <c r="Q48" s="1"/>
      <c r="R48" s="1"/>
      <c r="S48" s="1"/>
      <c r="T48" s="1"/>
    </row>
    <row r="49" spans="4:20">
      <c r="E49" s="1">
        <v>8</v>
      </c>
      <c r="F49" s="1">
        <v>21.6</v>
      </c>
      <c r="G49" s="1">
        <v>19.7</v>
      </c>
      <c r="H49" s="1">
        <v>17.899999999999999</v>
      </c>
      <c r="I49" s="1">
        <v>18.600000000000001</v>
      </c>
      <c r="J49" s="1">
        <v>16.3</v>
      </c>
      <c r="K49" s="1">
        <v>21.2</v>
      </c>
      <c r="L49" s="1"/>
      <c r="M49" s="1"/>
      <c r="N49" s="1"/>
      <c r="O49" s="1"/>
      <c r="P49" s="1"/>
      <c r="Q49" s="1"/>
      <c r="R49" s="1"/>
      <c r="S49" s="1"/>
      <c r="T49" s="1"/>
    </row>
    <row r="50" spans="4:20">
      <c r="E50" s="1">
        <v>10</v>
      </c>
      <c r="F50" s="1">
        <v>22.5</v>
      </c>
      <c r="G50" s="1">
        <v>20.100000000000001</v>
      </c>
      <c r="H50" s="1">
        <v>18.899999999999999</v>
      </c>
      <c r="I50" s="1">
        <v>19.3</v>
      </c>
      <c r="J50" s="1">
        <v>16.100000000000001</v>
      </c>
      <c r="K50" s="1">
        <v>21</v>
      </c>
      <c r="L50" s="1"/>
      <c r="M50" s="1"/>
      <c r="N50" s="1"/>
      <c r="O50" s="1"/>
      <c r="P50" s="1"/>
      <c r="Q50" s="1"/>
      <c r="R50" s="1"/>
      <c r="S50" s="1"/>
      <c r="T50" s="1"/>
    </row>
    <row r="51" spans="4:20">
      <c r="E51" s="1">
        <v>12</v>
      </c>
      <c r="F51" s="1">
        <v>21.8</v>
      </c>
      <c r="G51" s="1">
        <v>20.5</v>
      </c>
      <c r="H51" s="1">
        <v>19.899999999999999</v>
      </c>
      <c r="I51" s="1">
        <v>19.5</v>
      </c>
      <c r="J51" s="1">
        <v>16.5</v>
      </c>
      <c r="K51" s="1">
        <v>21</v>
      </c>
      <c r="L51" s="1"/>
      <c r="M51" s="1"/>
      <c r="N51" s="1"/>
      <c r="O51" s="1"/>
      <c r="P51" s="1"/>
      <c r="Q51" s="1"/>
      <c r="R51" s="1"/>
      <c r="S51" s="1"/>
      <c r="T51" s="1"/>
    </row>
    <row r="52" spans="4:20">
      <c r="E52" s="1">
        <v>14</v>
      </c>
      <c r="F52" s="1">
        <v>22.4</v>
      </c>
      <c r="G52" s="1">
        <v>21.2</v>
      </c>
      <c r="H52" s="1">
        <v>22.4</v>
      </c>
      <c r="I52" s="1">
        <v>19</v>
      </c>
      <c r="J52" s="1">
        <v>16.7</v>
      </c>
      <c r="K52" s="1">
        <v>21.5</v>
      </c>
      <c r="L52" s="1"/>
      <c r="M52" s="1"/>
      <c r="N52" s="1"/>
      <c r="O52" s="1"/>
      <c r="P52" s="1"/>
      <c r="Q52" s="1"/>
      <c r="R52" s="1"/>
      <c r="S52" s="1"/>
      <c r="T52" s="1"/>
    </row>
    <row r="57" spans="4:20">
      <c r="D57" t="s">
        <v>17</v>
      </c>
      <c r="E57" s="2"/>
      <c r="F57" s="39" t="s">
        <v>230</v>
      </c>
      <c r="G57" s="39"/>
      <c r="H57" s="39"/>
      <c r="I57" s="39" t="s">
        <v>144</v>
      </c>
      <c r="J57" s="39"/>
      <c r="K57" s="39"/>
      <c r="L57" s="39" t="s">
        <v>231</v>
      </c>
      <c r="M57" s="39"/>
      <c r="N57" s="39"/>
      <c r="O57" s="39" t="s">
        <v>232</v>
      </c>
      <c r="P57" s="39"/>
      <c r="Q57" s="39"/>
    </row>
    <row r="58" spans="4:20">
      <c r="E58" s="1">
        <v>1</v>
      </c>
      <c r="F58" s="1">
        <v>20.399999999999999</v>
      </c>
      <c r="G58" s="1">
        <v>21.4</v>
      </c>
      <c r="H58" s="1">
        <v>18.8</v>
      </c>
      <c r="I58" s="1">
        <v>16.5</v>
      </c>
      <c r="J58" s="1">
        <v>19.7</v>
      </c>
      <c r="K58" s="1">
        <v>21.1</v>
      </c>
      <c r="L58" s="1">
        <v>20.8</v>
      </c>
      <c r="M58" s="1">
        <v>18.100000000000001</v>
      </c>
      <c r="N58" s="1">
        <v>19.7</v>
      </c>
      <c r="O58" s="1">
        <v>19.100000000000001</v>
      </c>
      <c r="P58" s="1">
        <v>18.5</v>
      </c>
      <c r="Q58" s="1">
        <v>17.7</v>
      </c>
    </row>
    <row r="59" spans="4:20">
      <c r="E59" s="1">
        <v>2</v>
      </c>
      <c r="F59" s="1">
        <v>19.8</v>
      </c>
      <c r="G59" s="1">
        <v>20.5</v>
      </c>
      <c r="H59" s="1">
        <v>18</v>
      </c>
      <c r="I59" s="1">
        <v>15.5</v>
      </c>
      <c r="J59" s="1">
        <v>19.399999999999999</v>
      </c>
      <c r="K59" s="1">
        <v>21.5</v>
      </c>
      <c r="L59" s="1">
        <v>19.399999999999999</v>
      </c>
      <c r="M59" s="1">
        <v>17.5</v>
      </c>
      <c r="N59" s="1">
        <v>17.899999999999999</v>
      </c>
      <c r="O59" s="1">
        <v>18.2</v>
      </c>
      <c r="P59" s="1">
        <v>17</v>
      </c>
      <c r="Q59" s="1">
        <v>16.5</v>
      </c>
    </row>
    <row r="60" spans="4:20">
      <c r="E60" s="1">
        <v>4</v>
      </c>
      <c r="F60" s="1">
        <v>20.2</v>
      </c>
      <c r="G60" s="1">
        <v>21.3</v>
      </c>
      <c r="H60" s="1">
        <v>18.399999999999999</v>
      </c>
      <c r="I60" s="1">
        <v>16.899999999999999</v>
      </c>
      <c r="J60" s="1">
        <v>20</v>
      </c>
      <c r="K60" s="1">
        <v>22.5</v>
      </c>
      <c r="L60" s="1">
        <v>20.6</v>
      </c>
      <c r="M60" s="1">
        <v>18.5</v>
      </c>
      <c r="N60" s="1">
        <v>18.5</v>
      </c>
      <c r="O60" s="1"/>
      <c r="P60" s="1"/>
      <c r="Q60" s="1"/>
    </row>
    <row r="61" spans="4:20">
      <c r="E61" s="1">
        <v>6</v>
      </c>
      <c r="F61" s="1">
        <v>20.399999999999999</v>
      </c>
      <c r="G61" s="1">
        <v>21.5</v>
      </c>
      <c r="H61" s="1">
        <v>18.8</v>
      </c>
      <c r="I61" s="1">
        <v>17.7</v>
      </c>
      <c r="J61" s="1">
        <v>20.3</v>
      </c>
      <c r="K61" s="1">
        <v>22.1</v>
      </c>
      <c r="L61" s="1">
        <v>20.7</v>
      </c>
      <c r="M61" s="1">
        <v>18.5</v>
      </c>
      <c r="N61" s="1">
        <v>19</v>
      </c>
      <c r="O61" s="1"/>
      <c r="P61" s="1"/>
      <c r="Q61" s="1"/>
    </row>
    <row r="62" spans="4:20">
      <c r="E62" s="1">
        <v>8</v>
      </c>
      <c r="F62" s="1">
        <v>19.8</v>
      </c>
      <c r="G62" s="1">
        <v>21.3</v>
      </c>
      <c r="H62" s="1">
        <v>18.7</v>
      </c>
      <c r="I62" s="1">
        <v>17.5</v>
      </c>
      <c r="J62" s="1">
        <v>20.100000000000001</v>
      </c>
      <c r="K62" s="1">
        <v>22.2</v>
      </c>
      <c r="L62" s="1">
        <v>21.2</v>
      </c>
      <c r="M62" s="1">
        <v>18.3</v>
      </c>
      <c r="N62" s="1">
        <v>20.100000000000001</v>
      </c>
      <c r="O62" s="1"/>
      <c r="P62" s="1"/>
      <c r="Q62" s="1"/>
    </row>
    <row r="63" spans="4:20">
      <c r="E63" s="1">
        <v>10</v>
      </c>
      <c r="F63" s="1">
        <v>19.7</v>
      </c>
      <c r="G63" s="1">
        <v>21.3</v>
      </c>
      <c r="H63" s="1">
        <v>18.7</v>
      </c>
      <c r="I63" s="1">
        <v>17.600000000000001</v>
      </c>
      <c r="J63" s="1">
        <v>20.399999999999999</v>
      </c>
      <c r="K63" s="1">
        <v>22.5</v>
      </c>
      <c r="L63" s="1">
        <v>21.5</v>
      </c>
      <c r="M63" s="1">
        <v>17.899999999999999</v>
      </c>
      <c r="N63" s="1">
        <v>20.5</v>
      </c>
      <c r="O63" s="1"/>
      <c r="P63" s="1"/>
      <c r="Q63" s="1"/>
    </row>
    <row r="64" spans="4:20">
      <c r="E64" s="1">
        <v>12</v>
      </c>
      <c r="F64" s="1">
        <v>20.3</v>
      </c>
      <c r="G64" s="1">
        <v>21.4</v>
      </c>
      <c r="H64" s="1">
        <v>19</v>
      </c>
      <c r="I64" s="1">
        <v>18</v>
      </c>
      <c r="J64" s="1">
        <v>20.3</v>
      </c>
      <c r="K64" s="1">
        <v>22.6</v>
      </c>
      <c r="L64" s="1">
        <v>21.3</v>
      </c>
      <c r="M64" s="1">
        <v>17.8</v>
      </c>
      <c r="N64" s="1">
        <v>20</v>
      </c>
      <c r="O64" s="1"/>
      <c r="P64" s="1"/>
      <c r="Q64" s="1"/>
    </row>
    <row r="65" spans="5:17">
      <c r="E65" s="1">
        <v>14</v>
      </c>
      <c r="F65" s="1">
        <v>20.6</v>
      </c>
      <c r="G65" s="1">
        <v>21.4</v>
      </c>
      <c r="H65" s="1">
        <v>19.100000000000001</v>
      </c>
      <c r="I65" s="1">
        <v>18.399999999999999</v>
      </c>
      <c r="J65" s="1">
        <v>20.8</v>
      </c>
      <c r="K65" s="1">
        <v>22.9</v>
      </c>
      <c r="L65" s="1">
        <v>21.3</v>
      </c>
      <c r="M65" s="1">
        <v>17.5</v>
      </c>
      <c r="N65" s="1">
        <v>19.399999999999999</v>
      </c>
      <c r="O65" s="1"/>
      <c r="P65" s="1"/>
      <c r="Q65" s="1"/>
    </row>
  </sheetData>
  <mergeCells count="22">
    <mergeCell ref="F5:H5"/>
    <mergeCell ref="I5:K5"/>
    <mergeCell ref="L5:N5"/>
    <mergeCell ref="F18:H18"/>
    <mergeCell ref="I18:K18"/>
    <mergeCell ref="L18:N18"/>
    <mergeCell ref="R44:T44"/>
    <mergeCell ref="R18:T18"/>
    <mergeCell ref="U18:W18"/>
    <mergeCell ref="F32:H32"/>
    <mergeCell ref="I32:K32"/>
    <mergeCell ref="L32:N32"/>
    <mergeCell ref="O32:Q32"/>
    <mergeCell ref="O18:Q18"/>
    <mergeCell ref="F57:H57"/>
    <mergeCell ref="I57:K57"/>
    <mergeCell ref="L57:N57"/>
    <mergeCell ref="O57:Q57"/>
    <mergeCell ref="F44:H44"/>
    <mergeCell ref="I44:K44"/>
    <mergeCell ref="L44:N44"/>
    <mergeCell ref="O44:Q4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E7D2-DA1C-4CF4-B50A-11C5D540D699}">
  <dimension ref="A5:S19"/>
  <sheetViews>
    <sheetView workbookViewId="0">
      <selection activeCell="E25" sqref="E25"/>
    </sheetView>
  </sheetViews>
  <sheetFormatPr defaultRowHeight="14.4"/>
  <cols>
    <col min="1" max="1" width="38.3671875" customWidth="1"/>
  </cols>
  <sheetData>
    <row r="5" spans="1:19">
      <c r="A5" s="7"/>
      <c r="B5" s="39" t="s">
        <v>6</v>
      </c>
      <c r="C5" s="39"/>
      <c r="D5" s="39"/>
      <c r="E5" s="39" t="s">
        <v>38</v>
      </c>
      <c r="F5" s="39"/>
      <c r="G5" s="39"/>
      <c r="H5" s="39" t="s">
        <v>39</v>
      </c>
      <c r="I5" s="39"/>
      <c r="J5" s="39"/>
      <c r="K5" s="39" t="s">
        <v>40</v>
      </c>
      <c r="L5" s="39"/>
      <c r="M5" s="39"/>
      <c r="N5" s="39" t="s">
        <v>41</v>
      </c>
      <c r="O5" s="39"/>
      <c r="P5" s="39"/>
      <c r="Q5" s="39" t="s">
        <v>42</v>
      </c>
      <c r="R5" s="39"/>
      <c r="S5" s="39"/>
    </row>
    <row r="6" spans="1:19">
      <c r="A6" s="7" t="s">
        <v>47</v>
      </c>
      <c r="B6" s="1">
        <v>54.5</v>
      </c>
      <c r="C6" s="1">
        <v>53.4</v>
      </c>
      <c r="D6" s="1">
        <v>54</v>
      </c>
      <c r="E6" s="1">
        <v>41.5</v>
      </c>
      <c r="F6" s="1">
        <v>41</v>
      </c>
      <c r="G6" s="1">
        <v>41.4</v>
      </c>
      <c r="H6" s="1">
        <v>42.3</v>
      </c>
      <c r="I6" s="1">
        <v>40.799999999999997</v>
      </c>
      <c r="J6" s="1">
        <v>44.5</v>
      </c>
      <c r="K6" s="1">
        <v>53.5</v>
      </c>
      <c r="L6" s="1">
        <v>54</v>
      </c>
      <c r="M6" s="1">
        <v>52.2</v>
      </c>
      <c r="N6" s="1">
        <v>51.1</v>
      </c>
      <c r="O6" s="1">
        <v>53.4</v>
      </c>
      <c r="P6" s="1">
        <v>53.8</v>
      </c>
      <c r="Q6" s="1">
        <v>49.9</v>
      </c>
      <c r="R6" s="1">
        <v>49.7</v>
      </c>
      <c r="S6" s="1">
        <v>50.6</v>
      </c>
    </row>
    <row r="7" spans="1:19">
      <c r="A7" s="7"/>
    </row>
    <row r="8" spans="1:19">
      <c r="A8" s="7" t="s">
        <v>48</v>
      </c>
      <c r="B8" s="1">
        <v>29</v>
      </c>
      <c r="C8" s="1">
        <v>32.200000000000003</v>
      </c>
      <c r="D8" s="1">
        <v>31</v>
      </c>
      <c r="E8" s="1">
        <v>41.6</v>
      </c>
      <c r="F8" s="1">
        <v>37.700000000000003</v>
      </c>
      <c r="G8" s="1">
        <v>39.799999999999997</v>
      </c>
      <c r="H8" s="1">
        <v>38.6</v>
      </c>
      <c r="I8" s="1">
        <v>40.200000000000003</v>
      </c>
      <c r="J8" s="1">
        <v>36.700000000000003</v>
      </c>
      <c r="K8" s="1">
        <v>29.9</v>
      </c>
      <c r="L8" s="1">
        <v>32.4</v>
      </c>
      <c r="M8" s="1">
        <v>31</v>
      </c>
      <c r="N8" s="1">
        <v>32.9</v>
      </c>
      <c r="O8" s="1">
        <v>31.2</v>
      </c>
      <c r="P8" s="1">
        <v>31.4</v>
      </c>
      <c r="Q8" s="1">
        <v>31.6</v>
      </c>
      <c r="R8" s="1">
        <v>31.8</v>
      </c>
      <c r="S8" s="1">
        <v>30.5</v>
      </c>
    </row>
    <row r="9" spans="1:19">
      <c r="A9" s="7"/>
    </row>
    <row r="10" spans="1:19">
      <c r="A10" s="7" t="s">
        <v>49</v>
      </c>
      <c r="B10" s="28">
        <v>45.1</v>
      </c>
      <c r="C10" s="1">
        <v>39.799999999999997</v>
      </c>
      <c r="D10" s="1">
        <v>44.8</v>
      </c>
      <c r="E10" s="1">
        <v>30.5</v>
      </c>
      <c r="F10" s="1">
        <v>35.5</v>
      </c>
      <c r="G10" s="1">
        <v>32.4</v>
      </c>
      <c r="H10" s="1">
        <v>31.2</v>
      </c>
      <c r="I10" s="1">
        <v>33.700000000000003</v>
      </c>
      <c r="J10" s="1">
        <v>30.8</v>
      </c>
      <c r="K10" s="1">
        <v>41.2</v>
      </c>
      <c r="L10" s="1">
        <v>40.4</v>
      </c>
      <c r="M10" s="1">
        <v>34.799999999999997</v>
      </c>
      <c r="N10" s="1">
        <v>36.200000000000003</v>
      </c>
      <c r="O10" s="1">
        <v>37.200000000000003</v>
      </c>
      <c r="P10" s="1">
        <v>39.200000000000003</v>
      </c>
      <c r="Q10" s="1">
        <v>43.4</v>
      </c>
      <c r="R10" s="1">
        <v>42.1</v>
      </c>
      <c r="S10" s="1">
        <v>43.3</v>
      </c>
    </row>
    <row r="12" spans="1:19">
      <c r="B12" s="39" t="s">
        <v>6</v>
      </c>
      <c r="C12" s="39"/>
      <c r="D12" s="39"/>
      <c r="E12" s="39" t="s">
        <v>233</v>
      </c>
      <c r="F12" s="39"/>
      <c r="G12" s="39"/>
      <c r="H12" s="39" t="s">
        <v>39</v>
      </c>
      <c r="I12" s="39"/>
      <c r="J12" s="39"/>
      <c r="K12" s="39" t="s">
        <v>40</v>
      </c>
      <c r="L12" s="39"/>
      <c r="M12" s="39"/>
      <c r="N12" s="39" t="s">
        <v>41</v>
      </c>
      <c r="O12" s="39"/>
      <c r="P12" s="39"/>
      <c r="Q12" s="39" t="s">
        <v>42</v>
      </c>
      <c r="R12" s="39"/>
      <c r="S12" s="39"/>
    </row>
    <row r="13" spans="1:19">
      <c r="A13" s="7" t="s">
        <v>164</v>
      </c>
      <c r="B13" s="1">
        <v>15.8</v>
      </c>
      <c r="C13" s="1">
        <v>17.2</v>
      </c>
      <c r="D13" s="1">
        <v>16.7</v>
      </c>
      <c r="E13" s="1">
        <v>16</v>
      </c>
      <c r="F13" s="1">
        <v>17.5</v>
      </c>
      <c r="G13" s="1">
        <v>16.2</v>
      </c>
      <c r="H13" s="1">
        <v>17.3</v>
      </c>
      <c r="I13" s="1">
        <v>16.8</v>
      </c>
      <c r="J13" s="1">
        <v>17.2</v>
      </c>
      <c r="K13" s="1">
        <v>17.3</v>
      </c>
      <c r="L13" s="1">
        <v>15.5</v>
      </c>
      <c r="M13" s="1">
        <v>16.5</v>
      </c>
      <c r="N13" s="1">
        <v>16.8</v>
      </c>
      <c r="O13" s="1">
        <v>16.7</v>
      </c>
      <c r="P13" s="1">
        <v>16.899999999999999</v>
      </c>
      <c r="Q13" s="1">
        <v>15.7</v>
      </c>
      <c r="R13" s="1">
        <v>15.8</v>
      </c>
      <c r="S13" s="1">
        <v>15.4</v>
      </c>
    </row>
    <row r="15" spans="1:19">
      <c r="A15" s="7" t="s">
        <v>165</v>
      </c>
      <c r="B15" s="1">
        <v>13.1</v>
      </c>
      <c r="C15" s="1">
        <v>12.8</v>
      </c>
      <c r="D15" s="1">
        <v>13.9</v>
      </c>
      <c r="E15" s="1">
        <v>12.7</v>
      </c>
      <c r="F15" s="1">
        <v>13.4</v>
      </c>
      <c r="G15" s="1">
        <v>12.9</v>
      </c>
      <c r="H15" s="1">
        <v>14.2</v>
      </c>
      <c r="I15" s="1">
        <v>13.8</v>
      </c>
      <c r="J15" s="1">
        <v>12.7</v>
      </c>
      <c r="K15" s="1">
        <v>12.3</v>
      </c>
      <c r="L15" s="1">
        <v>13.1</v>
      </c>
      <c r="M15" s="1">
        <v>10.8</v>
      </c>
      <c r="N15" s="1">
        <v>11.9</v>
      </c>
      <c r="O15" s="1">
        <v>11.6</v>
      </c>
      <c r="P15" s="1">
        <v>12.3</v>
      </c>
      <c r="Q15" s="1">
        <v>13.7</v>
      </c>
      <c r="R15" s="1">
        <v>13.4</v>
      </c>
      <c r="S15" s="1">
        <v>13.2</v>
      </c>
    </row>
    <row r="17" spans="1:19">
      <c r="A17" s="7" t="s">
        <v>166</v>
      </c>
      <c r="B17" s="1">
        <v>19.399999999999999</v>
      </c>
      <c r="C17" s="1">
        <v>18.8</v>
      </c>
      <c r="D17" s="1">
        <v>18.899999999999999</v>
      </c>
      <c r="E17" s="1">
        <v>18.5</v>
      </c>
      <c r="F17" s="1">
        <v>19.100000000000001</v>
      </c>
      <c r="G17" s="1">
        <v>18.899999999999999</v>
      </c>
      <c r="H17" s="1">
        <v>18.600000000000001</v>
      </c>
      <c r="I17" s="1">
        <v>19.8</v>
      </c>
      <c r="J17" s="1">
        <v>20.3</v>
      </c>
      <c r="K17" s="1">
        <v>17.399999999999999</v>
      </c>
      <c r="L17" s="1">
        <v>20.3</v>
      </c>
      <c r="M17" s="1">
        <v>17.399999999999999</v>
      </c>
      <c r="N17" s="1">
        <v>20.7</v>
      </c>
      <c r="O17" s="1">
        <v>20.8</v>
      </c>
      <c r="P17" s="1">
        <v>20.399999999999999</v>
      </c>
      <c r="Q17" s="1">
        <v>17.8</v>
      </c>
      <c r="R17" s="1">
        <v>17.8</v>
      </c>
      <c r="S17" s="1">
        <v>17.600000000000001</v>
      </c>
    </row>
    <row r="19" spans="1:19">
      <c r="A19" s="7" t="s">
        <v>167</v>
      </c>
      <c r="B19" s="1">
        <v>8.2799999999999994</v>
      </c>
      <c r="C19" s="1">
        <v>7.46</v>
      </c>
      <c r="D19" s="1">
        <v>8.3000000000000007</v>
      </c>
      <c r="E19" s="1">
        <v>7.7</v>
      </c>
      <c r="F19" s="1">
        <v>7.49</v>
      </c>
      <c r="G19" s="1">
        <v>6.66</v>
      </c>
      <c r="H19" s="1">
        <v>7.82</v>
      </c>
      <c r="I19" s="1">
        <v>8.43</v>
      </c>
      <c r="J19" s="1">
        <v>6.69</v>
      </c>
      <c r="K19" s="1">
        <v>7.36</v>
      </c>
      <c r="L19" s="1">
        <v>8.67</v>
      </c>
      <c r="M19" s="1">
        <v>7.82</v>
      </c>
      <c r="N19" s="1">
        <v>7.09</v>
      </c>
      <c r="O19" s="1">
        <v>6.96</v>
      </c>
      <c r="P19" s="1">
        <v>7.29</v>
      </c>
      <c r="Q19" s="1">
        <v>8.6999999999999993</v>
      </c>
      <c r="R19" s="1">
        <v>8.48</v>
      </c>
      <c r="S19" s="1">
        <v>8.5500000000000007</v>
      </c>
    </row>
  </sheetData>
  <mergeCells count="12">
    <mergeCell ref="Q5:S5"/>
    <mergeCell ref="B5:D5"/>
    <mergeCell ref="E5:G5"/>
    <mergeCell ref="H5:J5"/>
    <mergeCell ref="K5:M5"/>
    <mergeCell ref="N5:P5"/>
    <mergeCell ref="Q12:S12"/>
    <mergeCell ref="B12:D12"/>
    <mergeCell ref="E12:G12"/>
    <mergeCell ref="H12:J12"/>
    <mergeCell ref="K12:M12"/>
    <mergeCell ref="N12:P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66624-C8A9-42AB-9389-2304554A9FE6}">
  <dimension ref="C8:U21"/>
  <sheetViews>
    <sheetView workbookViewId="0">
      <selection activeCell="L23" sqref="L23"/>
    </sheetView>
  </sheetViews>
  <sheetFormatPr defaultRowHeight="14.4"/>
  <cols>
    <col min="3" max="3" width="18.3125" customWidth="1"/>
  </cols>
  <sheetData>
    <row r="8" spans="3:21">
      <c r="D8" s="39" t="s">
        <v>6</v>
      </c>
      <c r="E8" s="39"/>
      <c r="F8" s="39"/>
      <c r="G8" s="39" t="s">
        <v>38</v>
      </c>
      <c r="H8" s="39"/>
      <c r="I8" s="39"/>
      <c r="J8" s="39" t="s">
        <v>39</v>
      </c>
      <c r="K8" s="39"/>
      <c r="L8" s="39"/>
      <c r="M8" s="39" t="s">
        <v>40</v>
      </c>
      <c r="N8" s="39"/>
      <c r="O8" s="39"/>
      <c r="P8" s="39" t="s">
        <v>41</v>
      </c>
      <c r="Q8" s="39"/>
      <c r="R8" s="39"/>
      <c r="S8" s="39" t="s">
        <v>42</v>
      </c>
      <c r="T8" s="39"/>
      <c r="U8" s="39"/>
    </row>
    <row r="9" spans="3:21">
      <c r="C9" s="7" t="s">
        <v>45</v>
      </c>
      <c r="D9" s="1">
        <v>2.68</v>
      </c>
      <c r="E9" s="1">
        <v>2.56</v>
      </c>
      <c r="F9" s="1">
        <v>2.62</v>
      </c>
      <c r="G9" s="1">
        <v>0.84</v>
      </c>
      <c r="H9" s="1">
        <v>0.54</v>
      </c>
      <c r="I9" s="1">
        <v>0.81</v>
      </c>
      <c r="J9" s="1">
        <v>0.69</v>
      </c>
      <c r="K9" s="1">
        <v>0.52</v>
      </c>
      <c r="L9" s="1">
        <v>0.94</v>
      </c>
      <c r="M9" s="1">
        <v>3.02</v>
      </c>
      <c r="N9" s="1">
        <v>3.14</v>
      </c>
      <c r="O9" s="1">
        <v>3.72</v>
      </c>
      <c r="P9" s="1">
        <v>3.16</v>
      </c>
      <c r="Q9" s="1">
        <v>3.6</v>
      </c>
      <c r="R9" s="1">
        <v>2.5</v>
      </c>
      <c r="S9" s="1">
        <v>4.5</v>
      </c>
      <c r="T9" s="1">
        <v>2.3199999999999998</v>
      </c>
      <c r="U9" s="1">
        <v>4.5199999999999996</v>
      </c>
    </row>
    <row r="10" spans="3:21">
      <c r="C10" s="7"/>
    </row>
    <row r="11" spans="3:21">
      <c r="C11" s="7" t="s">
        <v>46</v>
      </c>
      <c r="D11" s="1">
        <v>2.1800000000000002</v>
      </c>
      <c r="E11" s="1">
        <v>1.96</v>
      </c>
      <c r="F11" s="1">
        <v>1.94</v>
      </c>
      <c r="G11" s="1">
        <v>0.75</v>
      </c>
      <c r="H11" s="1">
        <v>0.71</v>
      </c>
      <c r="I11" s="1">
        <v>1.49</v>
      </c>
      <c r="J11" s="1">
        <v>0.62</v>
      </c>
      <c r="K11" s="1">
        <v>0.74</v>
      </c>
      <c r="L11" s="1">
        <v>1.28</v>
      </c>
      <c r="M11" s="1">
        <v>2.35</v>
      </c>
      <c r="N11" s="1">
        <v>2.46</v>
      </c>
      <c r="O11" s="1">
        <v>2.56</v>
      </c>
      <c r="P11" s="1">
        <v>2.02</v>
      </c>
      <c r="Q11" s="1">
        <v>2.2400000000000002</v>
      </c>
      <c r="R11" s="1">
        <v>1.79</v>
      </c>
      <c r="S11" s="1">
        <v>3.12</v>
      </c>
      <c r="T11" s="1">
        <v>2.08</v>
      </c>
      <c r="U11" s="1">
        <v>3.36</v>
      </c>
    </row>
    <row r="14" spans="3:21">
      <c r="D14" s="39" t="s">
        <v>6</v>
      </c>
      <c r="E14" s="39"/>
      <c r="F14" s="39"/>
      <c r="G14" s="39" t="s">
        <v>233</v>
      </c>
      <c r="H14" s="39"/>
      <c r="I14" s="39"/>
      <c r="J14" s="39" t="s">
        <v>39</v>
      </c>
      <c r="K14" s="39"/>
      <c r="L14" s="39"/>
      <c r="M14" s="39" t="s">
        <v>40</v>
      </c>
      <c r="N14" s="39"/>
      <c r="O14" s="39"/>
      <c r="P14" s="39" t="s">
        <v>41</v>
      </c>
      <c r="Q14" s="39"/>
      <c r="R14" s="39"/>
      <c r="S14" s="39" t="s">
        <v>42</v>
      </c>
      <c r="T14" s="39"/>
      <c r="U14" s="39"/>
    </row>
    <row r="15" spans="3:21">
      <c r="C15" s="9" t="s">
        <v>160</v>
      </c>
      <c r="D15" s="1">
        <v>0.27</v>
      </c>
      <c r="E15" s="1">
        <v>0.45</v>
      </c>
      <c r="F15" s="1">
        <v>0.49</v>
      </c>
      <c r="G15" s="1">
        <v>1.32</v>
      </c>
      <c r="H15" s="1">
        <v>4.6399999999999997</v>
      </c>
      <c r="I15" s="1">
        <v>1.44</v>
      </c>
      <c r="J15" s="1">
        <v>1.56</v>
      </c>
      <c r="K15" s="1">
        <v>3.28</v>
      </c>
      <c r="L15" s="1">
        <v>3.47</v>
      </c>
      <c r="M15" s="1">
        <v>0.48</v>
      </c>
      <c r="N15" s="1">
        <v>0.51</v>
      </c>
      <c r="O15" s="1">
        <v>0.98</v>
      </c>
      <c r="P15" s="1">
        <v>0.9</v>
      </c>
      <c r="Q15" s="1">
        <v>1.02</v>
      </c>
      <c r="R15" s="1">
        <v>0.51</v>
      </c>
      <c r="S15" s="1">
        <v>1.1399999999999999</v>
      </c>
      <c r="T15" s="1">
        <v>1.03</v>
      </c>
      <c r="U15" s="1">
        <v>0.9</v>
      </c>
    </row>
    <row r="16" spans="3:21">
      <c r="C16" s="9"/>
    </row>
    <row r="17" spans="3:21">
      <c r="C17" s="9" t="s">
        <v>161</v>
      </c>
      <c r="D17" s="1">
        <v>0.22</v>
      </c>
      <c r="E17" s="1">
        <v>0.13</v>
      </c>
      <c r="F17" s="1">
        <v>0.17</v>
      </c>
      <c r="G17" s="1">
        <v>0.3</v>
      </c>
      <c r="H17" s="1">
        <v>0.43</v>
      </c>
      <c r="I17" s="1">
        <v>0.21</v>
      </c>
      <c r="J17" s="1">
        <v>0.23</v>
      </c>
      <c r="K17" s="1">
        <v>0.34</v>
      </c>
      <c r="L17" s="1">
        <v>0.28000000000000003</v>
      </c>
      <c r="M17" s="1">
        <v>0.14000000000000001</v>
      </c>
      <c r="N17" s="1">
        <v>0.11</v>
      </c>
      <c r="O17" s="1">
        <v>0.16</v>
      </c>
      <c r="P17" s="1">
        <v>0.22</v>
      </c>
      <c r="Q17" s="1">
        <v>0.26</v>
      </c>
      <c r="R17" s="1">
        <v>0.17</v>
      </c>
      <c r="S17" s="1">
        <v>0.2</v>
      </c>
      <c r="T17" s="1">
        <v>0.18</v>
      </c>
      <c r="U17" s="1">
        <v>0.22</v>
      </c>
    </row>
    <row r="19" spans="3:21">
      <c r="C19" s="9" t="s">
        <v>162</v>
      </c>
      <c r="D19" s="1">
        <v>0</v>
      </c>
      <c r="E19" s="1">
        <v>0.01</v>
      </c>
      <c r="F19" s="1">
        <v>0.02</v>
      </c>
      <c r="G19" s="1">
        <v>7.0000000000000007E-2</v>
      </c>
      <c r="H19" s="1">
        <v>0.2</v>
      </c>
      <c r="I19" s="1">
        <v>0.05</v>
      </c>
      <c r="J19" s="1">
        <v>0.05</v>
      </c>
      <c r="K19" s="1">
        <v>0.02</v>
      </c>
      <c r="L19" s="1">
        <v>0.04</v>
      </c>
      <c r="M19" s="1">
        <v>0.03</v>
      </c>
      <c r="N19" s="1">
        <v>0.05</v>
      </c>
      <c r="O19" s="1">
        <v>0.02</v>
      </c>
      <c r="P19" s="1">
        <v>0.01</v>
      </c>
      <c r="Q19" s="1">
        <v>7.0000000000000007E-2</v>
      </c>
      <c r="R19" s="1">
        <v>0.02</v>
      </c>
      <c r="S19" s="1">
        <v>0.02</v>
      </c>
      <c r="T19" s="1">
        <v>0.02</v>
      </c>
      <c r="U19" s="1">
        <v>0.04</v>
      </c>
    </row>
    <row r="21" spans="3:21">
      <c r="C21" s="9" t="s">
        <v>163</v>
      </c>
      <c r="D21" s="1">
        <v>0</v>
      </c>
      <c r="E21" s="1">
        <v>0</v>
      </c>
      <c r="F21" s="1">
        <v>0.01</v>
      </c>
      <c r="G21" s="1">
        <v>0.02</v>
      </c>
      <c r="H21" s="1">
        <v>0</v>
      </c>
      <c r="I21" s="1">
        <v>0.01</v>
      </c>
      <c r="J21" s="1">
        <v>0.02</v>
      </c>
      <c r="K21" s="1">
        <v>0.01</v>
      </c>
      <c r="L21" s="1">
        <v>0.01</v>
      </c>
      <c r="M21" s="1">
        <v>0.01</v>
      </c>
      <c r="N21" s="1">
        <v>0.02</v>
      </c>
      <c r="O21" s="1">
        <v>0</v>
      </c>
      <c r="P21" s="1">
        <v>0.01</v>
      </c>
      <c r="Q21" s="1">
        <v>0.02</v>
      </c>
      <c r="R21" s="1">
        <v>0.01</v>
      </c>
      <c r="S21" s="1">
        <v>0.01</v>
      </c>
      <c r="T21" s="1">
        <v>0.01</v>
      </c>
      <c r="U21" s="1">
        <v>0.01</v>
      </c>
    </row>
  </sheetData>
  <mergeCells count="12">
    <mergeCell ref="S8:U8"/>
    <mergeCell ref="D8:F8"/>
    <mergeCell ref="G8:I8"/>
    <mergeCell ref="J8:L8"/>
    <mergeCell ref="M8:O8"/>
    <mergeCell ref="P8:R8"/>
    <mergeCell ref="S14:U14"/>
    <mergeCell ref="D14:F14"/>
    <mergeCell ref="G14:I14"/>
    <mergeCell ref="J14:L14"/>
    <mergeCell ref="M14:O14"/>
    <mergeCell ref="P14:R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FCE65-7944-41AC-A363-7D99C9586F9E}">
  <dimension ref="C8:U26"/>
  <sheetViews>
    <sheetView topLeftCell="A16" workbookViewId="0">
      <selection activeCell="F35" sqref="F35"/>
    </sheetView>
  </sheetViews>
  <sheetFormatPr defaultRowHeight="14.4"/>
  <cols>
    <col min="3" max="3" width="23.15625" customWidth="1"/>
  </cols>
  <sheetData>
    <row r="8" spans="3:21">
      <c r="D8" s="39" t="s">
        <v>6</v>
      </c>
      <c r="E8" s="39"/>
      <c r="F8" s="39"/>
      <c r="G8" s="39" t="s">
        <v>38</v>
      </c>
      <c r="H8" s="39"/>
      <c r="I8" s="39"/>
      <c r="J8" s="39" t="s">
        <v>39</v>
      </c>
      <c r="K8" s="39"/>
      <c r="L8" s="39"/>
      <c r="M8" s="39" t="s">
        <v>40</v>
      </c>
      <c r="N8" s="39"/>
      <c r="O8" s="39"/>
      <c r="P8" s="39" t="s">
        <v>41</v>
      </c>
      <c r="Q8" s="39"/>
      <c r="R8" s="39"/>
      <c r="S8" s="39" t="s">
        <v>42</v>
      </c>
      <c r="T8" s="39"/>
      <c r="U8" s="39"/>
    </row>
    <row r="9" spans="3:21">
      <c r="C9" s="7" t="s">
        <v>43</v>
      </c>
      <c r="D9" s="1">
        <v>0.1</v>
      </c>
      <c r="E9" s="1">
        <v>0.3</v>
      </c>
      <c r="F9" s="1">
        <v>0.4</v>
      </c>
      <c r="G9" s="1">
        <v>0.7</v>
      </c>
      <c r="H9" s="1">
        <v>0.8</v>
      </c>
      <c r="I9" s="1">
        <v>0.6</v>
      </c>
      <c r="J9" s="1">
        <v>0.6</v>
      </c>
      <c r="K9" s="1">
        <v>0.8</v>
      </c>
      <c r="L9" s="1">
        <v>0.7</v>
      </c>
      <c r="M9" s="1">
        <v>0.5</v>
      </c>
      <c r="N9" s="1">
        <v>0.5</v>
      </c>
      <c r="O9" s="1">
        <v>0.4</v>
      </c>
      <c r="P9" s="1">
        <v>0.6</v>
      </c>
      <c r="Q9" s="1">
        <v>0.5</v>
      </c>
      <c r="R9" s="1">
        <v>0.8</v>
      </c>
      <c r="S9" s="1">
        <v>0.5</v>
      </c>
      <c r="T9" s="1">
        <v>0.1</v>
      </c>
      <c r="U9" s="1">
        <v>0.5</v>
      </c>
    </row>
    <row r="10" spans="3:21">
      <c r="C10" s="7"/>
    </row>
    <row r="11" spans="3:21">
      <c r="C11" s="7" t="s">
        <v>44</v>
      </c>
      <c r="D11" s="1">
        <v>18.5</v>
      </c>
      <c r="E11" s="1">
        <v>22.8</v>
      </c>
      <c r="F11" s="1">
        <v>20.3</v>
      </c>
      <c r="G11" s="1">
        <v>43.7</v>
      </c>
      <c r="H11" s="1">
        <v>31</v>
      </c>
      <c r="I11" s="1">
        <v>33.5</v>
      </c>
      <c r="J11" s="1">
        <v>34.6</v>
      </c>
      <c r="K11" s="1">
        <v>33.9</v>
      </c>
      <c r="L11" s="1">
        <v>40.1</v>
      </c>
      <c r="M11" s="1">
        <v>19.5</v>
      </c>
      <c r="N11" s="1">
        <v>23.2</v>
      </c>
      <c r="O11" s="1">
        <v>23.3</v>
      </c>
      <c r="P11" s="1">
        <v>18.399999999999999</v>
      </c>
      <c r="Q11" s="1">
        <v>20.5</v>
      </c>
      <c r="R11" s="1">
        <v>27.9</v>
      </c>
      <c r="S11" s="1">
        <v>17.7</v>
      </c>
      <c r="T11" s="1">
        <v>19</v>
      </c>
      <c r="U11" s="1">
        <v>28.6</v>
      </c>
    </row>
    <row r="13" spans="3:21">
      <c r="C13" s="7" t="s">
        <v>155</v>
      </c>
      <c r="D13" s="39" t="s">
        <v>6</v>
      </c>
      <c r="E13" s="39"/>
      <c r="F13" s="39"/>
      <c r="G13" s="39" t="s">
        <v>233</v>
      </c>
      <c r="H13" s="39"/>
      <c r="I13" s="39"/>
      <c r="J13" s="39" t="s">
        <v>39</v>
      </c>
      <c r="K13" s="39"/>
      <c r="L13" s="39"/>
      <c r="M13" s="39" t="s">
        <v>40</v>
      </c>
      <c r="N13" s="39"/>
      <c r="O13" s="39"/>
      <c r="P13" s="39" t="s">
        <v>41</v>
      </c>
      <c r="Q13" s="39"/>
      <c r="R13" s="39"/>
      <c r="S13" s="39" t="s">
        <v>42</v>
      </c>
      <c r="T13" s="39"/>
      <c r="U13" s="39"/>
    </row>
    <row r="14" spans="3:21">
      <c r="D14" s="1">
        <v>120</v>
      </c>
      <c r="E14" s="1">
        <v>126</v>
      </c>
      <c r="F14" s="1">
        <v>127</v>
      </c>
      <c r="G14" s="1">
        <v>124</v>
      </c>
      <c r="H14" s="1">
        <v>80</v>
      </c>
      <c r="I14" s="1">
        <v>110</v>
      </c>
      <c r="J14" s="1">
        <v>96</v>
      </c>
      <c r="K14" s="1">
        <v>128</v>
      </c>
      <c r="L14" s="1">
        <v>104</v>
      </c>
      <c r="M14" s="1">
        <v>120</v>
      </c>
      <c r="N14" s="1">
        <v>160</v>
      </c>
      <c r="O14" s="1">
        <v>63</v>
      </c>
      <c r="P14" s="1">
        <v>117</v>
      </c>
      <c r="Q14" s="1">
        <v>176</v>
      </c>
      <c r="R14" s="1">
        <v>115</v>
      </c>
      <c r="S14" s="1">
        <v>91</v>
      </c>
      <c r="T14" s="1">
        <v>63</v>
      </c>
      <c r="U14" s="1">
        <v>85</v>
      </c>
    </row>
    <row r="17" spans="3:21">
      <c r="C17" s="7" t="s">
        <v>156</v>
      </c>
      <c r="D17" s="39" t="s">
        <v>6</v>
      </c>
      <c r="E17" s="39"/>
      <c r="F17" s="39"/>
      <c r="G17" s="39" t="s">
        <v>233</v>
      </c>
      <c r="H17" s="39"/>
      <c r="I17" s="39"/>
      <c r="J17" s="39" t="s">
        <v>39</v>
      </c>
      <c r="K17" s="39"/>
      <c r="L17" s="39"/>
      <c r="M17" s="39" t="s">
        <v>40</v>
      </c>
      <c r="N17" s="39"/>
      <c r="O17" s="39"/>
      <c r="P17" s="39" t="s">
        <v>41</v>
      </c>
      <c r="Q17" s="39"/>
      <c r="R17" s="39"/>
      <c r="S17" s="39" t="s">
        <v>42</v>
      </c>
      <c r="T17" s="39"/>
      <c r="U17" s="39"/>
    </row>
    <row r="18" spans="3:21">
      <c r="D18" s="1">
        <v>32</v>
      </c>
      <c r="E18" s="1">
        <v>95</v>
      </c>
      <c r="F18" s="1">
        <v>45</v>
      </c>
      <c r="G18" s="1">
        <v>71</v>
      </c>
      <c r="H18" s="1">
        <v>93</v>
      </c>
      <c r="I18" s="1">
        <v>69</v>
      </c>
      <c r="J18" s="1">
        <v>94</v>
      </c>
      <c r="K18" s="1">
        <v>85</v>
      </c>
      <c r="L18" s="1">
        <v>62</v>
      </c>
      <c r="M18" s="1">
        <v>21</v>
      </c>
      <c r="N18" s="1">
        <v>35</v>
      </c>
      <c r="O18" s="1">
        <v>17</v>
      </c>
      <c r="P18" s="1">
        <v>62</v>
      </c>
      <c r="Q18" s="1">
        <v>56</v>
      </c>
      <c r="R18" s="1">
        <v>80</v>
      </c>
      <c r="S18" s="1">
        <v>138</v>
      </c>
      <c r="T18" s="1">
        <v>646</v>
      </c>
      <c r="U18" s="1">
        <v>127</v>
      </c>
    </row>
    <row r="21" spans="3:21">
      <c r="C21" s="7" t="s">
        <v>157</v>
      </c>
      <c r="D21" s="39" t="s">
        <v>6</v>
      </c>
      <c r="E21" s="39"/>
      <c r="F21" s="39"/>
      <c r="G21" s="39" t="s">
        <v>233</v>
      </c>
      <c r="H21" s="39"/>
      <c r="I21" s="39"/>
      <c r="J21" s="39" t="s">
        <v>39</v>
      </c>
      <c r="K21" s="39"/>
      <c r="L21" s="39"/>
      <c r="M21" s="39" t="s">
        <v>40</v>
      </c>
      <c r="N21" s="39"/>
      <c r="O21" s="39"/>
      <c r="P21" s="39" t="s">
        <v>41</v>
      </c>
      <c r="Q21" s="39"/>
      <c r="R21" s="39"/>
      <c r="S21" s="39" t="s">
        <v>42</v>
      </c>
      <c r="T21" s="39"/>
      <c r="U21" s="39"/>
    </row>
    <row r="22" spans="3:21">
      <c r="D22" s="1">
        <v>40</v>
      </c>
      <c r="E22" s="1">
        <v>41</v>
      </c>
      <c r="F22" s="1">
        <v>100</v>
      </c>
      <c r="G22" s="1">
        <v>104</v>
      </c>
      <c r="H22" s="1">
        <v>62</v>
      </c>
      <c r="I22" s="1">
        <v>55</v>
      </c>
      <c r="J22" s="1">
        <v>96</v>
      </c>
      <c r="K22" s="1">
        <v>83</v>
      </c>
      <c r="L22" s="1">
        <v>79</v>
      </c>
      <c r="M22" s="1">
        <v>102</v>
      </c>
      <c r="N22" s="1">
        <v>99</v>
      </c>
      <c r="O22" s="1">
        <v>71</v>
      </c>
      <c r="P22" s="1">
        <v>65</v>
      </c>
      <c r="Q22" s="1">
        <v>67</v>
      </c>
      <c r="R22" s="1">
        <v>61</v>
      </c>
      <c r="S22" s="1">
        <v>69</v>
      </c>
      <c r="T22" s="1">
        <v>60</v>
      </c>
      <c r="U22" s="1">
        <v>55</v>
      </c>
    </row>
    <row r="25" spans="3:21">
      <c r="C25" s="7" t="s">
        <v>159</v>
      </c>
      <c r="D25" s="39" t="s">
        <v>6</v>
      </c>
      <c r="E25" s="39"/>
      <c r="F25" s="39"/>
      <c r="G25" s="39" t="s">
        <v>233</v>
      </c>
      <c r="H25" s="39"/>
      <c r="I25" s="39"/>
      <c r="J25" s="39" t="s">
        <v>39</v>
      </c>
      <c r="K25" s="39"/>
      <c r="L25" s="39"/>
      <c r="M25" s="39" t="s">
        <v>40</v>
      </c>
      <c r="N25" s="39"/>
      <c r="O25" s="39"/>
      <c r="P25" s="39" t="s">
        <v>41</v>
      </c>
      <c r="Q25" s="39"/>
      <c r="R25" s="39"/>
      <c r="S25" s="39" t="s">
        <v>42</v>
      </c>
      <c r="T25" s="39"/>
      <c r="U25" s="39"/>
    </row>
    <row r="26" spans="3:21">
      <c r="D26" s="1">
        <v>7.2</v>
      </c>
      <c r="E26" s="1">
        <v>5.8</v>
      </c>
      <c r="F26" s="1">
        <v>6</v>
      </c>
      <c r="G26" s="1">
        <v>6.7</v>
      </c>
      <c r="H26" s="1">
        <v>6</v>
      </c>
      <c r="I26" s="1">
        <v>6.2</v>
      </c>
      <c r="J26" s="1">
        <v>5.9</v>
      </c>
      <c r="K26" s="1">
        <v>6.3</v>
      </c>
      <c r="L26" s="1">
        <v>6.9</v>
      </c>
      <c r="M26" s="1">
        <v>5.2</v>
      </c>
      <c r="N26" s="1">
        <v>5.6</v>
      </c>
      <c r="O26" s="1">
        <v>5.3</v>
      </c>
      <c r="P26" s="1">
        <v>6.3</v>
      </c>
      <c r="Q26" s="1">
        <v>5.6</v>
      </c>
      <c r="R26" s="1">
        <v>6.6</v>
      </c>
      <c r="S26" s="1">
        <v>5.4</v>
      </c>
      <c r="T26" s="1">
        <v>5.9</v>
      </c>
      <c r="U26" s="1">
        <v>6.4</v>
      </c>
    </row>
  </sheetData>
  <mergeCells count="30">
    <mergeCell ref="S8:U8"/>
    <mergeCell ref="D8:F8"/>
    <mergeCell ref="G8:I8"/>
    <mergeCell ref="J8:L8"/>
    <mergeCell ref="M8:O8"/>
    <mergeCell ref="P8:R8"/>
    <mergeCell ref="S13:U13"/>
    <mergeCell ref="D17:F17"/>
    <mergeCell ref="G17:I17"/>
    <mergeCell ref="J17:L17"/>
    <mergeCell ref="M17:O17"/>
    <mergeCell ref="P17:R17"/>
    <mergeCell ref="S17:U17"/>
    <mergeCell ref="D13:F13"/>
    <mergeCell ref="G13:I13"/>
    <mergeCell ref="J13:L13"/>
    <mergeCell ref="M13:O13"/>
    <mergeCell ref="P13:R13"/>
    <mergeCell ref="S21:U21"/>
    <mergeCell ref="D25:F25"/>
    <mergeCell ref="G25:I25"/>
    <mergeCell ref="J25:L25"/>
    <mergeCell ref="M25:O25"/>
    <mergeCell ref="P25:R25"/>
    <mergeCell ref="S25:U25"/>
    <mergeCell ref="D21:F21"/>
    <mergeCell ref="G21:I21"/>
    <mergeCell ref="J21:L21"/>
    <mergeCell ref="M21:O21"/>
    <mergeCell ref="P21:R2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5AE48-EE20-4DA4-8B48-27DC34A6D382}">
  <dimension ref="B5:T8"/>
  <sheetViews>
    <sheetView workbookViewId="0">
      <selection activeCell="G17" sqref="G17"/>
    </sheetView>
  </sheetViews>
  <sheetFormatPr defaultRowHeight="14.4"/>
  <cols>
    <col min="2" max="2" width="21.41796875" customWidth="1"/>
  </cols>
  <sheetData>
    <row r="5" spans="2:20">
      <c r="C5" s="39" t="s">
        <v>6</v>
      </c>
      <c r="D5" s="39"/>
      <c r="E5" s="39"/>
      <c r="F5" s="39" t="s">
        <v>233</v>
      </c>
      <c r="G5" s="39"/>
      <c r="H5" s="39"/>
      <c r="I5" s="39" t="s">
        <v>39</v>
      </c>
      <c r="J5" s="39"/>
      <c r="K5" s="39"/>
      <c r="L5" s="39" t="s">
        <v>40</v>
      </c>
      <c r="M5" s="39"/>
      <c r="N5" s="39"/>
      <c r="O5" s="39" t="s">
        <v>41</v>
      </c>
      <c r="P5" s="39"/>
      <c r="Q5" s="39"/>
      <c r="R5" s="39" t="s">
        <v>42</v>
      </c>
      <c r="S5" s="39"/>
      <c r="T5" s="39"/>
    </row>
    <row r="6" spans="2:20">
      <c r="B6" s="7" t="s">
        <v>168</v>
      </c>
      <c r="C6" s="1">
        <v>1242</v>
      </c>
      <c r="D6" s="1">
        <v>875</v>
      </c>
      <c r="E6" s="1">
        <v>1147</v>
      </c>
      <c r="F6" s="1">
        <v>1891</v>
      </c>
      <c r="G6" s="1">
        <v>2201</v>
      </c>
      <c r="H6" s="1">
        <v>1143</v>
      </c>
      <c r="I6" s="1">
        <v>1694</v>
      </c>
      <c r="J6" s="1">
        <v>1259</v>
      </c>
      <c r="K6" s="1">
        <v>2016</v>
      </c>
      <c r="L6" s="1">
        <v>678</v>
      </c>
      <c r="M6" s="1">
        <v>1437</v>
      </c>
      <c r="N6" s="1">
        <v>1309</v>
      </c>
      <c r="O6" s="1">
        <v>1032</v>
      </c>
      <c r="P6" s="1">
        <v>1210</v>
      </c>
      <c r="Q6" s="1">
        <v>679</v>
      </c>
      <c r="R6" s="1">
        <v>1055</v>
      </c>
      <c r="S6" s="1">
        <v>1073</v>
      </c>
      <c r="T6" s="1">
        <v>897</v>
      </c>
    </row>
    <row r="8" spans="2:20">
      <c r="B8" s="7" t="s">
        <v>169</v>
      </c>
      <c r="C8" s="1">
        <v>6.2</v>
      </c>
      <c r="D8" s="1">
        <v>6.5</v>
      </c>
      <c r="E8" s="1">
        <v>6</v>
      </c>
      <c r="F8" s="1">
        <v>6.1</v>
      </c>
      <c r="G8" s="1">
        <v>5.5</v>
      </c>
      <c r="H8" s="1">
        <v>6.2</v>
      </c>
      <c r="I8" s="1">
        <v>6.1</v>
      </c>
      <c r="J8" s="1">
        <v>5.8</v>
      </c>
      <c r="K8" s="1">
        <v>6.3</v>
      </c>
      <c r="L8" s="1">
        <v>5.7</v>
      </c>
      <c r="M8" s="1">
        <v>5.5</v>
      </c>
      <c r="N8" s="1">
        <v>5.5</v>
      </c>
      <c r="O8" s="1">
        <v>5.8</v>
      </c>
      <c r="P8" s="1">
        <v>5.4</v>
      </c>
      <c r="Q8" s="1">
        <v>6.1</v>
      </c>
      <c r="R8" s="1">
        <v>5.6</v>
      </c>
      <c r="S8" s="1">
        <v>6</v>
      </c>
      <c r="T8" s="1">
        <v>5.4</v>
      </c>
    </row>
  </sheetData>
  <mergeCells count="6">
    <mergeCell ref="R5:T5"/>
    <mergeCell ref="C5:E5"/>
    <mergeCell ref="F5:H5"/>
    <mergeCell ref="I5:K5"/>
    <mergeCell ref="L5:N5"/>
    <mergeCell ref="O5:Q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921F8-D50D-4C5D-B238-D4150168F387}">
  <dimension ref="D5:R6"/>
  <sheetViews>
    <sheetView workbookViewId="0">
      <selection activeCell="C5" sqref="C5:T6"/>
    </sheetView>
  </sheetViews>
  <sheetFormatPr defaultRowHeight="14.4"/>
  <sheetData>
    <row r="5" spans="4:18">
      <c r="D5" s="39" t="s">
        <v>13</v>
      </c>
      <c r="E5" s="39"/>
      <c r="F5" s="39"/>
      <c r="G5" s="39" t="s">
        <v>22</v>
      </c>
      <c r="H5" s="39"/>
      <c r="I5" s="39"/>
      <c r="J5" s="39" t="s">
        <v>15</v>
      </c>
      <c r="K5" s="39"/>
      <c r="L5" s="39"/>
      <c r="M5" s="39" t="s">
        <v>16</v>
      </c>
      <c r="N5" s="39"/>
      <c r="O5" s="39"/>
      <c r="P5" s="39" t="s">
        <v>17</v>
      </c>
      <c r="Q5" s="39"/>
      <c r="R5" s="39"/>
    </row>
    <row r="6" spans="4:18">
      <c r="D6" s="1">
        <v>2</v>
      </c>
      <c r="E6" s="1">
        <v>5</v>
      </c>
      <c r="F6" s="1">
        <v>4</v>
      </c>
      <c r="G6" s="1">
        <v>2</v>
      </c>
      <c r="H6" s="1">
        <v>3</v>
      </c>
      <c r="I6" s="1">
        <v>3</v>
      </c>
      <c r="J6" s="1">
        <v>1</v>
      </c>
      <c r="K6" s="1">
        <v>0</v>
      </c>
      <c r="L6" s="1">
        <v>1</v>
      </c>
      <c r="M6" s="1">
        <v>1</v>
      </c>
      <c r="N6" s="1">
        <v>0</v>
      </c>
      <c r="O6" s="1">
        <v>1</v>
      </c>
      <c r="P6" s="1">
        <v>0</v>
      </c>
      <c r="Q6" s="1">
        <v>0</v>
      </c>
      <c r="R6" s="1">
        <v>1</v>
      </c>
    </row>
  </sheetData>
  <mergeCells count="5">
    <mergeCell ref="D5:F5"/>
    <mergeCell ref="G5:I5"/>
    <mergeCell ref="J5:L5"/>
    <mergeCell ref="M5:O5"/>
    <mergeCell ref="P5:R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2894-981F-4256-925C-7AC4BCD2408A}">
  <dimension ref="C5:T6"/>
  <sheetViews>
    <sheetView workbookViewId="0">
      <selection activeCell="M18" sqref="M18"/>
    </sheetView>
  </sheetViews>
  <sheetFormatPr defaultRowHeight="14.4"/>
  <sheetData>
    <row r="5" spans="3:20">
      <c r="C5" s="39" t="s">
        <v>141</v>
      </c>
      <c r="D5" s="39"/>
      <c r="E5" s="39"/>
      <c r="F5" s="39" t="s">
        <v>13</v>
      </c>
      <c r="G5" s="39"/>
      <c r="H5" s="39"/>
      <c r="I5" s="39" t="s">
        <v>22</v>
      </c>
      <c r="J5" s="39"/>
      <c r="K5" s="39"/>
      <c r="L5" s="39" t="s">
        <v>15</v>
      </c>
      <c r="M5" s="39"/>
      <c r="N5" s="39"/>
      <c r="O5" s="39" t="s">
        <v>16</v>
      </c>
      <c r="P5" s="39"/>
      <c r="Q5" s="39"/>
      <c r="R5" s="39" t="s">
        <v>17</v>
      </c>
      <c r="S5" s="39"/>
      <c r="T5" s="39"/>
    </row>
    <row r="6" spans="3:20">
      <c r="C6" s="1">
        <v>3</v>
      </c>
      <c r="D6" s="1">
        <v>2</v>
      </c>
      <c r="E6" s="1">
        <v>1</v>
      </c>
      <c r="F6" s="1">
        <v>8</v>
      </c>
      <c r="G6" s="1">
        <v>5</v>
      </c>
      <c r="H6" s="1">
        <v>5</v>
      </c>
      <c r="I6" s="1">
        <v>6</v>
      </c>
      <c r="J6" s="1">
        <v>4</v>
      </c>
      <c r="K6" s="1">
        <v>9</v>
      </c>
      <c r="L6" s="1">
        <v>3</v>
      </c>
      <c r="M6" s="1">
        <v>4</v>
      </c>
      <c r="N6" s="1">
        <v>3</v>
      </c>
      <c r="O6" s="1">
        <v>3</v>
      </c>
      <c r="P6" s="1">
        <v>2</v>
      </c>
      <c r="Q6" s="1">
        <v>3</v>
      </c>
      <c r="R6" s="1">
        <v>4</v>
      </c>
      <c r="S6" s="1">
        <v>4</v>
      </c>
      <c r="T6" s="1">
        <v>3</v>
      </c>
    </row>
  </sheetData>
  <mergeCells count="6">
    <mergeCell ref="R5:T5"/>
    <mergeCell ref="C5:E5"/>
    <mergeCell ref="F5:H5"/>
    <mergeCell ref="I5:K5"/>
    <mergeCell ref="L5:N5"/>
    <mergeCell ref="O5:Q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12F3-4101-4BA1-B7CD-5DAA08557943}">
  <dimension ref="C5:AL13"/>
  <sheetViews>
    <sheetView workbookViewId="0">
      <selection activeCell="M23" sqref="M23"/>
    </sheetView>
  </sheetViews>
  <sheetFormatPr defaultRowHeight="14.4"/>
  <sheetData>
    <row r="5" spans="3:38">
      <c r="C5" s="2"/>
      <c r="D5" s="39" t="s">
        <v>6</v>
      </c>
      <c r="E5" s="39"/>
      <c r="F5" s="39"/>
      <c r="G5" s="39"/>
      <c r="H5" s="39"/>
      <c r="I5" s="39" t="s">
        <v>13</v>
      </c>
      <c r="J5" s="39"/>
      <c r="K5" s="39"/>
      <c r="L5" s="39"/>
      <c r="M5" s="39"/>
      <c r="N5" s="39" t="s">
        <v>22</v>
      </c>
      <c r="O5" s="39"/>
      <c r="P5" s="39"/>
      <c r="Q5" s="39"/>
      <c r="R5" s="39"/>
      <c r="S5" s="39" t="s">
        <v>14</v>
      </c>
      <c r="T5" s="39"/>
      <c r="U5" s="39"/>
      <c r="V5" s="39"/>
      <c r="W5" s="39"/>
      <c r="X5" s="39" t="s">
        <v>15</v>
      </c>
      <c r="Y5" s="39"/>
      <c r="Z5" s="39"/>
      <c r="AA5" s="39"/>
      <c r="AB5" s="39"/>
      <c r="AC5" s="39" t="s">
        <v>16</v>
      </c>
      <c r="AD5" s="39"/>
      <c r="AE5" s="39"/>
      <c r="AF5" s="39"/>
      <c r="AG5" s="39"/>
      <c r="AH5" s="39" t="s">
        <v>17</v>
      </c>
      <c r="AI5" s="39"/>
      <c r="AJ5" s="39"/>
      <c r="AK5" s="39"/>
      <c r="AL5" s="39"/>
    </row>
    <row r="6" spans="3:38">
      <c r="C6" s="1" t="s">
        <v>36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</row>
    <row r="7" spans="3:38">
      <c r="C7" s="1">
        <v>9</v>
      </c>
      <c r="D7" s="1">
        <v>103</v>
      </c>
      <c r="E7" s="1">
        <v>113.19</v>
      </c>
      <c r="F7" s="1">
        <v>103.4</v>
      </c>
      <c r="G7" s="1">
        <v>100.38</v>
      </c>
      <c r="H7" s="1">
        <v>115.88</v>
      </c>
      <c r="I7" s="1">
        <v>104.06</v>
      </c>
      <c r="J7" s="1">
        <v>120.3</v>
      </c>
      <c r="K7" s="1">
        <v>102.12</v>
      </c>
      <c r="L7" s="1">
        <v>114.17</v>
      </c>
      <c r="M7" s="1">
        <v>111.03</v>
      </c>
      <c r="N7" s="1">
        <v>102</v>
      </c>
      <c r="O7" s="1">
        <v>110</v>
      </c>
      <c r="P7" s="1">
        <v>95</v>
      </c>
      <c r="Q7" s="1">
        <v>105</v>
      </c>
      <c r="R7" s="1">
        <v>99</v>
      </c>
      <c r="S7" s="1">
        <v>113.52</v>
      </c>
      <c r="T7" s="1">
        <v>124.73</v>
      </c>
      <c r="U7" s="1">
        <v>113.68</v>
      </c>
      <c r="V7" s="1">
        <v>126.17</v>
      </c>
      <c r="W7" s="1">
        <v>108.51</v>
      </c>
      <c r="X7" s="1">
        <v>116.19</v>
      </c>
      <c r="Y7" s="1">
        <v>96.69</v>
      </c>
      <c r="Z7" s="1">
        <v>109.06</v>
      </c>
      <c r="AA7" s="1">
        <v>103</v>
      </c>
      <c r="AB7" s="1">
        <v>100.77</v>
      </c>
      <c r="AC7" s="1">
        <v>108.83</v>
      </c>
      <c r="AD7" s="1">
        <v>101.86</v>
      </c>
      <c r="AE7" s="1">
        <v>106.35</v>
      </c>
      <c r="AF7" s="1">
        <v>100.24</v>
      </c>
      <c r="AG7" s="1">
        <v>101.69</v>
      </c>
      <c r="AH7" s="1">
        <v>102.22</v>
      </c>
      <c r="AI7" s="1">
        <v>98.92</v>
      </c>
      <c r="AJ7" s="1">
        <v>109.53</v>
      </c>
      <c r="AK7" s="1">
        <v>108.35</v>
      </c>
      <c r="AL7" s="1">
        <v>104</v>
      </c>
    </row>
    <row r="8" spans="3:38">
      <c r="C8" s="1">
        <v>14</v>
      </c>
      <c r="D8" s="1">
        <v>170.36</v>
      </c>
      <c r="E8" s="1">
        <v>344.61</v>
      </c>
      <c r="F8" s="1">
        <v>176.49</v>
      </c>
      <c r="G8" s="1">
        <v>182.86</v>
      </c>
      <c r="H8" s="1">
        <v>167.53</v>
      </c>
      <c r="I8" s="1">
        <v>151.32</v>
      </c>
      <c r="J8" s="1">
        <v>142.28</v>
      </c>
      <c r="K8" s="1">
        <v>206.09</v>
      </c>
      <c r="L8" s="1">
        <v>197.02</v>
      </c>
      <c r="M8" s="1">
        <v>203.69</v>
      </c>
      <c r="N8" s="1">
        <v>139</v>
      </c>
      <c r="O8" s="1">
        <v>141</v>
      </c>
      <c r="P8" s="1">
        <v>208</v>
      </c>
      <c r="Q8" s="1">
        <v>176</v>
      </c>
      <c r="R8" s="1">
        <v>221</v>
      </c>
      <c r="S8" s="1">
        <v>190.54</v>
      </c>
      <c r="T8" s="1">
        <v>169.44</v>
      </c>
      <c r="U8" s="1">
        <v>217.17</v>
      </c>
      <c r="V8" s="1">
        <v>115.66</v>
      </c>
      <c r="W8" s="1">
        <v>196.32</v>
      </c>
      <c r="X8" s="1">
        <v>191.47</v>
      </c>
      <c r="Y8" s="1">
        <v>82.73</v>
      </c>
      <c r="Z8" s="1">
        <v>148.35</v>
      </c>
      <c r="AA8" s="1">
        <v>202.76</v>
      </c>
      <c r="AB8" s="1">
        <v>222.39</v>
      </c>
      <c r="AC8" s="1">
        <v>63.07</v>
      </c>
      <c r="AD8" s="1">
        <v>90.68</v>
      </c>
      <c r="AE8" s="1">
        <v>89.85</v>
      </c>
      <c r="AF8" s="1">
        <v>194.46</v>
      </c>
      <c r="AG8" s="1">
        <v>44.64</v>
      </c>
      <c r="AH8" s="1">
        <v>123.68</v>
      </c>
      <c r="AI8" s="1">
        <v>90.5</v>
      </c>
      <c r="AJ8" s="1">
        <v>102.47</v>
      </c>
      <c r="AK8" s="1">
        <v>137.16999999999999</v>
      </c>
      <c r="AL8" s="1">
        <v>174.59</v>
      </c>
    </row>
    <row r="9" spans="3:38">
      <c r="C9" s="1">
        <v>19</v>
      </c>
      <c r="D9" s="1">
        <v>277.23</v>
      </c>
      <c r="E9" s="1">
        <v>453.67</v>
      </c>
      <c r="F9" s="1">
        <v>389.76</v>
      </c>
      <c r="G9" s="1">
        <v>358.05</v>
      </c>
      <c r="H9" s="1">
        <v>348.28</v>
      </c>
      <c r="I9" s="1">
        <v>184.84</v>
      </c>
      <c r="J9" s="1">
        <v>152.26</v>
      </c>
      <c r="K9" s="1">
        <v>245.61</v>
      </c>
      <c r="L9" s="1">
        <v>267.88</v>
      </c>
      <c r="M9" s="1">
        <v>264.62</v>
      </c>
      <c r="N9" s="1">
        <v>195</v>
      </c>
      <c r="O9" s="1">
        <v>398</v>
      </c>
      <c r="P9" s="1">
        <v>328</v>
      </c>
      <c r="Q9" s="1">
        <v>359</v>
      </c>
      <c r="R9" s="1">
        <v>356</v>
      </c>
      <c r="S9" s="1">
        <v>280.85000000000002</v>
      </c>
      <c r="T9" s="1">
        <v>262.29000000000002</v>
      </c>
      <c r="U9" s="1">
        <v>280.42</v>
      </c>
      <c r="V9" s="1">
        <v>242.92</v>
      </c>
      <c r="W9" s="1">
        <v>261.14999999999998</v>
      </c>
      <c r="X9" s="1">
        <v>352.09</v>
      </c>
      <c r="Y9" s="1">
        <v>185.74</v>
      </c>
      <c r="Z9" s="1">
        <v>298.83</v>
      </c>
      <c r="AA9" s="1">
        <v>369.37</v>
      </c>
      <c r="AB9" s="1">
        <v>408.15</v>
      </c>
      <c r="AC9" s="1">
        <v>112.19</v>
      </c>
      <c r="AD9" s="1">
        <v>153.38</v>
      </c>
      <c r="AE9" s="1">
        <v>128.81</v>
      </c>
      <c r="AF9" s="1">
        <v>189.2</v>
      </c>
      <c r="AG9" s="1">
        <v>57.98</v>
      </c>
      <c r="AH9" s="1">
        <v>144.09</v>
      </c>
      <c r="AI9" s="1">
        <v>170.27</v>
      </c>
      <c r="AJ9" s="1">
        <v>311.66000000000003</v>
      </c>
      <c r="AK9" s="1">
        <v>320.37</v>
      </c>
      <c r="AL9" s="1">
        <v>304.70999999999998</v>
      </c>
    </row>
    <row r="10" spans="3:38">
      <c r="C10" s="1">
        <v>24</v>
      </c>
      <c r="D10" s="1">
        <v>381.36</v>
      </c>
      <c r="E10" s="1">
        <v>604.17999999999995</v>
      </c>
      <c r="F10" s="1">
        <v>548.52</v>
      </c>
      <c r="G10" s="1">
        <v>530.39</v>
      </c>
      <c r="H10" s="1">
        <v>480.75</v>
      </c>
      <c r="I10" s="1">
        <v>296.61</v>
      </c>
      <c r="J10" s="1">
        <v>412.85</v>
      </c>
      <c r="K10" s="1">
        <v>509.37</v>
      </c>
      <c r="L10" s="1">
        <v>320.57</v>
      </c>
      <c r="M10" s="1">
        <v>300.87</v>
      </c>
      <c r="N10" s="1">
        <v>267</v>
      </c>
      <c r="O10" s="1">
        <v>568</v>
      </c>
      <c r="P10" s="1">
        <v>412</v>
      </c>
      <c r="Q10" s="1">
        <v>547</v>
      </c>
      <c r="R10" s="1">
        <v>489</v>
      </c>
      <c r="S10" s="1">
        <v>495.71</v>
      </c>
      <c r="T10" s="1">
        <v>353.79</v>
      </c>
      <c r="U10" s="1">
        <v>468.99</v>
      </c>
      <c r="V10" s="1">
        <v>333.29</v>
      </c>
      <c r="W10" s="1">
        <v>372.95</v>
      </c>
      <c r="X10" s="1">
        <v>496.42</v>
      </c>
      <c r="Y10" s="1">
        <v>206.23</v>
      </c>
      <c r="Z10" s="1">
        <v>325.68</v>
      </c>
      <c r="AA10" s="1">
        <v>502.3</v>
      </c>
      <c r="AB10" s="1">
        <v>531.42999999999995</v>
      </c>
      <c r="AC10" s="1">
        <v>193.18</v>
      </c>
      <c r="AD10" s="1">
        <v>231.76</v>
      </c>
      <c r="AE10" s="1">
        <v>226.41</v>
      </c>
      <c r="AF10" s="1">
        <v>94.6</v>
      </c>
      <c r="AG10" s="1">
        <v>74.17</v>
      </c>
      <c r="AH10" s="1">
        <v>218.24</v>
      </c>
      <c r="AI10" s="1">
        <v>222.43</v>
      </c>
      <c r="AJ10" s="1">
        <v>442.4</v>
      </c>
      <c r="AK10" s="1">
        <v>475.24</v>
      </c>
      <c r="AL10" s="1">
        <v>489.34</v>
      </c>
    </row>
    <row r="11" spans="3:38">
      <c r="C11" s="1">
        <v>29</v>
      </c>
      <c r="D11" s="1">
        <v>786.31</v>
      </c>
      <c r="E11" s="1">
        <v>1202.23</v>
      </c>
      <c r="F11" s="1">
        <v>581.61</v>
      </c>
      <c r="G11" s="1">
        <v>650.39</v>
      </c>
      <c r="H11" s="1">
        <v>710.7</v>
      </c>
      <c r="I11" s="1">
        <v>418.38</v>
      </c>
      <c r="J11" s="1">
        <v>472.43</v>
      </c>
      <c r="K11" s="1">
        <v>634.20000000000005</v>
      </c>
      <c r="L11" s="1">
        <v>423.77</v>
      </c>
      <c r="M11" s="1">
        <v>589.45000000000005</v>
      </c>
      <c r="N11" s="1">
        <v>358.27</v>
      </c>
      <c r="O11" s="1">
        <v>837.71</v>
      </c>
      <c r="P11" s="1">
        <v>504.94</v>
      </c>
      <c r="Q11" s="1">
        <v>653.13</v>
      </c>
      <c r="R11" s="1">
        <v>656.77</v>
      </c>
      <c r="S11" s="1">
        <v>504.66</v>
      </c>
      <c r="T11" s="1">
        <v>455.16</v>
      </c>
      <c r="U11" s="1">
        <v>606.27</v>
      </c>
      <c r="V11" s="1">
        <v>647.74</v>
      </c>
      <c r="W11" s="1">
        <v>589.45000000000005</v>
      </c>
      <c r="X11" s="1">
        <v>551.64</v>
      </c>
      <c r="Y11" s="1">
        <v>450.07</v>
      </c>
      <c r="Z11" s="1">
        <v>449.8</v>
      </c>
      <c r="AA11" s="1">
        <v>771.14</v>
      </c>
      <c r="AB11" s="1">
        <v>555.66999999999996</v>
      </c>
      <c r="AC11" s="1">
        <v>327.52</v>
      </c>
      <c r="AD11" s="1">
        <v>284.8</v>
      </c>
      <c r="AE11" s="1">
        <v>370.6</v>
      </c>
      <c r="AF11" s="1">
        <v>304.89999999999998</v>
      </c>
      <c r="AG11" s="1">
        <v>181.9</v>
      </c>
      <c r="AH11" s="1">
        <v>449.04</v>
      </c>
      <c r="AI11" s="1">
        <v>385.35</v>
      </c>
      <c r="AJ11" s="1">
        <v>649.79999999999995</v>
      </c>
      <c r="AK11" s="1">
        <v>869.38</v>
      </c>
      <c r="AL11" s="1">
        <v>744.96</v>
      </c>
    </row>
    <row r="12" spans="3:38">
      <c r="C12" s="1">
        <v>36</v>
      </c>
      <c r="D12" s="1">
        <v>1132.48</v>
      </c>
      <c r="E12" s="1">
        <v>1817.04</v>
      </c>
      <c r="F12" s="1">
        <v>1090.29</v>
      </c>
      <c r="G12" s="1">
        <v>1192.78</v>
      </c>
      <c r="H12" s="1">
        <v>1057.53</v>
      </c>
      <c r="I12" s="1">
        <v>1212.96</v>
      </c>
      <c r="J12" s="1">
        <v>1078.69</v>
      </c>
      <c r="K12" s="1">
        <v>1015.68</v>
      </c>
      <c r="L12" s="1">
        <v>685.07</v>
      </c>
      <c r="M12" s="1">
        <v>843.28</v>
      </c>
      <c r="N12" s="1">
        <v>534</v>
      </c>
      <c r="O12" s="1">
        <v>1278</v>
      </c>
      <c r="P12" s="1">
        <v>787</v>
      </c>
      <c r="Q12" s="1">
        <v>1145</v>
      </c>
      <c r="R12" s="1">
        <v>843</v>
      </c>
      <c r="S12" s="1">
        <v>792.4</v>
      </c>
      <c r="T12" s="1">
        <v>565.49</v>
      </c>
      <c r="U12" s="1">
        <v>1483.56</v>
      </c>
      <c r="V12" s="1">
        <v>685.81</v>
      </c>
      <c r="W12" s="1">
        <v>796.14</v>
      </c>
      <c r="X12" s="1">
        <v>701.69</v>
      </c>
      <c r="Y12" s="1">
        <v>715.05</v>
      </c>
      <c r="Z12" s="1">
        <v>718.76</v>
      </c>
      <c r="AA12" s="1">
        <v>884.8</v>
      </c>
      <c r="AB12" s="1">
        <v>695.72</v>
      </c>
      <c r="AC12" s="1">
        <v>560.45000000000005</v>
      </c>
      <c r="AD12" s="1">
        <v>452.64</v>
      </c>
      <c r="AE12" s="1">
        <v>557.02</v>
      </c>
      <c r="AF12" s="1">
        <v>326.77999999999997</v>
      </c>
      <c r="AG12" s="1">
        <v>527.67999999999995</v>
      </c>
      <c r="AH12" s="1">
        <v>620.96</v>
      </c>
      <c r="AI12" s="1">
        <v>611.6</v>
      </c>
      <c r="AJ12" s="1">
        <v>803.05</v>
      </c>
      <c r="AK12" s="1">
        <v>1225.6400000000001</v>
      </c>
      <c r="AL12" s="1">
        <v>1028.03</v>
      </c>
    </row>
    <row r="13" spans="3:38">
      <c r="C13" s="1">
        <v>42</v>
      </c>
      <c r="D13" s="1">
        <v>1448.73</v>
      </c>
      <c r="E13" s="1">
        <v>2567.7800000000002</v>
      </c>
      <c r="F13" s="1">
        <v>1977.52</v>
      </c>
      <c r="G13" s="1">
        <v>1948.54</v>
      </c>
      <c r="H13" s="1">
        <v>1518.98</v>
      </c>
      <c r="I13" s="1">
        <v>1903.42</v>
      </c>
      <c r="J13" s="1">
        <v>1481.88</v>
      </c>
      <c r="K13" s="1">
        <v>1609.1</v>
      </c>
      <c r="L13" s="1">
        <v>862.33</v>
      </c>
      <c r="M13" s="1">
        <v>1315.91</v>
      </c>
      <c r="N13" s="1">
        <v>925.16</v>
      </c>
      <c r="O13" s="1">
        <v>1659.45</v>
      </c>
      <c r="P13" s="1">
        <v>1095.21</v>
      </c>
      <c r="Q13" s="1">
        <v>1470.7</v>
      </c>
      <c r="R13" s="1">
        <v>1182.2</v>
      </c>
      <c r="S13" s="1">
        <v>1104.77</v>
      </c>
      <c r="T13" s="1">
        <v>869.11</v>
      </c>
      <c r="U13" s="1">
        <v>1583.34</v>
      </c>
      <c r="V13" s="1">
        <v>1320.18</v>
      </c>
      <c r="W13" s="1">
        <v>894.5</v>
      </c>
      <c r="X13" s="1">
        <v>1102.32</v>
      </c>
      <c r="Y13" s="1">
        <v>1359.62</v>
      </c>
      <c r="Z13" s="1">
        <v>1085.8900000000001</v>
      </c>
      <c r="AA13" s="1">
        <v>1064.23</v>
      </c>
      <c r="AB13" s="1">
        <v>1150.22</v>
      </c>
      <c r="AC13" s="1">
        <v>846.43</v>
      </c>
      <c r="AD13" s="1">
        <v>324.8</v>
      </c>
      <c r="AE13" s="1">
        <v>653.67999999999995</v>
      </c>
      <c r="AF13" s="1">
        <v>471.38</v>
      </c>
      <c r="AG13" s="1">
        <v>847.01</v>
      </c>
      <c r="AH13" s="1">
        <v>826.74</v>
      </c>
      <c r="AI13" s="1">
        <v>729.52</v>
      </c>
      <c r="AJ13" s="1">
        <v>815.62</v>
      </c>
      <c r="AK13" s="1">
        <v>2352.2199999999998</v>
      </c>
      <c r="AL13" s="1">
        <v>1115.95</v>
      </c>
    </row>
  </sheetData>
  <mergeCells count="7">
    <mergeCell ref="AH5:AL5"/>
    <mergeCell ref="D5:H5"/>
    <mergeCell ref="I5:M5"/>
    <mergeCell ref="N5:R5"/>
    <mergeCell ref="S5:W5"/>
    <mergeCell ref="X5:AB5"/>
    <mergeCell ref="AC5:AG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C340-963A-4E2B-A1FF-24FEB878EC16}">
  <dimension ref="C8:AL15"/>
  <sheetViews>
    <sheetView workbookViewId="0">
      <selection activeCell="Q24" sqref="Q24"/>
    </sheetView>
  </sheetViews>
  <sheetFormatPr defaultRowHeight="14.4"/>
  <sheetData>
    <row r="8" spans="3:38">
      <c r="C8" s="1" t="s">
        <v>36</v>
      </c>
      <c r="D8" s="39" t="s">
        <v>6</v>
      </c>
      <c r="E8" s="39"/>
      <c r="F8" s="39"/>
      <c r="G8" s="39"/>
      <c r="H8" s="39"/>
      <c r="I8" s="39" t="s">
        <v>13</v>
      </c>
      <c r="J8" s="39"/>
      <c r="K8" s="39"/>
      <c r="L8" s="39"/>
      <c r="M8" s="39"/>
      <c r="N8" s="39" t="s">
        <v>14</v>
      </c>
      <c r="O8" s="39"/>
      <c r="P8" s="39"/>
      <c r="Q8" s="39"/>
      <c r="R8" s="39"/>
      <c r="S8" s="39" t="s">
        <v>22</v>
      </c>
      <c r="T8" s="39"/>
      <c r="U8" s="39"/>
      <c r="V8" s="39"/>
      <c r="W8" s="39"/>
      <c r="X8" s="39" t="s">
        <v>15</v>
      </c>
      <c r="Y8" s="39"/>
      <c r="Z8" s="39"/>
      <c r="AA8" s="39"/>
      <c r="AB8" s="39"/>
      <c r="AC8" s="39" t="s">
        <v>16</v>
      </c>
      <c r="AD8" s="39"/>
      <c r="AE8" s="39"/>
      <c r="AF8" s="39"/>
      <c r="AG8" s="39"/>
      <c r="AH8" s="39" t="s">
        <v>17</v>
      </c>
      <c r="AI8" s="39"/>
      <c r="AJ8" s="39"/>
      <c r="AK8" s="39"/>
      <c r="AL8" s="39"/>
    </row>
    <row r="9" spans="3:38">
      <c r="C9" s="1">
        <v>9</v>
      </c>
      <c r="D9" s="1">
        <v>20.8</v>
      </c>
      <c r="E9" s="1">
        <v>21</v>
      </c>
      <c r="F9" s="1">
        <v>18.899999999999999</v>
      </c>
      <c r="G9" s="1">
        <v>22</v>
      </c>
      <c r="H9" s="1">
        <v>20.6</v>
      </c>
      <c r="I9" s="1">
        <v>20.399999999999999</v>
      </c>
      <c r="J9" s="1">
        <v>22.3</v>
      </c>
      <c r="K9" s="1">
        <v>20.6</v>
      </c>
      <c r="L9" s="1">
        <v>19.100000000000001</v>
      </c>
      <c r="M9" s="1">
        <v>19.899999999999999</v>
      </c>
      <c r="N9" s="1">
        <v>20.3</v>
      </c>
      <c r="O9" s="1">
        <v>18.600000000000001</v>
      </c>
      <c r="P9" s="1">
        <v>19.399999999999999</v>
      </c>
      <c r="Q9" s="1">
        <v>20.100000000000001</v>
      </c>
      <c r="R9" s="1">
        <v>19.3</v>
      </c>
      <c r="S9" s="1">
        <v>20.3</v>
      </c>
      <c r="T9" s="1">
        <v>22.5</v>
      </c>
      <c r="U9" s="1">
        <v>19.8</v>
      </c>
      <c r="V9" s="1">
        <v>18.7</v>
      </c>
      <c r="W9" s="1">
        <v>20.100000000000001</v>
      </c>
      <c r="X9" s="1">
        <v>21.2</v>
      </c>
      <c r="Y9" s="1">
        <v>19.7</v>
      </c>
      <c r="Z9" s="1">
        <v>19.2</v>
      </c>
      <c r="AA9" s="1">
        <v>19.399999999999999</v>
      </c>
      <c r="AB9" s="1">
        <v>20.8</v>
      </c>
      <c r="AC9" s="1">
        <v>20.9</v>
      </c>
      <c r="AD9" s="1">
        <v>19.899999999999999</v>
      </c>
      <c r="AE9" s="1">
        <v>20.3</v>
      </c>
      <c r="AF9" s="1">
        <v>17.899999999999999</v>
      </c>
      <c r="AG9" s="1">
        <v>18.2</v>
      </c>
      <c r="AH9" s="1">
        <v>19.8</v>
      </c>
      <c r="AI9" s="1">
        <v>20.3</v>
      </c>
      <c r="AJ9" s="1">
        <v>19.399999999999999</v>
      </c>
      <c r="AK9" s="1">
        <v>20.5</v>
      </c>
      <c r="AL9" s="1">
        <v>20.399999999999999</v>
      </c>
    </row>
    <row r="10" spans="3:38">
      <c r="C10" s="1">
        <v>14</v>
      </c>
      <c r="D10" s="1">
        <v>22.1</v>
      </c>
      <c r="E10" s="1">
        <v>22.4</v>
      </c>
      <c r="F10" s="1">
        <v>19.100000000000001</v>
      </c>
      <c r="G10" s="1">
        <v>22.7</v>
      </c>
      <c r="H10" s="1">
        <v>20.9</v>
      </c>
      <c r="I10" s="1">
        <v>21.5</v>
      </c>
      <c r="J10" s="1">
        <v>23.8</v>
      </c>
      <c r="K10" s="1">
        <v>20.100000000000001</v>
      </c>
      <c r="L10" s="1">
        <v>18.899999999999999</v>
      </c>
      <c r="M10" s="1">
        <v>22.8</v>
      </c>
      <c r="N10" s="1">
        <v>21.4</v>
      </c>
      <c r="O10" s="1">
        <v>22</v>
      </c>
      <c r="P10" s="1">
        <v>21.2</v>
      </c>
      <c r="Q10" s="1">
        <v>21.8</v>
      </c>
      <c r="R10" s="1">
        <v>20.8</v>
      </c>
      <c r="S10" s="1">
        <v>20.5</v>
      </c>
      <c r="T10" s="1">
        <v>22.4</v>
      </c>
      <c r="U10" s="1">
        <v>19.399999999999999</v>
      </c>
      <c r="V10" s="1">
        <v>18.5</v>
      </c>
      <c r="W10" s="1">
        <v>20.6</v>
      </c>
      <c r="X10" s="1">
        <v>21.5</v>
      </c>
      <c r="Y10" s="1">
        <v>20.399999999999999</v>
      </c>
      <c r="Z10" s="1">
        <v>19.5</v>
      </c>
      <c r="AA10" s="1">
        <v>20.3</v>
      </c>
      <c r="AB10" s="1">
        <v>21.4</v>
      </c>
      <c r="AC10" s="1">
        <v>21.6</v>
      </c>
      <c r="AD10" s="1">
        <v>20.100000000000001</v>
      </c>
      <c r="AE10" s="1">
        <v>20.9</v>
      </c>
      <c r="AF10" s="1">
        <v>18.2</v>
      </c>
      <c r="AG10" s="1">
        <v>18.600000000000001</v>
      </c>
      <c r="AH10" s="1">
        <v>19.7</v>
      </c>
      <c r="AI10" s="1">
        <v>20.7</v>
      </c>
      <c r="AJ10" s="1">
        <v>20.2</v>
      </c>
      <c r="AK10" s="1">
        <v>20.9</v>
      </c>
      <c r="AL10" s="1">
        <v>20.7</v>
      </c>
    </row>
    <row r="11" spans="3:38">
      <c r="C11" s="1">
        <v>19</v>
      </c>
      <c r="D11" s="1">
        <v>22.3</v>
      </c>
      <c r="E11" s="1">
        <v>22.8</v>
      </c>
      <c r="F11" s="1">
        <v>20.3</v>
      </c>
      <c r="G11" s="1">
        <v>23.1</v>
      </c>
      <c r="H11" s="1">
        <v>20.7</v>
      </c>
      <c r="I11" s="1">
        <v>21.9</v>
      </c>
      <c r="J11" s="1">
        <v>23.9</v>
      </c>
      <c r="K11" s="1">
        <v>21.5</v>
      </c>
      <c r="L11" s="1">
        <v>20.6</v>
      </c>
      <c r="M11" s="1">
        <v>23.3</v>
      </c>
      <c r="N11" s="1">
        <v>22.3</v>
      </c>
      <c r="O11" s="1">
        <v>21.8</v>
      </c>
      <c r="P11" s="1">
        <v>22.2</v>
      </c>
      <c r="Q11" s="1">
        <v>22.4</v>
      </c>
      <c r="R11" s="1">
        <v>21.4</v>
      </c>
      <c r="S11" s="1">
        <v>20.399999999999999</v>
      </c>
      <c r="T11" s="1">
        <v>22.8</v>
      </c>
      <c r="U11" s="1">
        <v>19.899999999999999</v>
      </c>
      <c r="V11" s="1">
        <v>18.7</v>
      </c>
      <c r="W11" s="1">
        <v>20.399999999999999</v>
      </c>
      <c r="X11" s="1">
        <v>22.7</v>
      </c>
      <c r="Y11" s="1">
        <v>21.8</v>
      </c>
      <c r="Z11" s="1">
        <v>20.399999999999999</v>
      </c>
      <c r="AA11" s="1">
        <v>21.6</v>
      </c>
      <c r="AB11" s="1">
        <v>22.7</v>
      </c>
      <c r="AC11" s="1">
        <v>22.9</v>
      </c>
      <c r="AD11" s="1">
        <v>21.4</v>
      </c>
      <c r="AE11" s="1">
        <v>22.1</v>
      </c>
      <c r="AF11" s="1">
        <v>18.899999999999999</v>
      </c>
      <c r="AG11" s="1">
        <v>19.7</v>
      </c>
      <c r="AH11" s="1">
        <v>20.2</v>
      </c>
      <c r="AI11" s="1">
        <v>22.6</v>
      </c>
      <c r="AJ11" s="1">
        <v>20.8</v>
      </c>
      <c r="AK11" s="1">
        <v>22.3</v>
      </c>
      <c r="AL11" s="1">
        <v>21.9</v>
      </c>
    </row>
    <row r="12" spans="3:38">
      <c r="C12" s="1">
        <v>24</v>
      </c>
      <c r="D12" s="1">
        <v>21.7</v>
      </c>
      <c r="E12" s="1">
        <v>22.3</v>
      </c>
      <c r="F12" s="1">
        <v>20</v>
      </c>
      <c r="G12" s="1">
        <v>23.1</v>
      </c>
      <c r="H12" s="1">
        <v>20.399999999999999</v>
      </c>
      <c r="I12" s="1">
        <v>21.9</v>
      </c>
      <c r="J12" s="1">
        <v>23.2</v>
      </c>
      <c r="K12" s="1">
        <v>21.3</v>
      </c>
      <c r="L12" s="1">
        <v>20.5</v>
      </c>
      <c r="M12" s="1">
        <v>22.2</v>
      </c>
      <c r="N12" s="1">
        <v>21.4</v>
      </c>
      <c r="O12" s="1">
        <v>21.1</v>
      </c>
      <c r="P12" s="1">
        <v>21.9</v>
      </c>
      <c r="Q12" s="1">
        <v>21.6</v>
      </c>
      <c r="R12" s="1">
        <v>21</v>
      </c>
      <c r="S12" s="1">
        <v>20.8</v>
      </c>
      <c r="T12" s="1">
        <v>22.4</v>
      </c>
      <c r="U12" s="1">
        <v>20.100000000000001</v>
      </c>
      <c r="V12" s="1">
        <v>19.399999999999999</v>
      </c>
      <c r="W12" s="1">
        <v>20.100000000000001</v>
      </c>
      <c r="X12" s="1">
        <v>22.6</v>
      </c>
      <c r="Y12" s="1">
        <v>20.8</v>
      </c>
      <c r="Z12" s="1">
        <v>19.899999999999999</v>
      </c>
      <c r="AA12" s="1">
        <v>21.4</v>
      </c>
      <c r="AB12" s="1">
        <v>22.5</v>
      </c>
      <c r="AC12" s="1">
        <v>21.5</v>
      </c>
      <c r="AD12" s="1">
        <v>20.6</v>
      </c>
      <c r="AE12" s="1">
        <v>21.3</v>
      </c>
      <c r="AF12" s="1">
        <v>18.7</v>
      </c>
      <c r="AG12" s="1">
        <v>19.5</v>
      </c>
      <c r="AH12" s="1">
        <v>19.600000000000001</v>
      </c>
      <c r="AI12" s="1">
        <v>21.5</v>
      </c>
      <c r="AJ12" s="1">
        <v>20.2</v>
      </c>
      <c r="AK12" s="1">
        <v>21.5</v>
      </c>
      <c r="AL12" s="1">
        <v>21.4</v>
      </c>
    </row>
    <row r="13" spans="3:38">
      <c r="C13" s="1">
        <v>29</v>
      </c>
      <c r="D13" s="1">
        <v>23.6</v>
      </c>
      <c r="E13" s="1">
        <v>24.1</v>
      </c>
      <c r="F13" s="1">
        <v>19.899999999999999</v>
      </c>
      <c r="G13" s="1">
        <v>24.5</v>
      </c>
      <c r="H13" s="1">
        <v>21.7</v>
      </c>
      <c r="I13" s="1">
        <v>22.9</v>
      </c>
      <c r="J13" s="1">
        <v>24.3</v>
      </c>
      <c r="K13" s="1">
        <v>22.3</v>
      </c>
      <c r="L13" s="1">
        <v>21.7</v>
      </c>
      <c r="M13" s="1">
        <v>22.4</v>
      </c>
      <c r="N13" s="1">
        <v>22.5</v>
      </c>
      <c r="O13" s="1">
        <v>21</v>
      </c>
      <c r="P13" s="1">
        <v>22.5</v>
      </c>
      <c r="Q13" s="1">
        <v>21.7</v>
      </c>
      <c r="R13" s="1">
        <v>22.4</v>
      </c>
      <c r="S13" s="1">
        <v>20.5</v>
      </c>
      <c r="T13" s="1">
        <v>22.8</v>
      </c>
      <c r="U13" s="1">
        <v>19.5</v>
      </c>
      <c r="V13" s="1">
        <v>19.8</v>
      </c>
      <c r="W13" s="1">
        <v>20.3</v>
      </c>
      <c r="X13" s="1">
        <v>23.8</v>
      </c>
      <c r="Y13" s="1">
        <v>22.8</v>
      </c>
      <c r="Z13" s="1">
        <v>21.3</v>
      </c>
      <c r="AA13" s="1">
        <v>22.6</v>
      </c>
      <c r="AB13" s="1">
        <v>23.6</v>
      </c>
      <c r="AC13" s="1">
        <v>22.6</v>
      </c>
      <c r="AD13" s="1">
        <v>21.1</v>
      </c>
      <c r="AE13" s="1">
        <v>22.9</v>
      </c>
      <c r="AF13" s="1">
        <v>19.399999999999999</v>
      </c>
      <c r="AG13" s="1">
        <v>20.6</v>
      </c>
      <c r="AH13" s="1">
        <v>20.8</v>
      </c>
      <c r="AI13" s="1">
        <v>22.4</v>
      </c>
      <c r="AJ13" s="1">
        <v>21</v>
      </c>
      <c r="AK13" s="1">
        <v>22.7</v>
      </c>
      <c r="AL13" s="1">
        <v>21.9</v>
      </c>
    </row>
    <row r="14" spans="3:38">
      <c r="C14" s="1">
        <v>36</v>
      </c>
      <c r="D14" s="1">
        <v>23.6</v>
      </c>
      <c r="E14" s="1">
        <v>24.1</v>
      </c>
      <c r="F14" s="1">
        <v>19.899999999999999</v>
      </c>
      <c r="G14" s="1">
        <v>24.5</v>
      </c>
      <c r="H14" s="1">
        <v>21.7</v>
      </c>
      <c r="I14" s="1">
        <v>22.9</v>
      </c>
      <c r="J14" s="1">
        <v>24.3</v>
      </c>
      <c r="K14" s="1">
        <v>22.3</v>
      </c>
      <c r="L14" s="1">
        <v>21.7</v>
      </c>
      <c r="M14" s="1">
        <v>22.4</v>
      </c>
      <c r="N14" s="1">
        <v>22.5</v>
      </c>
      <c r="O14" s="1">
        <v>21</v>
      </c>
      <c r="P14" s="1">
        <v>22.5</v>
      </c>
      <c r="Q14" s="1">
        <v>21.7</v>
      </c>
      <c r="R14" s="1">
        <v>22.4</v>
      </c>
      <c r="S14" s="1">
        <v>20.399999999999999</v>
      </c>
      <c r="T14" s="1">
        <v>22.7</v>
      </c>
      <c r="U14" s="1">
        <v>19.899999999999999</v>
      </c>
      <c r="V14" s="1">
        <v>20.100000000000001</v>
      </c>
      <c r="W14" s="1">
        <v>20.2</v>
      </c>
      <c r="X14" s="1">
        <v>23.8</v>
      </c>
      <c r="Y14" s="1">
        <v>22.8</v>
      </c>
      <c r="Z14" s="1">
        <v>21.3</v>
      </c>
      <c r="AA14" s="1">
        <v>22.6</v>
      </c>
      <c r="AB14" s="1">
        <v>23.6</v>
      </c>
      <c r="AC14" s="1">
        <v>22.6</v>
      </c>
      <c r="AD14" s="1">
        <v>21.1</v>
      </c>
      <c r="AE14" s="1">
        <v>22.9</v>
      </c>
      <c r="AF14" s="1">
        <v>19.399999999999999</v>
      </c>
      <c r="AG14" s="1">
        <v>20.6</v>
      </c>
      <c r="AH14" s="1">
        <v>20.8</v>
      </c>
      <c r="AI14" s="1">
        <v>22.4</v>
      </c>
      <c r="AJ14" s="1">
        <v>21</v>
      </c>
      <c r="AK14" s="1">
        <v>22.7</v>
      </c>
      <c r="AL14" s="1">
        <v>21.9</v>
      </c>
    </row>
    <row r="15" spans="3:38">
      <c r="C15" s="1">
        <v>42</v>
      </c>
      <c r="D15" s="1">
        <v>24</v>
      </c>
      <c r="E15" s="1">
        <v>24</v>
      </c>
      <c r="F15" s="1">
        <v>19</v>
      </c>
      <c r="G15" s="1">
        <v>26</v>
      </c>
      <c r="H15" s="1">
        <v>23</v>
      </c>
      <c r="I15" s="1">
        <v>23</v>
      </c>
      <c r="J15" s="1">
        <v>24</v>
      </c>
      <c r="K15" s="1">
        <v>24</v>
      </c>
      <c r="L15" s="1">
        <v>24</v>
      </c>
      <c r="M15" s="1">
        <v>22</v>
      </c>
      <c r="N15" s="1">
        <v>25</v>
      </c>
      <c r="O15" s="1">
        <v>23</v>
      </c>
      <c r="P15" s="1">
        <v>23</v>
      </c>
      <c r="Q15" s="1">
        <v>23</v>
      </c>
      <c r="R15" s="1">
        <v>20</v>
      </c>
      <c r="S15" s="1">
        <v>20.6</v>
      </c>
      <c r="T15" s="1">
        <v>22.1</v>
      </c>
      <c r="U15" s="1">
        <v>20.100000000000001</v>
      </c>
      <c r="V15" s="1">
        <v>20.3</v>
      </c>
      <c r="W15" s="1">
        <v>20.7</v>
      </c>
      <c r="X15" s="1">
        <v>26</v>
      </c>
      <c r="Y15" s="1">
        <v>23</v>
      </c>
      <c r="Z15" s="1">
        <v>22</v>
      </c>
      <c r="AA15" s="1">
        <v>25</v>
      </c>
      <c r="AB15" s="1">
        <v>24</v>
      </c>
      <c r="AC15" s="1">
        <v>23</v>
      </c>
      <c r="AD15" s="1">
        <v>22</v>
      </c>
      <c r="AE15" s="1">
        <v>24</v>
      </c>
      <c r="AF15" s="1">
        <v>20</v>
      </c>
      <c r="AG15" s="1">
        <v>21</v>
      </c>
      <c r="AH15" s="1">
        <v>23</v>
      </c>
      <c r="AI15" s="1">
        <v>23</v>
      </c>
      <c r="AJ15" s="1">
        <v>23</v>
      </c>
      <c r="AK15" s="1">
        <v>24</v>
      </c>
      <c r="AL15" s="1">
        <v>23</v>
      </c>
    </row>
  </sheetData>
  <mergeCells count="7">
    <mergeCell ref="AH8:AL8"/>
    <mergeCell ref="D8:H8"/>
    <mergeCell ref="I8:M8"/>
    <mergeCell ref="N8:R8"/>
    <mergeCell ref="S8:W8"/>
    <mergeCell ref="X8:AB8"/>
    <mergeCell ref="AC8:AG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1AD5-9642-4149-A6BF-6D393D6CDEDA}">
  <dimension ref="D5:K40"/>
  <sheetViews>
    <sheetView topLeftCell="A16" workbookViewId="0">
      <selection activeCell="M37" sqref="M37"/>
    </sheetView>
  </sheetViews>
  <sheetFormatPr defaultRowHeight="14.4"/>
  <cols>
    <col min="5" max="5" width="14.47265625" customWidth="1"/>
    <col min="6" max="6" width="13.05078125" customWidth="1"/>
    <col min="7" max="7" width="13.15625" customWidth="1"/>
    <col min="8" max="8" width="16.1015625" customWidth="1"/>
    <col min="9" max="9" width="14.9453125" customWidth="1"/>
    <col min="10" max="10" width="14.734375" customWidth="1"/>
    <col min="11" max="11" width="17.3671875" customWidth="1"/>
  </cols>
  <sheetData>
    <row r="5" spans="4:11">
      <c r="D5" s="1" t="s">
        <v>36</v>
      </c>
      <c r="E5" s="2" t="s">
        <v>6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22</v>
      </c>
    </row>
    <row r="6" spans="4:11">
      <c r="D6" s="1">
        <v>47</v>
      </c>
      <c r="E6" s="1">
        <v>1</v>
      </c>
      <c r="F6" s="1"/>
      <c r="G6" s="1"/>
      <c r="H6" s="1"/>
      <c r="I6" s="1"/>
      <c r="J6" s="1"/>
      <c r="K6" s="1"/>
    </row>
    <row r="7" spans="4:11">
      <c r="D7" s="1">
        <v>41</v>
      </c>
      <c r="E7" s="1">
        <v>1</v>
      </c>
      <c r="F7" s="1"/>
      <c r="G7" s="1"/>
      <c r="H7" s="1"/>
      <c r="I7" s="1"/>
      <c r="J7" s="1"/>
      <c r="K7" s="1"/>
    </row>
    <row r="8" spans="4:11">
      <c r="D8" s="1">
        <v>46</v>
      </c>
      <c r="E8" s="1">
        <v>1</v>
      </c>
      <c r="F8" s="1"/>
      <c r="G8" s="1"/>
      <c r="H8" s="1"/>
      <c r="I8" s="1"/>
      <c r="J8" s="1"/>
      <c r="K8" s="1"/>
    </row>
    <row r="9" spans="4:11">
      <c r="D9" s="1">
        <v>45</v>
      </c>
      <c r="E9" s="1">
        <v>1</v>
      </c>
      <c r="F9" s="1"/>
      <c r="G9" s="1"/>
      <c r="H9" s="1"/>
      <c r="I9" s="1"/>
      <c r="J9" s="1"/>
      <c r="K9" s="1"/>
    </row>
    <row r="10" spans="4:11">
      <c r="D10" s="1">
        <v>48</v>
      </c>
      <c r="E10" s="1">
        <v>1</v>
      </c>
      <c r="F10" s="1"/>
      <c r="G10" s="1"/>
      <c r="H10" s="1"/>
      <c r="I10" s="1"/>
      <c r="J10" s="1"/>
      <c r="K10" s="1"/>
    </row>
    <row r="11" spans="4:11">
      <c r="D11" s="1">
        <v>43</v>
      </c>
      <c r="E11" s="1"/>
      <c r="F11" s="1">
        <v>1</v>
      </c>
      <c r="G11" s="1"/>
      <c r="H11" s="1"/>
      <c r="I11" s="1"/>
      <c r="J11" s="1"/>
      <c r="K11" s="1"/>
    </row>
    <row r="12" spans="4:11">
      <c r="D12" s="1">
        <v>49</v>
      </c>
      <c r="E12" s="1"/>
      <c r="F12" s="1">
        <v>1</v>
      </c>
      <c r="G12" s="1"/>
      <c r="H12" s="1"/>
      <c r="I12" s="1"/>
      <c r="J12" s="1"/>
      <c r="K12" s="1"/>
    </row>
    <row r="13" spans="4:11">
      <c r="D13" s="1">
        <v>48</v>
      </c>
      <c r="E13" s="1"/>
      <c r="F13" s="1">
        <v>1</v>
      </c>
      <c r="G13" s="1"/>
      <c r="H13" s="1"/>
      <c r="I13" s="1"/>
      <c r="J13" s="1"/>
      <c r="K13" s="1"/>
    </row>
    <row r="14" spans="4:11">
      <c r="D14" s="1">
        <v>52</v>
      </c>
      <c r="E14" s="1"/>
      <c r="F14" s="1">
        <v>1</v>
      </c>
      <c r="G14" s="1"/>
      <c r="H14" s="1"/>
      <c r="I14" s="1"/>
      <c r="J14" s="1"/>
      <c r="K14" s="1"/>
    </row>
    <row r="15" spans="4:11">
      <c r="D15" s="1">
        <v>51</v>
      </c>
      <c r="E15" s="1"/>
      <c r="F15" s="1">
        <v>1</v>
      </c>
      <c r="G15" s="1"/>
      <c r="H15" s="1"/>
      <c r="I15" s="1"/>
      <c r="J15" s="1"/>
      <c r="K15" s="1"/>
    </row>
    <row r="16" spans="4:11">
      <c r="D16" s="1">
        <v>52</v>
      </c>
      <c r="E16" s="1"/>
      <c r="F16" s="1"/>
      <c r="G16" s="1">
        <v>1</v>
      </c>
      <c r="H16" s="1"/>
      <c r="I16" s="1"/>
      <c r="J16" s="1"/>
      <c r="K16" s="1"/>
    </row>
    <row r="17" spans="4:11">
      <c r="D17" s="1">
        <v>55</v>
      </c>
      <c r="E17" s="1"/>
      <c r="F17" s="1"/>
      <c r="G17" s="1">
        <v>1</v>
      </c>
      <c r="H17" s="1"/>
      <c r="I17" s="1"/>
      <c r="J17" s="1"/>
      <c r="K17" s="1"/>
    </row>
    <row r="18" spans="4:11">
      <c r="D18" s="1">
        <v>49</v>
      </c>
      <c r="E18" s="1"/>
      <c r="F18" s="1"/>
      <c r="G18" s="1">
        <v>1</v>
      </c>
      <c r="H18" s="1"/>
      <c r="I18" s="1"/>
      <c r="J18" s="1"/>
      <c r="K18" s="1"/>
    </row>
    <row r="19" spans="4:11">
      <c r="D19" s="1">
        <v>50</v>
      </c>
      <c r="E19" s="1"/>
      <c r="F19" s="1"/>
      <c r="G19" s="1">
        <v>1</v>
      </c>
      <c r="H19" s="1"/>
      <c r="I19" s="1"/>
      <c r="J19" s="1"/>
      <c r="K19" s="1"/>
    </row>
    <row r="20" spans="4:11">
      <c r="D20" s="1">
        <v>54</v>
      </c>
      <c r="E20" s="1"/>
      <c r="F20" s="1"/>
      <c r="G20" s="1">
        <v>1</v>
      </c>
      <c r="H20" s="1"/>
      <c r="I20" s="1"/>
      <c r="J20" s="1"/>
      <c r="K20" s="1"/>
    </row>
    <row r="21" spans="4:11">
      <c r="D21" s="1">
        <v>53</v>
      </c>
      <c r="E21" s="1"/>
      <c r="F21" s="1"/>
      <c r="G21" s="1"/>
      <c r="H21" s="1">
        <v>1</v>
      </c>
      <c r="I21" s="1"/>
      <c r="J21" s="1"/>
      <c r="K21" s="1"/>
    </row>
    <row r="22" spans="4:11">
      <c r="D22" s="1">
        <v>48</v>
      </c>
      <c r="E22" s="1"/>
      <c r="F22" s="1"/>
      <c r="G22" s="1"/>
      <c r="H22" s="1">
        <v>1</v>
      </c>
      <c r="I22" s="1"/>
      <c r="J22" s="1"/>
      <c r="K22" s="1"/>
    </row>
    <row r="23" spans="4:11">
      <c r="D23" s="1">
        <v>54</v>
      </c>
      <c r="E23" s="1"/>
      <c r="F23" s="1"/>
      <c r="G23" s="1"/>
      <c r="H23" s="1">
        <v>1</v>
      </c>
      <c r="I23" s="1"/>
      <c r="J23" s="1"/>
      <c r="K23" s="1"/>
    </row>
    <row r="24" spans="4:11">
      <c r="D24" s="1">
        <v>52</v>
      </c>
      <c r="E24" s="1"/>
      <c r="F24" s="1"/>
      <c r="G24" s="1"/>
      <c r="H24" s="1">
        <v>1</v>
      </c>
      <c r="I24" s="1"/>
      <c r="J24" s="1"/>
      <c r="K24" s="1"/>
    </row>
    <row r="25" spans="4:11">
      <c r="D25" s="1">
        <v>51</v>
      </c>
      <c r="E25" s="1"/>
      <c r="F25" s="1"/>
      <c r="G25" s="1"/>
      <c r="H25" s="1">
        <v>1</v>
      </c>
      <c r="I25" s="1"/>
      <c r="J25" s="1"/>
      <c r="K25" s="1"/>
    </row>
    <row r="26" spans="4:11">
      <c r="D26" s="1">
        <v>62</v>
      </c>
      <c r="E26" s="1"/>
      <c r="F26" s="1"/>
      <c r="G26" s="1"/>
      <c r="H26" s="1"/>
      <c r="I26" s="1">
        <v>1</v>
      </c>
      <c r="J26" s="1"/>
      <c r="K26" s="1"/>
    </row>
    <row r="27" spans="4:11">
      <c r="D27" s="1">
        <v>60</v>
      </c>
      <c r="E27" s="1"/>
      <c r="F27" s="1"/>
      <c r="G27" s="1"/>
      <c r="H27" s="1"/>
      <c r="I27" s="1">
        <v>1</v>
      </c>
      <c r="J27" s="1"/>
      <c r="K27" s="1"/>
    </row>
    <row r="28" spans="4:11">
      <c r="D28" s="1">
        <v>59</v>
      </c>
      <c r="E28" s="1"/>
      <c r="F28" s="1"/>
      <c r="G28" s="1"/>
      <c r="H28" s="1"/>
      <c r="I28" s="1">
        <v>1</v>
      </c>
      <c r="J28" s="1"/>
      <c r="K28" s="1"/>
    </row>
    <row r="29" spans="4:11">
      <c r="D29" s="1">
        <v>64</v>
      </c>
      <c r="E29" s="1"/>
      <c r="F29" s="1"/>
      <c r="G29" s="1"/>
      <c r="H29" s="1"/>
      <c r="I29" s="1">
        <v>1</v>
      </c>
      <c r="J29" s="1"/>
      <c r="K29" s="1"/>
    </row>
    <row r="30" spans="4:11">
      <c r="D30" s="1">
        <v>58</v>
      </c>
      <c r="E30" s="1"/>
      <c r="F30" s="1"/>
      <c r="G30" s="1"/>
      <c r="H30" s="1"/>
      <c r="I30" s="1">
        <v>1</v>
      </c>
      <c r="J30" s="1"/>
      <c r="K30" s="1"/>
    </row>
    <row r="31" spans="4:11">
      <c r="D31" s="1">
        <v>54</v>
      </c>
      <c r="E31" s="1"/>
      <c r="F31" s="1"/>
      <c r="G31" s="1"/>
      <c r="H31" s="1"/>
      <c r="I31" s="1"/>
      <c r="J31" s="1">
        <v>1</v>
      </c>
      <c r="K31" s="1"/>
    </row>
    <row r="32" spans="4:11">
      <c r="D32" s="1">
        <v>50</v>
      </c>
      <c r="E32" s="1"/>
      <c r="F32" s="1"/>
      <c r="G32" s="1"/>
      <c r="H32" s="1"/>
      <c r="I32" s="1"/>
      <c r="J32" s="1">
        <v>1</v>
      </c>
      <c r="K32" s="1"/>
    </row>
    <row r="33" spans="4:11">
      <c r="D33" s="1">
        <v>53</v>
      </c>
      <c r="E33" s="1"/>
      <c r="F33" s="1"/>
      <c r="G33" s="1"/>
      <c r="H33" s="1"/>
      <c r="I33" s="1"/>
      <c r="J33" s="1">
        <v>1</v>
      </c>
      <c r="K33" s="1"/>
    </row>
    <row r="34" spans="4:11">
      <c r="D34" s="1">
        <v>41</v>
      </c>
      <c r="E34" s="1"/>
      <c r="F34" s="1"/>
      <c r="G34" s="1"/>
      <c r="H34" s="1"/>
      <c r="I34" s="1"/>
      <c r="J34" s="1">
        <v>1</v>
      </c>
      <c r="K34" s="1"/>
    </row>
    <row r="35" spans="4:11">
      <c r="D35" s="1">
        <v>49</v>
      </c>
      <c r="E35" s="1"/>
      <c r="F35" s="1"/>
      <c r="G35" s="1"/>
      <c r="H35" s="1"/>
      <c r="I35" s="1"/>
      <c r="J35" s="1">
        <v>1</v>
      </c>
      <c r="K35" s="1"/>
    </row>
    <row r="36" spans="4:11">
      <c r="D36" s="1">
        <v>48</v>
      </c>
      <c r="E36" s="1"/>
      <c r="F36" s="1"/>
      <c r="G36" s="1"/>
      <c r="H36" s="1"/>
      <c r="I36" s="1"/>
      <c r="J36" s="1"/>
      <c r="K36" s="1">
        <v>1</v>
      </c>
    </row>
    <row r="37" spans="4:11">
      <c r="D37" s="1">
        <v>50</v>
      </c>
      <c r="E37" s="1"/>
      <c r="F37" s="1"/>
      <c r="G37" s="1"/>
      <c r="H37" s="1"/>
      <c r="I37" s="1"/>
      <c r="J37" s="1"/>
      <c r="K37" s="1">
        <v>1</v>
      </c>
    </row>
    <row r="38" spans="4:11">
      <c r="D38" s="1">
        <v>51</v>
      </c>
      <c r="E38" s="1"/>
      <c r="F38" s="1"/>
      <c r="G38" s="1"/>
      <c r="H38" s="1"/>
      <c r="I38" s="1"/>
      <c r="J38" s="1"/>
      <c r="K38" s="1">
        <v>1</v>
      </c>
    </row>
    <row r="39" spans="4:11">
      <c r="D39" s="1">
        <v>52</v>
      </c>
      <c r="E39" s="1"/>
      <c r="F39" s="1"/>
      <c r="G39" s="1"/>
      <c r="H39" s="1"/>
      <c r="I39" s="1"/>
      <c r="J39" s="1"/>
      <c r="K39" s="1">
        <v>1</v>
      </c>
    </row>
    <row r="40" spans="4:11">
      <c r="D40" s="1">
        <v>53</v>
      </c>
      <c r="E40" s="1"/>
      <c r="F40" s="1"/>
      <c r="G40" s="1"/>
      <c r="H40" s="1"/>
      <c r="I40" s="1"/>
      <c r="J40" s="1"/>
      <c r="K40" s="1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87051-3DF4-4417-A206-2DEDF458B7B6}">
  <dimension ref="D5:F74"/>
  <sheetViews>
    <sheetView topLeftCell="A31" workbookViewId="0">
      <selection activeCell="J42" sqref="J42"/>
    </sheetView>
  </sheetViews>
  <sheetFormatPr defaultRowHeight="14.4"/>
  <cols>
    <col min="4" max="4" width="8.83984375" customWidth="1"/>
    <col min="5" max="5" width="20.41796875" customWidth="1"/>
    <col min="6" max="6" width="25.05078125" customWidth="1"/>
  </cols>
  <sheetData>
    <row r="5" spans="4:6">
      <c r="D5" s="2" t="s">
        <v>50</v>
      </c>
      <c r="E5" s="2" t="s">
        <v>18</v>
      </c>
      <c r="F5" s="2" t="s">
        <v>19</v>
      </c>
    </row>
    <row r="6" spans="4:6">
      <c r="D6" s="1">
        <v>0.4</v>
      </c>
      <c r="E6" s="1">
        <v>0</v>
      </c>
      <c r="F6" s="1">
        <v>0</v>
      </c>
    </row>
    <row r="7" spans="4:6">
      <c r="D7" s="1">
        <v>0.46300000000000002</v>
      </c>
      <c r="E7" s="1">
        <v>0</v>
      </c>
      <c r="F7" s="1">
        <v>0</v>
      </c>
    </row>
    <row r="8" spans="4:6">
      <c r="D8" s="1">
        <v>0.53600000000000003</v>
      </c>
      <c r="E8" s="1">
        <v>0</v>
      </c>
      <c r="F8" s="1">
        <v>0</v>
      </c>
    </row>
    <row r="9" spans="4:6">
      <c r="D9" s="1">
        <v>0.621</v>
      </c>
      <c r="E9" s="1">
        <v>0</v>
      </c>
      <c r="F9" s="1">
        <v>0</v>
      </c>
    </row>
    <row r="10" spans="4:6">
      <c r="D10" s="1">
        <v>0.71899999999999997</v>
      </c>
      <c r="E10" s="1">
        <v>0</v>
      </c>
      <c r="F10" s="1">
        <v>0</v>
      </c>
    </row>
    <row r="11" spans="4:6">
      <c r="D11" s="1">
        <v>0.83299999999999996</v>
      </c>
      <c r="E11" s="1">
        <v>0</v>
      </c>
      <c r="F11" s="1">
        <v>0</v>
      </c>
    </row>
    <row r="12" spans="4:6">
      <c r="D12" s="1">
        <v>0.96499999999999997</v>
      </c>
      <c r="E12" s="1">
        <v>0</v>
      </c>
      <c r="F12" s="1">
        <v>0</v>
      </c>
    </row>
    <row r="13" spans="4:6">
      <c r="D13" s="1">
        <v>1.1200000000000001</v>
      </c>
      <c r="E13" s="1">
        <v>0</v>
      </c>
      <c r="F13" s="1">
        <v>0</v>
      </c>
    </row>
    <row r="14" spans="4:6">
      <c r="D14" s="1">
        <v>1.29</v>
      </c>
      <c r="E14" s="1">
        <v>0</v>
      </c>
      <c r="F14" s="1">
        <v>0</v>
      </c>
    </row>
    <row r="15" spans="4:6">
      <c r="D15" s="1">
        <v>1.5</v>
      </c>
      <c r="E15" s="1">
        <v>0</v>
      </c>
      <c r="F15" s="1">
        <v>0</v>
      </c>
    </row>
    <row r="16" spans="4:6">
      <c r="D16" s="1">
        <v>1.74</v>
      </c>
      <c r="E16" s="1">
        <v>0</v>
      </c>
      <c r="F16" s="1">
        <v>0</v>
      </c>
    </row>
    <row r="17" spans="4:6">
      <c r="D17" s="1">
        <v>2.0099999999999998</v>
      </c>
      <c r="E17" s="1">
        <v>0</v>
      </c>
      <c r="F17" s="1">
        <v>0</v>
      </c>
    </row>
    <row r="18" spans="4:6">
      <c r="D18" s="1">
        <v>2.33</v>
      </c>
      <c r="E18" s="1">
        <v>0</v>
      </c>
      <c r="F18" s="1">
        <v>0</v>
      </c>
    </row>
    <row r="19" spans="4:6">
      <c r="D19" s="1">
        <v>2.7</v>
      </c>
      <c r="E19" s="1">
        <v>0</v>
      </c>
      <c r="F19" s="1">
        <v>0</v>
      </c>
    </row>
    <row r="20" spans="4:6">
      <c r="D20" s="1">
        <v>3.12</v>
      </c>
      <c r="E20" s="1">
        <v>0</v>
      </c>
      <c r="F20" s="1">
        <v>0</v>
      </c>
    </row>
    <row r="21" spans="4:6">
      <c r="D21" s="1">
        <v>3.62</v>
      </c>
      <c r="E21" s="1">
        <v>0</v>
      </c>
      <c r="F21" s="1">
        <v>0</v>
      </c>
    </row>
    <row r="22" spans="4:6">
      <c r="D22" s="1">
        <v>4.1900000000000004</v>
      </c>
      <c r="E22" s="1">
        <v>0</v>
      </c>
      <c r="F22" s="1">
        <v>0</v>
      </c>
    </row>
    <row r="23" spans="4:6">
      <c r="D23" s="1">
        <v>4.8499999999999996</v>
      </c>
      <c r="E23" s="1">
        <v>0</v>
      </c>
      <c r="F23" s="1">
        <v>0</v>
      </c>
    </row>
    <row r="24" spans="4:6">
      <c r="D24" s="1">
        <v>5.61</v>
      </c>
      <c r="E24" s="1">
        <v>0</v>
      </c>
      <c r="F24" s="1">
        <v>0</v>
      </c>
    </row>
    <row r="25" spans="4:6">
      <c r="D25" s="1">
        <v>6.5</v>
      </c>
      <c r="E25" s="1">
        <v>0</v>
      </c>
      <c r="F25" s="1">
        <v>0</v>
      </c>
    </row>
    <row r="26" spans="4:6">
      <c r="D26" s="1">
        <v>7.53</v>
      </c>
      <c r="E26" s="1">
        <v>0</v>
      </c>
      <c r="F26" s="1">
        <v>0</v>
      </c>
    </row>
    <row r="27" spans="4:6">
      <c r="D27" s="1">
        <v>8.7200000000000006</v>
      </c>
      <c r="E27" s="1">
        <v>0</v>
      </c>
      <c r="F27" s="1">
        <v>0</v>
      </c>
    </row>
    <row r="28" spans="4:6">
      <c r="D28" s="1">
        <v>10.1</v>
      </c>
      <c r="E28" s="1">
        <v>0</v>
      </c>
      <c r="F28" s="1">
        <v>0</v>
      </c>
    </row>
    <row r="29" spans="4:6">
      <c r="D29" s="1">
        <v>11.7</v>
      </c>
      <c r="E29" s="1">
        <v>0</v>
      </c>
      <c r="F29" s="1">
        <v>0</v>
      </c>
    </row>
    <row r="30" spans="4:6">
      <c r="D30" s="1">
        <v>13.5</v>
      </c>
      <c r="E30" s="1">
        <v>0</v>
      </c>
      <c r="F30" s="1">
        <v>0</v>
      </c>
    </row>
    <row r="31" spans="4:6">
      <c r="D31" s="1">
        <v>15.7</v>
      </c>
      <c r="E31" s="1">
        <v>0</v>
      </c>
      <c r="F31" s="1">
        <v>0</v>
      </c>
    </row>
    <row r="32" spans="4:6">
      <c r="D32" s="1">
        <v>18.2</v>
      </c>
      <c r="E32" s="1">
        <v>0</v>
      </c>
      <c r="F32" s="1">
        <v>0</v>
      </c>
    </row>
    <row r="33" spans="4:6">
      <c r="D33" s="1">
        <v>21</v>
      </c>
      <c r="E33" s="1">
        <v>0</v>
      </c>
      <c r="F33" s="1">
        <v>0</v>
      </c>
    </row>
    <row r="34" spans="4:6">
      <c r="D34" s="1">
        <v>24.4</v>
      </c>
      <c r="E34" s="1">
        <v>0</v>
      </c>
      <c r="F34" s="1">
        <v>6.4899999999999999E-2</v>
      </c>
    </row>
    <row r="35" spans="4:6">
      <c r="D35" s="1">
        <v>28.2</v>
      </c>
      <c r="E35" s="1">
        <v>0</v>
      </c>
      <c r="F35" s="1">
        <v>0.39200000000000002</v>
      </c>
    </row>
    <row r="36" spans="4:6">
      <c r="D36" s="1">
        <v>32.700000000000003</v>
      </c>
      <c r="E36" s="1">
        <v>0</v>
      </c>
      <c r="F36" s="1">
        <v>0.94599999999999995</v>
      </c>
    </row>
    <row r="37" spans="4:6">
      <c r="D37" s="1">
        <v>37.799999999999997</v>
      </c>
      <c r="E37" s="1">
        <v>0.24199999999999999</v>
      </c>
      <c r="F37" s="1">
        <v>1.74</v>
      </c>
    </row>
    <row r="38" spans="4:6">
      <c r="D38" s="1">
        <v>43.8</v>
      </c>
      <c r="E38" s="1">
        <v>2.02</v>
      </c>
      <c r="F38" s="1">
        <v>2.85</v>
      </c>
    </row>
    <row r="39" spans="4:6">
      <c r="D39" s="1">
        <v>50.7</v>
      </c>
      <c r="E39" s="1">
        <v>4.9000000000000004</v>
      </c>
      <c r="F39" s="1">
        <v>4.3</v>
      </c>
    </row>
    <row r="40" spans="4:6">
      <c r="D40" s="1">
        <v>58.8</v>
      </c>
      <c r="E40" s="1">
        <v>7.99</v>
      </c>
      <c r="F40" s="1">
        <v>6.05</v>
      </c>
    </row>
    <row r="41" spans="4:6">
      <c r="D41" s="1">
        <v>68.099999999999994</v>
      </c>
      <c r="E41" s="1">
        <v>10.5</v>
      </c>
      <c r="F41" s="1">
        <v>7.93</v>
      </c>
    </row>
    <row r="42" spans="4:6">
      <c r="D42" s="1">
        <v>78.8</v>
      </c>
      <c r="E42" s="1">
        <v>12.1</v>
      </c>
      <c r="F42" s="1">
        <v>9.68</v>
      </c>
    </row>
    <row r="43" spans="4:6">
      <c r="D43" s="1">
        <v>91.3</v>
      </c>
      <c r="E43" s="1">
        <v>12.5</v>
      </c>
      <c r="F43" s="1">
        <v>11</v>
      </c>
    </row>
    <row r="44" spans="4:6">
      <c r="D44" s="1">
        <v>106</v>
      </c>
      <c r="E44" s="1">
        <v>12</v>
      </c>
      <c r="F44" s="1">
        <v>11.6</v>
      </c>
    </row>
    <row r="45" spans="4:6">
      <c r="D45" s="1">
        <v>122</v>
      </c>
      <c r="E45" s="1">
        <v>10.7</v>
      </c>
      <c r="F45" s="1">
        <v>11.4</v>
      </c>
    </row>
    <row r="46" spans="4:6">
      <c r="D46" s="1">
        <v>142</v>
      </c>
      <c r="E46" s="1">
        <v>8.8699999999999992</v>
      </c>
      <c r="F46" s="1">
        <v>10.3</v>
      </c>
    </row>
    <row r="47" spans="4:6">
      <c r="D47" s="1">
        <v>164</v>
      </c>
      <c r="E47" s="1">
        <v>6.89</v>
      </c>
      <c r="F47" s="1">
        <v>8.56</v>
      </c>
    </row>
    <row r="48" spans="4:6">
      <c r="D48" s="1">
        <v>190</v>
      </c>
      <c r="E48" s="1">
        <v>4.95</v>
      </c>
      <c r="F48" s="1">
        <v>6.33</v>
      </c>
    </row>
    <row r="49" spans="4:6">
      <c r="D49" s="1">
        <v>220</v>
      </c>
      <c r="E49" s="1">
        <v>3.24</v>
      </c>
      <c r="F49" s="1">
        <v>4.03</v>
      </c>
    </row>
    <row r="50" spans="4:6">
      <c r="D50" s="1">
        <v>255</v>
      </c>
      <c r="E50" s="1">
        <v>1.88</v>
      </c>
      <c r="F50" s="1">
        <v>2.04</v>
      </c>
    </row>
    <row r="51" spans="4:6">
      <c r="D51" s="1">
        <v>295</v>
      </c>
      <c r="E51" s="1">
        <v>0.90500000000000003</v>
      </c>
      <c r="F51" s="1">
        <v>0.66800000000000004</v>
      </c>
    </row>
    <row r="52" spans="4:6">
      <c r="D52" s="1">
        <v>342</v>
      </c>
      <c r="E52" s="1">
        <v>0.31900000000000001</v>
      </c>
      <c r="F52" s="1">
        <v>3.8300000000000001E-2</v>
      </c>
    </row>
    <row r="53" spans="4:6">
      <c r="D53" s="1">
        <v>396</v>
      </c>
      <c r="E53" s="1">
        <v>5.4100000000000002E-2</v>
      </c>
      <c r="F53" s="1">
        <v>0</v>
      </c>
    </row>
    <row r="54" spans="4:6">
      <c r="D54" s="1">
        <v>459</v>
      </c>
      <c r="E54" s="1">
        <v>0</v>
      </c>
      <c r="F54" s="1">
        <v>0</v>
      </c>
    </row>
    <row r="55" spans="4:6">
      <c r="D55" s="1">
        <v>531</v>
      </c>
      <c r="E55" s="1">
        <v>0</v>
      </c>
      <c r="F55" s="1">
        <v>0</v>
      </c>
    </row>
    <row r="56" spans="4:6">
      <c r="D56" s="1">
        <v>615</v>
      </c>
      <c r="E56" s="1">
        <v>0</v>
      </c>
      <c r="F56" s="1">
        <v>0</v>
      </c>
    </row>
    <row r="57" spans="4:6">
      <c r="D57" s="1">
        <v>712</v>
      </c>
      <c r="E57" s="1">
        <v>0</v>
      </c>
      <c r="F57" s="1">
        <v>0</v>
      </c>
    </row>
    <row r="58" spans="4:6">
      <c r="D58" s="1">
        <v>825</v>
      </c>
      <c r="E58" s="1">
        <v>0</v>
      </c>
      <c r="F58" s="1">
        <v>0</v>
      </c>
    </row>
    <row r="59" spans="4:6">
      <c r="D59" s="1">
        <v>955</v>
      </c>
      <c r="E59" s="1">
        <v>0</v>
      </c>
      <c r="F59" s="1">
        <v>0</v>
      </c>
    </row>
    <row r="60" spans="4:6">
      <c r="D60" s="1">
        <v>1110</v>
      </c>
      <c r="E60" s="1">
        <v>0</v>
      </c>
      <c r="F60" s="1">
        <v>0</v>
      </c>
    </row>
    <row r="61" spans="4:6">
      <c r="D61" s="1">
        <v>1280</v>
      </c>
      <c r="E61" s="1">
        <v>0</v>
      </c>
      <c r="F61" s="1">
        <v>0</v>
      </c>
    </row>
    <row r="62" spans="4:6">
      <c r="D62" s="1">
        <v>1480</v>
      </c>
      <c r="E62" s="1">
        <v>0</v>
      </c>
      <c r="F62" s="1">
        <v>0</v>
      </c>
    </row>
    <row r="63" spans="4:6">
      <c r="D63" s="1">
        <v>1720</v>
      </c>
      <c r="E63" s="1">
        <v>0</v>
      </c>
      <c r="F63" s="1">
        <v>0</v>
      </c>
    </row>
    <row r="64" spans="4:6">
      <c r="D64" s="1">
        <v>1990</v>
      </c>
      <c r="E64" s="1">
        <v>0</v>
      </c>
      <c r="F64" s="1">
        <v>0</v>
      </c>
    </row>
    <row r="65" spans="4:6">
      <c r="D65" s="1">
        <v>2300</v>
      </c>
      <c r="E65" s="1">
        <v>0</v>
      </c>
      <c r="F65" s="1">
        <v>0</v>
      </c>
    </row>
    <row r="66" spans="4:6">
      <c r="D66" s="1">
        <v>2670</v>
      </c>
      <c r="E66" s="1">
        <v>0</v>
      </c>
      <c r="F66" s="1">
        <v>0</v>
      </c>
    </row>
    <row r="67" spans="4:6">
      <c r="D67" s="1">
        <v>3090</v>
      </c>
      <c r="E67" s="1">
        <v>0</v>
      </c>
      <c r="F67" s="1">
        <v>0</v>
      </c>
    </row>
    <row r="68" spans="4:6">
      <c r="D68" s="1">
        <v>3580</v>
      </c>
      <c r="E68" s="1">
        <v>0</v>
      </c>
      <c r="F68" s="1">
        <v>0</v>
      </c>
    </row>
    <row r="69" spans="4:6">
      <c r="D69" s="1">
        <v>4150</v>
      </c>
      <c r="E69" s="1">
        <v>0</v>
      </c>
      <c r="F69" s="1">
        <v>0</v>
      </c>
    </row>
    <row r="70" spans="4:6">
      <c r="D70" s="1">
        <v>4800</v>
      </c>
      <c r="E70" s="1">
        <v>0</v>
      </c>
      <c r="F70" s="1">
        <v>0</v>
      </c>
    </row>
    <row r="71" spans="4:6">
      <c r="D71" s="1">
        <v>5560</v>
      </c>
      <c r="E71" s="1">
        <v>0</v>
      </c>
      <c r="F71" s="1">
        <v>0</v>
      </c>
    </row>
    <row r="72" spans="4:6">
      <c r="D72" s="1">
        <v>6440</v>
      </c>
      <c r="E72" s="1">
        <v>0</v>
      </c>
      <c r="F72" s="1">
        <v>0</v>
      </c>
    </row>
    <row r="73" spans="4:6">
      <c r="D73" s="1">
        <v>7460</v>
      </c>
      <c r="E73" s="1">
        <v>0</v>
      </c>
      <c r="F73" s="1">
        <v>0</v>
      </c>
    </row>
    <row r="74" spans="4:6">
      <c r="D74" s="1">
        <v>8630</v>
      </c>
      <c r="E74" s="1">
        <v>0</v>
      </c>
      <c r="F74" s="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E6156-A361-49B1-93E7-3B291851E894}">
  <dimension ref="C7:I15"/>
  <sheetViews>
    <sheetView workbookViewId="0">
      <selection activeCell="G7" sqref="G7:I15"/>
    </sheetView>
  </sheetViews>
  <sheetFormatPr defaultRowHeight="14.4"/>
  <sheetData>
    <row r="7" spans="3:9">
      <c r="C7" s="2"/>
      <c r="D7" s="39" t="s">
        <v>19</v>
      </c>
      <c r="E7" s="39"/>
      <c r="F7" s="39"/>
      <c r="G7" s="39" t="s">
        <v>18</v>
      </c>
      <c r="H7" s="39"/>
      <c r="I7" s="39"/>
    </row>
    <row r="8" spans="3:9">
      <c r="C8" s="1">
        <v>1</v>
      </c>
      <c r="D8" s="1">
        <v>93.7</v>
      </c>
      <c r="E8" s="1">
        <v>98.1</v>
      </c>
      <c r="F8" s="1">
        <v>91.1</v>
      </c>
      <c r="G8" s="1">
        <v>94.1</v>
      </c>
      <c r="H8" s="1">
        <v>96.8</v>
      </c>
      <c r="I8" s="1">
        <v>99.2</v>
      </c>
    </row>
    <row r="9" spans="3:9">
      <c r="C9" s="1">
        <v>3</v>
      </c>
      <c r="D9" s="1">
        <v>92.6</v>
      </c>
      <c r="E9" s="1">
        <v>99.5</v>
      </c>
      <c r="F9" s="1">
        <v>93.4</v>
      </c>
      <c r="G9" s="1">
        <v>96.5</v>
      </c>
      <c r="H9" s="1">
        <v>97.2</v>
      </c>
      <c r="I9" s="1">
        <v>101.5</v>
      </c>
    </row>
    <row r="10" spans="3:9">
      <c r="C10" s="1">
        <v>5</v>
      </c>
      <c r="D10" s="1">
        <v>92.4</v>
      </c>
      <c r="E10" s="1">
        <v>96.7</v>
      </c>
      <c r="F10" s="1">
        <v>91.4</v>
      </c>
      <c r="G10" s="1">
        <v>92.5</v>
      </c>
      <c r="H10" s="1">
        <v>96.4</v>
      </c>
      <c r="I10" s="1">
        <v>101.1</v>
      </c>
    </row>
    <row r="11" spans="3:9">
      <c r="C11" s="1">
        <v>7</v>
      </c>
      <c r="D11" s="1">
        <v>97.6</v>
      </c>
      <c r="E11" s="1">
        <v>95.4</v>
      </c>
      <c r="F11" s="1">
        <v>91.8</v>
      </c>
      <c r="G11" s="1">
        <v>96.2</v>
      </c>
      <c r="H11" s="1">
        <v>99.5</v>
      </c>
      <c r="I11" s="1">
        <v>99.3</v>
      </c>
    </row>
    <row r="12" spans="3:9">
      <c r="C12" s="1">
        <v>9</v>
      </c>
      <c r="D12" s="1">
        <v>95.2</v>
      </c>
      <c r="E12" s="1">
        <v>98.4</v>
      </c>
      <c r="F12" s="1">
        <v>92.1</v>
      </c>
      <c r="G12" s="1">
        <v>97.3</v>
      </c>
      <c r="H12" s="1">
        <v>98.7</v>
      </c>
      <c r="I12" s="1">
        <v>101.4</v>
      </c>
    </row>
    <row r="13" spans="3:9">
      <c r="C13" s="1">
        <v>11</v>
      </c>
      <c r="D13" s="1">
        <v>96.5</v>
      </c>
      <c r="E13" s="1">
        <v>98.3</v>
      </c>
      <c r="F13" s="1">
        <v>91.5</v>
      </c>
      <c r="G13" s="1">
        <v>95.7</v>
      </c>
      <c r="H13" s="1">
        <v>99.5</v>
      </c>
      <c r="I13" s="1">
        <v>100.3</v>
      </c>
    </row>
    <row r="14" spans="3:9">
      <c r="C14" s="1">
        <v>13</v>
      </c>
      <c r="D14" s="1">
        <v>95.3</v>
      </c>
      <c r="E14" s="1">
        <v>99.5</v>
      </c>
      <c r="F14" s="1">
        <v>91.2</v>
      </c>
      <c r="G14" s="1">
        <v>94.1</v>
      </c>
      <c r="H14" s="1">
        <v>99.8</v>
      </c>
      <c r="I14" s="1">
        <v>99.5</v>
      </c>
    </row>
    <row r="15" spans="3:9">
      <c r="C15" s="1">
        <v>15</v>
      </c>
      <c r="D15" s="1">
        <v>96.8</v>
      </c>
      <c r="E15" s="1">
        <v>98.7</v>
      </c>
      <c r="F15" s="1">
        <v>92.4</v>
      </c>
      <c r="G15" s="1">
        <v>96.3</v>
      </c>
      <c r="H15" s="1">
        <v>98.8</v>
      </c>
      <c r="I15" s="1">
        <v>101.2</v>
      </c>
    </row>
  </sheetData>
  <mergeCells count="2">
    <mergeCell ref="D7:F7"/>
    <mergeCell ref="G7:I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B69B2-F832-41F2-B8EA-D9F85E78CF2D}">
  <dimension ref="F6:K14"/>
  <sheetViews>
    <sheetView workbookViewId="0">
      <selection activeCell="Q9" sqref="Q9"/>
    </sheetView>
  </sheetViews>
  <sheetFormatPr defaultRowHeight="14.4"/>
  <sheetData>
    <row r="6" spans="6:11">
      <c r="F6" s="39" t="s">
        <v>19</v>
      </c>
      <c r="G6" s="39"/>
      <c r="H6" s="39"/>
      <c r="I6" s="39" t="s">
        <v>18</v>
      </c>
      <c r="J6" s="39"/>
      <c r="K6" s="39"/>
    </row>
    <row r="7" spans="6:11">
      <c r="F7" s="1">
        <v>-20.7</v>
      </c>
      <c r="G7" s="1">
        <v>-25.6</v>
      </c>
      <c r="H7" s="1">
        <v>-16.5</v>
      </c>
      <c r="I7" s="1">
        <v>-20.2</v>
      </c>
      <c r="J7" s="1">
        <v>-23.6</v>
      </c>
      <c r="K7" s="1">
        <v>-17.399999999999999</v>
      </c>
    </row>
    <row r="8" spans="6:11">
      <c r="F8" s="1">
        <v>-18.5</v>
      </c>
      <c r="G8" s="1">
        <v>-27.4</v>
      </c>
      <c r="H8" s="1">
        <v>-17.600000000000001</v>
      </c>
      <c r="I8" s="1">
        <v>-19.8</v>
      </c>
      <c r="J8" s="1">
        <v>-24.6</v>
      </c>
      <c r="K8" s="1">
        <v>-16.8</v>
      </c>
    </row>
    <row r="9" spans="6:11">
      <c r="F9" s="1">
        <v>-17.3</v>
      </c>
      <c r="G9" s="1">
        <v>-24.7</v>
      </c>
      <c r="H9" s="1">
        <v>-18.7</v>
      </c>
      <c r="I9" s="1">
        <v>-21.5</v>
      </c>
      <c r="J9" s="1">
        <v>-26.5</v>
      </c>
      <c r="K9" s="1">
        <v>-18.399999999999999</v>
      </c>
    </row>
    <row r="10" spans="6:11">
      <c r="F10" s="1">
        <v>-18.600000000000001</v>
      </c>
      <c r="G10" s="1">
        <v>-22.6</v>
      </c>
      <c r="H10" s="1">
        <v>-20.3</v>
      </c>
      <c r="I10" s="1">
        <v>-20.5</v>
      </c>
      <c r="J10" s="1">
        <v>-23.6</v>
      </c>
      <c r="K10" s="1">
        <v>-17.399999999999999</v>
      </c>
    </row>
    <row r="11" spans="6:11">
      <c r="F11" s="1">
        <v>-20.100000000000001</v>
      </c>
      <c r="G11" s="1">
        <v>-22.4</v>
      </c>
      <c r="H11" s="1">
        <v>-23.6</v>
      </c>
      <c r="I11" s="1">
        <v>-18.7</v>
      </c>
      <c r="J11" s="1">
        <v>-23.4</v>
      </c>
      <c r="K11" s="1">
        <v>-18.399999999999999</v>
      </c>
    </row>
    <row r="12" spans="6:11">
      <c r="F12" s="1">
        <v>-18.399999999999999</v>
      </c>
      <c r="G12" s="1">
        <v>-23.8</v>
      </c>
      <c r="H12" s="1">
        <v>-17.600000000000001</v>
      </c>
      <c r="I12" s="1">
        <v>-19.2</v>
      </c>
      <c r="J12" s="1">
        <v>-23.5</v>
      </c>
      <c r="K12" s="1">
        <v>-19.7</v>
      </c>
    </row>
    <row r="13" spans="6:11">
      <c r="F13" s="1">
        <v>-19.8</v>
      </c>
      <c r="G13" s="1">
        <v>-16.8</v>
      </c>
      <c r="H13" s="1">
        <v>-17.399999999999999</v>
      </c>
      <c r="I13" s="1">
        <v>-21.3</v>
      </c>
      <c r="J13" s="1">
        <v>-26.2</v>
      </c>
      <c r="K13" s="1">
        <v>-18.600000000000001</v>
      </c>
    </row>
    <row r="14" spans="6:11">
      <c r="F14" s="1">
        <v>-18.3</v>
      </c>
      <c r="G14" s="1">
        <v>-22.9</v>
      </c>
      <c r="H14" s="1">
        <v>-18.7</v>
      </c>
      <c r="I14" s="1">
        <v>-18.899999999999999</v>
      </c>
      <c r="J14" s="1">
        <v>-24.8</v>
      </c>
      <c r="K14" s="1">
        <v>-19.399999999999999</v>
      </c>
    </row>
  </sheetData>
  <mergeCells count="2">
    <mergeCell ref="F6:H6"/>
    <mergeCell ref="I6:K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6E1C7-F657-4BD4-9268-03C283963A8C}">
  <dimension ref="E8:L11"/>
  <sheetViews>
    <sheetView workbookViewId="0">
      <selection activeCell="K14" sqref="K14"/>
    </sheetView>
  </sheetViews>
  <sheetFormatPr defaultRowHeight="14.4"/>
  <sheetData>
    <row r="8" spans="5:12">
      <c r="E8" s="2"/>
      <c r="F8" s="2"/>
      <c r="G8" s="39" t="s">
        <v>54</v>
      </c>
      <c r="H8" s="39"/>
      <c r="I8" s="39"/>
      <c r="J8" s="39" t="s">
        <v>55</v>
      </c>
      <c r="K8" s="39"/>
      <c r="L8" s="39"/>
    </row>
    <row r="9" spans="5:12">
      <c r="E9" s="3" t="s">
        <v>51</v>
      </c>
      <c r="F9" s="1"/>
      <c r="G9" s="1">
        <v>-20.2</v>
      </c>
      <c r="H9" s="1">
        <v>-24.5</v>
      </c>
      <c r="I9" s="1">
        <v>-16</v>
      </c>
      <c r="J9" s="1">
        <v>-20.6</v>
      </c>
      <c r="K9" s="1">
        <v>-26.3</v>
      </c>
      <c r="L9" s="1">
        <v>-15.1</v>
      </c>
    </row>
    <row r="10" spans="5:12">
      <c r="E10" s="3" t="s">
        <v>52</v>
      </c>
      <c r="F10" s="1"/>
      <c r="G10" s="1">
        <v>-5.58</v>
      </c>
      <c r="H10" s="1">
        <v>-10.6</v>
      </c>
      <c r="I10" s="1">
        <v>-9.68</v>
      </c>
      <c r="J10" s="1">
        <v>3.83</v>
      </c>
      <c r="K10" s="1">
        <v>5.44</v>
      </c>
      <c r="L10" s="1">
        <v>6.28</v>
      </c>
    </row>
    <row r="11" spans="5:12">
      <c r="E11" s="3" t="s">
        <v>53</v>
      </c>
      <c r="F11" s="1"/>
      <c r="G11" s="1">
        <v>-5.49</v>
      </c>
      <c r="H11" s="1">
        <v>-7.38</v>
      </c>
      <c r="I11" s="1">
        <v>-8.64</v>
      </c>
      <c r="J11" s="1">
        <v>7.29</v>
      </c>
      <c r="K11" s="1">
        <v>6.75</v>
      </c>
      <c r="L11" s="1">
        <v>10.1</v>
      </c>
    </row>
  </sheetData>
  <mergeCells count="2">
    <mergeCell ref="G8:I8"/>
    <mergeCell ref="J8:L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756EE-6329-43F3-9C04-4971764ACF68}">
  <dimension ref="C6:W7"/>
  <sheetViews>
    <sheetView workbookViewId="0">
      <selection activeCell="L21" sqref="L21"/>
    </sheetView>
  </sheetViews>
  <sheetFormatPr defaultRowHeight="14.4"/>
  <sheetData>
    <row r="6" spans="3:23">
      <c r="C6" s="39" t="s">
        <v>56</v>
      </c>
      <c r="D6" s="39"/>
      <c r="E6" s="39"/>
      <c r="F6" s="39" t="s">
        <v>57</v>
      </c>
      <c r="G6" s="39"/>
      <c r="H6" s="39"/>
      <c r="I6" s="39" t="s">
        <v>58</v>
      </c>
      <c r="J6" s="39"/>
      <c r="K6" s="39"/>
      <c r="L6" s="39" t="s">
        <v>59</v>
      </c>
      <c r="M6" s="39"/>
      <c r="N6" s="39"/>
      <c r="O6" s="39" t="s">
        <v>60</v>
      </c>
      <c r="P6" s="39"/>
      <c r="Q6" s="39"/>
      <c r="R6" s="39" t="s">
        <v>61</v>
      </c>
      <c r="S6" s="39"/>
      <c r="T6" s="39"/>
      <c r="U6" s="39" t="s">
        <v>61</v>
      </c>
      <c r="V6" s="39"/>
      <c r="W6" s="39"/>
    </row>
    <row r="7" spans="3:23">
      <c r="C7" s="1">
        <v>98.8</v>
      </c>
      <c r="D7" s="1">
        <v>92.4</v>
      </c>
      <c r="E7" s="1">
        <v>108.8</v>
      </c>
      <c r="F7" s="1">
        <v>855</v>
      </c>
      <c r="G7" s="1">
        <v>736</v>
      </c>
      <c r="H7" s="1">
        <v>267</v>
      </c>
      <c r="I7" s="1">
        <v>826</v>
      </c>
      <c r="J7" s="1">
        <v>850</v>
      </c>
      <c r="K7" s="1">
        <v>878</v>
      </c>
      <c r="L7" s="1">
        <v>267</v>
      </c>
      <c r="M7" s="1">
        <v>517</v>
      </c>
      <c r="N7" s="1">
        <v>528</v>
      </c>
      <c r="O7" s="1">
        <v>979</v>
      </c>
      <c r="P7" s="1">
        <v>803</v>
      </c>
      <c r="Q7" s="1">
        <v>865</v>
      </c>
      <c r="R7" s="1">
        <v>1387</v>
      </c>
      <c r="S7" s="1">
        <v>1427</v>
      </c>
      <c r="T7" s="1">
        <v>1290</v>
      </c>
      <c r="U7" s="1">
        <v>696</v>
      </c>
      <c r="V7" s="1">
        <v>916</v>
      </c>
      <c r="W7" s="1">
        <v>945</v>
      </c>
    </row>
  </sheetData>
  <mergeCells count="7">
    <mergeCell ref="U6:W6"/>
    <mergeCell ref="C6:E6"/>
    <mergeCell ref="F6:H6"/>
    <mergeCell ref="I6:K6"/>
    <mergeCell ref="L6:N6"/>
    <mergeCell ref="O6:Q6"/>
    <mergeCell ref="R6:T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06A2-0E9E-4F02-9D89-BFC7996FAEA0}">
  <dimension ref="D5:X6"/>
  <sheetViews>
    <sheetView topLeftCell="C1" workbookViewId="0">
      <selection activeCell="P13" sqref="P13"/>
    </sheetView>
  </sheetViews>
  <sheetFormatPr defaultRowHeight="14.4"/>
  <sheetData>
    <row r="5" spans="4:24">
      <c r="D5" s="39" t="s">
        <v>133</v>
      </c>
      <c r="E5" s="39"/>
      <c r="F5" s="39"/>
      <c r="G5" s="39" t="s">
        <v>134</v>
      </c>
      <c r="H5" s="39"/>
      <c r="I5" s="39"/>
      <c r="J5" s="39" t="s">
        <v>135</v>
      </c>
      <c r="K5" s="39"/>
      <c r="L5" s="39"/>
      <c r="M5" s="39" t="s">
        <v>136</v>
      </c>
      <c r="N5" s="39"/>
      <c r="O5" s="39"/>
      <c r="P5" s="39" t="s">
        <v>137</v>
      </c>
      <c r="Q5" s="39"/>
      <c r="R5" s="39"/>
      <c r="S5" s="39" t="s">
        <v>138</v>
      </c>
      <c r="T5" s="39"/>
      <c r="U5" s="39"/>
      <c r="V5" s="39" t="s">
        <v>139</v>
      </c>
      <c r="W5" s="39"/>
      <c r="X5" s="39"/>
    </row>
    <row r="6" spans="4:24">
      <c r="D6" s="1">
        <v>4.22</v>
      </c>
      <c r="E6" s="1">
        <v>3.94</v>
      </c>
      <c r="F6" s="1">
        <v>3.69</v>
      </c>
      <c r="G6" s="1">
        <v>97.7</v>
      </c>
      <c r="H6" s="1">
        <v>97</v>
      </c>
      <c r="I6" s="1">
        <v>97.6</v>
      </c>
      <c r="J6" s="1">
        <v>46.2</v>
      </c>
      <c r="K6" s="1">
        <v>40</v>
      </c>
      <c r="L6" s="1">
        <v>40.9</v>
      </c>
      <c r="M6" s="1">
        <v>96.8</v>
      </c>
      <c r="N6" s="1">
        <v>96.6</v>
      </c>
      <c r="O6" s="1">
        <v>97</v>
      </c>
      <c r="P6" s="1">
        <v>63.9</v>
      </c>
      <c r="Q6" s="1">
        <v>63.8</v>
      </c>
      <c r="R6" s="1">
        <v>64.400000000000006</v>
      </c>
      <c r="S6" s="1">
        <v>19.8</v>
      </c>
      <c r="T6" s="1">
        <v>20.3</v>
      </c>
      <c r="U6" s="1">
        <v>22.3</v>
      </c>
      <c r="V6" s="1">
        <v>95</v>
      </c>
      <c r="W6" s="1">
        <v>94.8</v>
      </c>
      <c r="X6" s="1">
        <v>95.5</v>
      </c>
    </row>
  </sheetData>
  <mergeCells count="7">
    <mergeCell ref="V5:X5"/>
    <mergeCell ref="D5:F5"/>
    <mergeCell ref="G5:I5"/>
    <mergeCell ref="J5:L5"/>
    <mergeCell ref="M5:O5"/>
    <mergeCell ref="P5:R5"/>
    <mergeCell ref="S5:U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375D-2C21-49D8-B2E0-3C3A8A12EE6D}">
  <dimension ref="D5:X6"/>
  <sheetViews>
    <sheetView workbookViewId="0">
      <selection activeCell="K16" sqref="K16"/>
    </sheetView>
  </sheetViews>
  <sheetFormatPr defaultRowHeight="14.4"/>
  <sheetData>
    <row r="5" spans="4:24">
      <c r="D5" s="39" t="s">
        <v>133</v>
      </c>
      <c r="E5" s="39"/>
      <c r="F5" s="39"/>
      <c r="G5" s="39" t="s">
        <v>134</v>
      </c>
      <c r="H5" s="39"/>
      <c r="I5" s="39"/>
      <c r="J5" s="39" t="s">
        <v>135</v>
      </c>
      <c r="K5" s="39"/>
      <c r="L5" s="39"/>
      <c r="M5" s="39" t="s">
        <v>136</v>
      </c>
      <c r="N5" s="39"/>
      <c r="O5" s="39"/>
      <c r="P5" s="39" t="s">
        <v>137</v>
      </c>
      <c r="Q5" s="39"/>
      <c r="R5" s="39"/>
      <c r="S5" s="39" t="s">
        <v>138</v>
      </c>
      <c r="T5" s="39"/>
      <c r="U5" s="39"/>
      <c r="V5" s="39" t="s">
        <v>139</v>
      </c>
      <c r="W5" s="39"/>
      <c r="X5" s="39"/>
    </row>
    <row r="6" spans="4:24">
      <c r="D6" s="1">
        <v>0.22</v>
      </c>
      <c r="E6" s="1">
        <v>0.27</v>
      </c>
      <c r="F6" s="1">
        <v>0.19</v>
      </c>
      <c r="G6" s="1">
        <v>95.9</v>
      </c>
      <c r="H6" s="1">
        <v>97.5</v>
      </c>
      <c r="I6" s="1">
        <v>98.1</v>
      </c>
      <c r="J6" s="1">
        <v>57.7</v>
      </c>
      <c r="K6" s="1">
        <v>61.8</v>
      </c>
      <c r="L6" s="1">
        <v>72.7</v>
      </c>
      <c r="M6" s="1">
        <v>98.6</v>
      </c>
      <c r="N6" s="1">
        <v>98.9</v>
      </c>
      <c r="O6" s="1">
        <v>99</v>
      </c>
      <c r="P6" s="1">
        <v>94.1</v>
      </c>
      <c r="Q6" s="1">
        <v>93</v>
      </c>
      <c r="R6" s="1">
        <v>96.2</v>
      </c>
      <c r="S6" s="1">
        <v>6.08</v>
      </c>
      <c r="T6" s="1">
        <v>5.8</v>
      </c>
      <c r="U6" s="1">
        <v>6.36</v>
      </c>
      <c r="V6" s="1">
        <v>95</v>
      </c>
      <c r="W6" s="1">
        <v>94.7</v>
      </c>
      <c r="X6" s="1">
        <v>96.9</v>
      </c>
    </row>
  </sheetData>
  <mergeCells count="7">
    <mergeCell ref="V5:X5"/>
    <mergeCell ref="D5:F5"/>
    <mergeCell ref="G5:I5"/>
    <mergeCell ref="J5:L5"/>
    <mergeCell ref="M5:O5"/>
    <mergeCell ref="P5:R5"/>
    <mergeCell ref="S5:U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9FA3F-7149-46EA-BE71-EA79220FB40C}">
  <dimension ref="D4:X5"/>
  <sheetViews>
    <sheetView workbookViewId="0">
      <selection activeCell="I19" sqref="I19"/>
    </sheetView>
  </sheetViews>
  <sheetFormatPr defaultRowHeight="14.4"/>
  <sheetData>
    <row r="4" spans="4:24">
      <c r="D4" s="39" t="s">
        <v>140</v>
      </c>
      <c r="E4" s="39"/>
      <c r="F4" s="39"/>
      <c r="G4" s="39" t="s">
        <v>134</v>
      </c>
      <c r="H4" s="39"/>
      <c r="I4" s="39"/>
      <c r="J4" s="39" t="s">
        <v>135</v>
      </c>
      <c r="K4" s="39"/>
      <c r="L4" s="39"/>
      <c r="M4" s="39" t="s">
        <v>136</v>
      </c>
      <c r="N4" s="39"/>
      <c r="O4" s="39"/>
      <c r="P4" s="39" t="s">
        <v>137</v>
      </c>
      <c r="Q4" s="39"/>
      <c r="R4" s="39"/>
      <c r="S4" s="39" t="s">
        <v>138</v>
      </c>
      <c r="T4" s="39"/>
      <c r="U4" s="39"/>
      <c r="V4" s="39" t="s">
        <v>139</v>
      </c>
      <c r="W4" s="39"/>
      <c r="X4" s="39"/>
    </row>
    <row r="5" spans="4:24">
      <c r="D5" s="1">
        <v>1.33</v>
      </c>
      <c r="E5" s="1">
        <v>1.69</v>
      </c>
      <c r="F5" s="1">
        <v>1.0900000000000001</v>
      </c>
      <c r="G5" s="1">
        <v>97.7</v>
      </c>
      <c r="H5" s="1">
        <v>96.1</v>
      </c>
      <c r="I5" s="1">
        <v>96.6</v>
      </c>
      <c r="J5" s="1">
        <v>40.6</v>
      </c>
      <c r="K5" s="1">
        <v>40.9</v>
      </c>
      <c r="L5" s="1">
        <v>45.2</v>
      </c>
      <c r="M5" s="1">
        <v>99.5</v>
      </c>
      <c r="N5" s="1">
        <v>99.5</v>
      </c>
      <c r="O5" s="1">
        <v>99.7</v>
      </c>
      <c r="P5" s="1">
        <v>83.1</v>
      </c>
      <c r="Q5" s="1">
        <v>75.900000000000006</v>
      </c>
      <c r="R5" s="1">
        <v>83.7</v>
      </c>
      <c r="S5" s="1">
        <v>28.8</v>
      </c>
      <c r="T5" s="1">
        <v>32.299999999999997</v>
      </c>
      <c r="U5" s="1">
        <v>28.1</v>
      </c>
      <c r="V5" s="1">
        <v>97.7</v>
      </c>
      <c r="W5" s="1">
        <v>97.8</v>
      </c>
      <c r="X5" s="1">
        <v>97.9</v>
      </c>
    </row>
  </sheetData>
  <mergeCells count="7">
    <mergeCell ref="V4:X4"/>
    <mergeCell ref="D4:F4"/>
    <mergeCell ref="G4:I4"/>
    <mergeCell ref="J4:L4"/>
    <mergeCell ref="M4:O4"/>
    <mergeCell ref="P4:R4"/>
    <mergeCell ref="S4:U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AA07-C311-4B71-84EE-DDFE8FBED280}">
  <dimension ref="F7:N8"/>
  <sheetViews>
    <sheetView workbookViewId="0">
      <selection activeCell="I14" sqref="I14"/>
    </sheetView>
  </sheetViews>
  <sheetFormatPr defaultRowHeight="14.4"/>
  <sheetData>
    <row r="7" spans="6:14">
      <c r="F7" s="39" t="s">
        <v>19</v>
      </c>
      <c r="G7" s="39"/>
      <c r="H7" s="39"/>
      <c r="I7" s="39" t="s">
        <v>248</v>
      </c>
      <c r="J7" s="39"/>
      <c r="K7" s="39"/>
      <c r="L7" s="39" t="s">
        <v>249</v>
      </c>
      <c r="M7" s="39"/>
      <c r="N7" s="39"/>
    </row>
    <row r="8" spans="6:14">
      <c r="F8" s="1">
        <v>0.79</v>
      </c>
      <c r="G8" s="1">
        <v>0.82</v>
      </c>
      <c r="H8" s="1">
        <v>0.8</v>
      </c>
      <c r="I8" s="1">
        <v>0.35</v>
      </c>
      <c r="J8" s="1">
        <v>0.38</v>
      </c>
      <c r="K8" s="1">
        <v>0.32</v>
      </c>
      <c r="L8" s="1">
        <v>0.36</v>
      </c>
      <c r="M8" s="1">
        <v>0.39</v>
      </c>
      <c r="N8" s="1">
        <v>0.42</v>
      </c>
    </row>
  </sheetData>
  <mergeCells count="3">
    <mergeCell ref="F7:H7"/>
    <mergeCell ref="I7:K7"/>
    <mergeCell ref="L7:N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F9CE4-3CC2-4037-9AEE-2C129BF741DE}">
  <dimension ref="C5:K6"/>
  <sheetViews>
    <sheetView workbookViewId="0">
      <selection activeCell="K17" sqref="K17"/>
    </sheetView>
  </sheetViews>
  <sheetFormatPr defaultRowHeight="14.4"/>
  <sheetData>
    <row r="5" spans="3:11">
      <c r="C5" s="39" t="s">
        <v>250</v>
      </c>
      <c r="D5" s="39"/>
      <c r="E5" s="39"/>
      <c r="F5" s="39" t="s">
        <v>251</v>
      </c>
      <c r="G5" s="39"/>
      <c r="H5" s="39"/>
      <c r="I5" s="39" t="s">
        <v>252</v>
      </c>
      <c r="J5" s="39"/>
      <c r="K5" s="39"/>
    </row>
    <row r="6" spans="3:11">
      <c r="C6" s="1">
        <v>1582</v>
      </c>
      <c r="D6" s="1">
        <v>1667</v>
      </c>
      <c r="E6" s="1">
        <v>1959</v>
      </c>
      <c r="F6" s="1">
        <v>5493</v>
      </c>
      <c r="G6" s="1">
        <v>5113</v>
      </c>
      <c r="H6" s="1">
        <v>5545</v>
      </c>
      <c r="I6" s="1">
        <v>1918</v>
      </c>
      <c r="J6" s="1">
        <v>2088</v>
      </c>
      <c r="K6" s="1">
        <v>1789</v>
      </c>
    </row>
  </sheetData>
  <mergeCells count="3">
    <mergeCell ref="C5:E5"/>
    <mergeCell ref="F5:H5"/>
    <mergeCell ref="I5:K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F1A32-D0E2-463F-A4CB-A2EA7D7CD6BC}">
  <dimension ref="C5:K6"/>
  <sheetViews>
    <sheetView workbookViewId="0">
      <selection activeCell="I12" sqref="I12"/>
    </sheetView>
  </sheetViews>
  <sheetFormatPr defaultRowHeight="14.4"/>
  <sheetData>
    <row r="5" spans="3:11">
      <c r="C5" s="39" t="s">
        <v>250</v>
      </c>
      <c r="D5" s="39"/>
      <c r="E5" s="39"/>
      <c r="F5" s="39" t="s">
        <v>251</v>
      </c>
      <c r="G5" s="39"/>
      <c r="H5" s="39"/>
      <c r="I5" s="39" t="s">
        <v>252</v>
      </c>
      <c r="J5" s="39"/>
      <c r="K5" s="39"/>
    </row>
    <row r="6" spans="3:11">
      <c r="C6" s="1">
        <v>442</v>
      </c>
      <c r="D6" s="1">
        <v>437</v>
      </c>
      <c r="E6" s="1">
        <v>419</v>
      </c>
      <c r="F6" s="1">
        <v>36974</v>
      </c>
      <c r="G6" s="1">
        <v>41303</v>
      </c>
      <c r="H6" s="1">
        <v>43486</v>
      </c>
      <c r="I6" s="1">
        <v>9129</v>
      </c>
      <c r="J6" s="1">
        <v>8799</v>
      </c>
      <c r="K6" s="1">
        <v>6719</v>
      </c>
    </row>
  </sheetData>
  <mergeCells count="3">
    <mergeCell ref="C5:E5"/>
    <mergeCell ref="F5:H5"/>
    <mergeCell ref="I5:K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434A-53E0-4FE5-B6AF-41EAE51F00E5}">
  <dimension ref="E6:M7"/>
  <sheetViews>
    <sheetView workbookViewId="0">
      <selection activeCell="I11" sqref="I11"/>
    </sheetView>
  </sheetViews>
  <sheetFormatPr defaultRowHeight="14.4"/>
  <sheetData>
    <row r="6" spans="5:13">
      <c r="E6" s="39" t="s">
        <v>250</v>
      </c>
      <c r="F6" s="39"/>
      <c r="G6" s="39"/>
      <c r="H6" s="39" t="s">
        <v>251</v>
      </c>
      <c r="I6" s="39"/>
      <c r="J6" s="39"/>
      <c r="K6" s="39" t="s">
        <v>252</v>
      </c>
      <c r="L6" s="39"/>
      <c r="M6" s="39"/>
    </row>
    <row r="7" spans="5:13">
      <c r="E7" s="1">
        <v>1628</v>
      </c>
      <c r="F7" s="1">
        <v>1821</v>
      </c>
      <c r="G7" s="1">
        <v>1749</v>
      </c>
      <c r="H7" s="1">
        <v>3834</v>
      </c>
      <c r="I7" s="1">
        <v>3676</v>
      </c>
      <c r="J7" s="1">
        <v>3365</v>
      </c>
      <c r="K7" s="1">
        <v>1944</v>
      </c>
      <c r="L7" s="1">
        <v>2373</v>
      </c>
      <c r="M7" s="1">
        <v>2304</v>
      </c>
    </row>
  </sheetData>
  <mergeCells count="3">
    <mergeCell ref="E6:G6"/>
    <mergeCell ref="H6:J6"/>
    <mergeCell ref="K6:M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B1F5-B9B5-40D4-B957-E5C7842B15A6}">
  <dimension ref="D8:L9"/>
  <sheetViews>
    <sheetView workbookViewId="0">
      <selection activeCell="E14" sqref="E14"/>
    </sheetView>
  </sheetViews>
  <sheetFormatPr defaultRowHeight="14.4"/>
  <sheetData>
    <row r="8" spans="4:12">
      <c r="D8" s="39" t="s">
        <v>250</v>
      </c>
      <c r="E8" s="39"/>
      <c r="F8" s="39"/>
      <c r="G8" s="39" t="s">
        <v>251</v>
      </c>
      <c r="H8" s="39"/>
      <c r="I8" s="39"/>
      <c r="J8" s="39" t="s">
        <v>252</v>
      </c>
      <c r="K8" s="39"/>
      <c r="L8" s="39"/>
    </row>
    <row r="9" spans="4:12">
      <c r="D9" s="1">
        <v>411</v>
      </c>
      <c r="E9" s="1">
        <v>459</v>
      </c>
      <c r="F9" s="1">
        <v>428</v>
      </c>
      <c r="G9" s="1">
        <v>33781</v>
      </c>
      <c r="H9" s="1">
        <v>35208</v>
      </c>
      <c r="I9" s="1">
        <v>36848</v>
      </c>
      <c r="J9" s="1">
        <v>33097</v>
      </c>
      <c r="K9" s="1">
        <v>30315</v>
      </c>
      <c r="L9" s="1">
        <v>32771</v>
      </c>
    </row>
  </sheetData>
  <mergeCells count="3">
    <mergeCell ref="D8:F8"/>
    <mergeCell ref="G8:I8"/>
    <mergeCell ref="J8:L8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D44E-19D3-44BB-B120-EBED0B794AED}">
  <dimension ref="E6:M7"/>
  <sheetViews>
    <sheetView workbookViewId="0">
      <selection activeCell="I10" sqref="I10"/>
    </sheetView>
  </sheetViews>
  <sheetFormatPr defaultRowHeight="14.4"/>
  <sheetData>
    <row r="6" spans="5:13">
      <c r="E6" s="39" t="s">
        <v>250</v>
      </c>
      <c r="F6" s="39"/>
      <c r="G6" s="39"/>
      <c r="H6" s="39" t="s">
        <v>251</v>
      </c>
      <c r="I6" s="39"/>
      <c r="J6" s="39"/>
      <c r="K6" s="39" t="s">
        <v>252</v>
      </c>
      <c r="L6" s="39"/>
      <c r="M6" s="39"/>
    </row>
    <row r="7" spans="5:13">
      <c r="E7" s="1">
        <v>1574</v>
      </c>
      <c r="F7" s="1">
        <v>1725</v>
      </c>
      <c r="G7" s="1">
        <v>1613</v>
      </c>
      <c r="H7" s="1">
        <v>5950</v>
      </c>
      <c r="I7" s="1">
        <v>5976</v>
      </c>
      <c r="J7" s="1">
        <v>5473</v>
      </c>
      <c r="K7" s="1">
        <v>1862</v>
      </c>
      <c r="L7" s="1">
        <v>1649</v>
      </c>
      <c r="M7" s="1">
        <v>2053</v>
      </c>
    </row>
  </sheetData>
  <mergeCells count="3">
    <mergeCell ref="E6:G6"/>
    <mergeCell ref="H6:J6"/>
    <mergeCell ref="K6:M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EA70-B120-4119-A03D-8C527D342A3A}">
  <dimension ref="E6:M7"/>
  <sheetViews>
    <sheetView workbookViewId="0">
      <selection activeCell="E7" sqref="E7"/>
    </sheetView>
  </sheetViews>
  <sheetFormatPr defaultRowHeight="14.4"/>
  <sheetData>
    <row r="6" spans="5:13">
      <c r="E6" s="39" t="s">
        <v>250</v>
      </c>
      <c r="F6" s="39"/>
      <c r="G6" s="39"/>
      <c r="H6" s="39" t="s">
        <v>251</v>
      </c>
      <c r="I6" s="39"/>
      <c r="J6" s="39"/>
      <c r="K6" s="39" t="s">
        <v>252</v>
      </c>
      <c r="L6" s="39"/>
      <c r="M6" s="39"/>
    </row>
    <row r="7" spans="5:13">
      <c r="E7" s="1">
        <v>421</v>
      </c>
      <c r="F7" s="1">
        <v>436</v>
      </c>
      <c r="G7" s="1">
        <v>457</v>
      </c>
      <c r="H7" s="1">
        <v>38016</v>
      </c>
      <c r="I7" s="1">
        <v>40131</v>
      </c>
      <c r="J7" s="1">
        <v>40213</v>
      </c>
      <c r="K7" s="1">
        <v>36475</v>
      </c>
      <c r="L7" s="1">
        <v>37908</v>
      </c>
      <c r="M7" s="1">
        <v>37558</v>
      </c>
    </row>
  </sheetData>
  <mergeCells count="3">
    <mergeCell ref="E6:G6"/>
    <mergeCell ref="H6:J6"/>
    <mergeCell ref="K6:M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74CF-34E6-4B7F-B0E9-C061539F31B9}">
  <dimension ref="D4:I73"/>
  <sheetViews>
    <sheetView topLeftCell="A16" workbookViewId="0">
      <selection activeCell="F15" sqref="F15"/>
    </sheetView>
  </sheetViews>
  <sheetFormatPr defaultRowHeight="14.4"/>
  <cols>
    <col min="4" max="4" width="22.3671875" customWidth="1"/>
    <col min="5" max="5" width="23.05078125" customWidth="1"/>
    <col min="6" max="6" width="26.26171875" customWidth="1"/>
    <col min="7" max="7" width="28.1015625" customWidth="1"/>
    <col min="8" max="8" width="31.734375" customWidth="1"/>
    <col min="9" max="9" width="33.9453125" customWidth="1"/>
  </cols>
  <sheetData>
    <row r="4" spans="4:9">
      <c r="D4" s="2" t="s">
        <v>50</v>
      </c>
      <c r="E4" s="2" t="s">
        <v>253</v>
      </c>
      <c r="F4" s="2" t="s">
        <v>254</v>
      </c>
      <c r="G4" s="2" t="s">
        <v>255</v>
      </c>
      <c r="H4" s="2" t="s">
        <v>256</v>
      </c>
      <c r="I4" s="2" t="s">
        <v>257</v>
      </c>
    </row>
    <row r="5" spans="4:9">
      <c r="D5" s="1">
        <v>0.4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4:9">
      <c r="D6" s="1">
        <v>0.46300000000000002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4:9">
      <c r="D7" s="1">
        <v>0.53600000000000003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4:9">
      <c r="D8" s="1">
        <v>0.621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4:9">
      <c r="D9" s="1">
        <v>0.71899999999999997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4:9">
      <c r="D10" s="1">
        <v>0.83299999999999996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4:9">
      <c r="D11" s="1">
        <v>0.96499999999999997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  <row r="12" spans="4:9">
      <c r="D12" s="1">
        <v>1.1200000000000001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 spans="4:9">
      <c r="D13" s="1">
        <v>1.29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</row>
    <row r="14" spans="4:9">
      <c r="D14" s="1">
        <v>1.5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 spans="4:9">
      <c r="D15" s="1">
        <v>1.74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</row>
    <row r="16" spans="4:9">
      <c r="D16" s="1">
        <v>2.0099999999999998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</row>
    <row r="17" spans="4:9">
      <c r="D17" s="1">
        <v>2.33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</row>
    <row r="18" spans="4:9">
      <c r="D18" s="1">
        <v>2.7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</row>
    <row r="19" spans="4:9">
      <c r="D19" s="1">
        <v>3.12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</row>
    <row r="20" spans="4:9">
      <c r="D20" s="1">
        <v>3.62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4:9">
      <c r="D21" s="1">
        <v>4.1900000000000004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</row>
    <row r="22" spans="4:9">
      <c r="D22" s="1">
        <v>4.8499999999999996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</row>
    <row r="23" spans="4:9">
      <c r="D23" s="1">
        <v>5.61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</row>
    <row r="24" spans="4:9">
      <c r="D24" s="1">
        <v>6.5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</row>
    <row r="25" spans="4:9">
      <c r="D25" s="1">
        <v>7.53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</row>
    <row r="26" spans="4:9">
      <c r="D26" s="1">
        <v>8.7200000000000006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</row>
    <row r="27" spans="4:9">
      <c r="D27" s="1">
        <v>10.1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4:9">
      <c r="D28" s="1">
        <v>11.7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</row>
    <row r="29" spans="4:9">
      <c r="D29" s="1">
        <v>13.5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</row>
    <row r="30" spans="4:9">
      <c r="D30" s="1">
        <v>15.7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</row>
    <row r="31" spans="4:9">
      <c r="D31" s="1">
        <v>18.2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</row>
    <row r="32" spans="4:9">
      <c r="D32" s="1">
        <v>21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</row>
    <row r="33" spans="4:9">
      <c r="D33" s="1">
        <v>24.4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</row>
    <row r="34" spans="4:9">
      <c r="D34" s="1">
        <v>28.2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 spans="4:9">
      <c r="D35" s="1">
        <v>32.700000000000003</v>
      </c>
      <c r="E35" s="1">
        <v>7.6999999999999999E-2</v>
      </c>
      <c r="F35" s="1">
        <v>0.40899999999999997</v>
      </c>
      <c r="G35" s="1">
        <v>0</v>
      </c>
      <c r="H35" s="1">
        <v>0.54500000000000004</v>
      </c>
      <c r="I35" s="1">
        <v>0</v>
      </c>
    </row>
    <row r="36" spans="4:9">
      <c r="D36" s="1">
        <v>37.799999999999997</v>
      </c>
      <c r="E36" s="1">
        <v>0.71699999999999997</v>
      </c>
      <c r="F36" s="1">
        <v>1.53</v>
      </c>
      <c r="G36" s="1">
        <v>0</v>
      </c>
      <c r="H36" s="1">
        <v>1.8</v>
      </c>
      <c r="I36" s="1">
        <v>0</v>
      </c>
    </row>
    <row r="37" spans="4:9">
      <c r="D37" s="1">
        <v>43.8</v>
      </c>
      <c r="E37" s="1">
        <v>2.0699999999999998</v>
      </c>
      <c r="F37" s="1">
        <v>3.26</v>
      </c>
      <c r="G37" s="1">
        <v>1.24</v>
      </c>
      <c r="H37" s="1">
        <v>3.58</v>
      </c>
      <c r="I37" s="1">
        <v>0.66900000000000004</v>
      </c>
    </row>
    <row r="38" spans="4:9">
      <c r="D38" s="1">
        <v>50.7</v>
      </c>
      <c r="E38" s="1">
        <v>4.04</v>
      </c>
      <c r="F38" s="1">
        <v>5.31</v>
      </c>
      <c r="G38" s="1">
        <v>3.67</v>
      </c>
      <c r="H38" s="1">
        <v>5.56</v>
      </c>
      <c r="I38" s="1">
        <v>2.77</v>
      </c>
    </row>
    <row r="39" spans="4:9">
      <c r="D39" s="1">
        <v>58.8</v>
      </c>
      <c r="E39" s="1">
        <v>6.35</v>
      </c>
      <c r="F39" s="1">
        <v>7.35</v>
      </c>
      <c r="G39" s="1">
        <v>6.66</v>
      </c>
      <c r="H39" s="1">
        <v>7.45</v>
      </c>
      <c r="I39" s="1">
        <v>5.88</v>
      </c>
    </row>
    <row r="40" spans="4:9">
      <c r="D40" s="1">
        <v>68.099999999999994</v>
      </c>
      <c r="E40" s="1">
        <v>8.6300000000000008</v>
      </c>
      <c r="F40" s="1">
        <v>9.09</v>
      </c>
      <c r="G40" s="1">
        <v>9.51</v>
      </c>
      <c r="H40" s="1">
        <v>8.98</v>
      </c>
      <c r="I40" s="1">
        <v>9.16</v>
      </c>
    </row>
    <row r="41" spans="4:9">
      <c r="D41" s="1">
        <v>78.8</v>
      </c>
      <c r="E41" s="1">
        <v>10.5</v>
      </c>
      <c r="F41" s="1">
        <v>10.3</v>
      </c>
      <c r="G41" s="1">
        <v>11.7</v>
      </c>
      <c r="H41" s="1">
        <v>10</v>
      </c>
      <c r="I41" s="1">
        <v>11.9</v>
      </c>
    </row>
    <row r="42" spans="4:9">
      <c r="D42" s="1">
        <v>91.3</v>
      </c>
      <c r="E42" s="1">
        <v>11.8</v>
      </c>
      <c r="F42" s="1">
        <v>10.9</v>
      </c>
      <c r="G42" s="1">
        <v>12.8</v>
      </c>
      <c r="H42" s="1">
        <v>10.4</v>
      </c>
      <c r="I42" s="1">
        <v>13.4</v>
      </c>
    </row>
    <row r="43" spans="4:9">
      <c r="D43" s="1">
        <v>106</v>
      </c>
      <c r="E43" s="1">
        <v>12.2</v>
      </c>
      <c r="F43" s="1">
        <v>10.8</v>
      </c>
      <c r="G43" s="1">
        <v>12.8</v>
      </c>
      <c r="H43" s="1">
        <v>10.3</v>
      </c>
      <c r="I43" s="1">
        <v>13.7</v>
      </c>
    </row>
    <row r="44" spans="4:9">
      <c r="D44" s="1">
        <v>122</v>
      </c>
      <c r="E44" s="1">
        <v>11.7</v>
      </c>
      <c r="F44" s="1">
        <v>10.1</v>
      </c>
      <c r="G44" s="1">
        <v>11.8</v>
      </c>
      <c r="H44" s="1">
        <v>9.6199999999999992</v>
      </c>
      <c r="I44" s="1">
        <v>12.7</v>
      </c>
    </row>
    <row r="45" spans="4:9">
      <c r="D45" s="1">
        <v>142</v>
      </c>
      <c r="E45" s="1">
        <v>10.3</v>
      </c>
      <c r="F45" s="1">
        <v>8.9700000000000006</v>
      </c>
      <c r="G45" s="1">
        <v>10</v>
      </c>
      <c r="H45" s="1">
        <v>8.5500000000000007</v>
      </c>
      <c r="I45" s="1">
        <v>10.8</v>
      </c>
    </row>
    <row r="46" spans="4:9">
      <c r="D46" s="1">
        <v>164</v>
      </c>
      <c r="E46" s="1">
        <v>8.43</v>
      </c>
      <c r="F46" s="1">
        <v>7.44</v>
      </c>
      <c r="G46" s="1">
        <v>7.88</v>
      </c>
      <c r="H46" s="1">
        <v>7.2</v>
      </c>
      <c r="I46" s="1">
        <v>8.26</v>
      </c>
    </row>
    <row r="47" spans="4:9">
      <c r="D47" s="1">
        <v>190</v>
      </c>
      <c r="E47" s="1">
        <v>6.19</v>
      </c>
      <c r="F47" s="1">
        <v>5.75</v>
      </c>
      <c r="G47" s="1">
        <v>5.62</v>
      </c>
      <c r="H47" s="1">
        <v>5.72</v>
      </c>
      <c r="I47" s="1">
        <v>5.63</v>
      </c>
    </row>
    <row r="48" spans="4:9">
      <c r="D48" s="1">
        <v>220</v>
      </c>
      <c r="E48" s="1">
        <v>3.98</v>
      </c>
      <c r="F48" s="1">
        <v>4.07</v>
      </c>
      <c r="G48" s="1">
        <v>3.56</v>
      </c>
      <c r="H48" s="1">
        <v>4.25</v>
      </c>
      <c r="I48" s="1">
        <v>3.28</v>
      </c>
    </row>
    <row r="49" spans="4:9">
      <c r="D49" s="1">
        <v>255</v>
      </c>
      <c r="E49" s="1">
        <v>2.1</v>
      </c>
      <c r="F49" s="1">
        <v>2.57</v>
      </c>
      <c r="G49" s="1">
        <v>1.9</v>
      </c>
      <c r="H49" s="1">
        <v>2.9</v>
      </c>
      <c r="I49" s="1">
        <v>1.49</v>
      </c>
    </row>
    <row r="50" spans="4:9">
      <c r="D50" s="1">
        <v>295</v>
      </c>
      <c r="E50" s="1">
        <v>0.78700000000000003</v>
      </c>
      <c r="F50" s="1">
        <v>1.37</v>
      </c>
      <c r="G50" s="1">
        <v>0.77300000000000002</v>
      </c>
      <c r="H50" s="1">
        <v>1.77</v>
      </c>
      <c r="I50" s="1">
        <v>0.41499999999999998</v>
      </c>
    </row>
    <row r="51" spans="4:9">
      <c r="D51" s="1">
        <v>342</v>
      </c>
      <c r="E51" s="1">
        <v>0.128</v>
      </c>
      <c r="F51" s="1">
        <v>0.55800000000000005</v>
      </c>
      <c r="G51" s="1">
        <v>0.17799999999999999</v>
      </c>
      <c r="H51" s="1">
        <v>0.91400000000000003</v>
      </c>
      <c r="I51" s="1">
        <v>0</v>
      </c>
    </row>
    <row r="52" spans="4:9">
      <c r="D52" s="1">
        <v>396</v>
      </c>
      <c r="E52" s="1">
        <v>0</v>
      </c>
      <c r="F52" s="1">
        <v>0.127</v>
      </c>
      <c r="G52" s="1">
        <v>0</v>
      </c>
      <c r="H52" s="1">
        <v>0.35799999999999998</v>
      </c>
      <c r="I52" s="1">
        <v>0</v>
      </c>
    </row>
    <row r="53" spans="4:9">
      <c r="D53" s="1">
        <v>459</v>
      </c>
      <c r="E53" s="1">
        <v>0</v>
      </c>
      <c r="F53" s="1">
        <v>0</v>
      </c>
      <c r="G53" s="1">
        <v>0</v>
      </c>
      <c r="H53" s="1">
        <v>7.7600000000000002E-2</v>
      </c>
      <c r="I53" s="1">
        <v>0</v>
      </c>
    </row>
    <row r="54" spans="4:9">
      <c r="D54" s="1">
        <v>531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</row>
    <row r="55" spans="4:9">
      <c r="D55" s="1">
        <v>615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</row>
    <row r="56" spans="4:9">
      <c r="D56" s="1">
        <v>712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</row>
    <row r="57" spans="4:9">
      <c r="D57" s="1">
        <v>825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</row>
    <row r="58" spans="4:9">
      <c r="D58" s="1">
        <v>955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</row>
    <row r="59" spans="4:9">
      <c r="D59" s="1">
        <v>1110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</row>
    <row r="60" spans="4:9">
      <c r="D60" s="1">
        <v>1280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</row>
    <row r="61" spans="4:9">
      <c r="D61" s="1">
        <v>1480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</row>
    <row r="62" spans="4:9">
      <c r="D62" s="1">
        <v>1720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</row>
    <row r="63" spans="4:9">
      <c r="D63" s="1">
        <v>1990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</row>
    <row r="64" spans="4:9">
      <c r="D64" s="1">
        <v>2300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</row>
    <row r="65" spans="4:9">
      <c r="D65" s="1">
        <v>2670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</row>
    <row r="66" spans="4:9">
      <c r="D66" s="1">
        <v>3090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</row>
    <row r="67" spans="4:9">
      <c r="D67" s="1">
        <v>3580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</row>
    <row r="68" spans="4:9">
      <c r="D68" s="1">
        <v>4150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</row>
    <row r="69" spans="4:9">
      <c r="D69" s="1">
        <v>4800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</row>
    <row r="70" spans="4:9">
      <c r="D70" s="1">
        <v>5560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</row>
    <row r="71" spans="4:9">
      <c r="D71" s="1">
        <v>6440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</row>
    <row r="72" spans="4:9">
      <c r="D72" s="1">
        <v>7460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</row>
    <row r="73" spans="4:9">
      <c r="D73" s="1">
        <v>8630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31A0-8008-44C5-93C2-1D1C5FC4DE63}">
  <dimension ref="D4:G12"/>
  <sheetViews>
    <sheetView workbookViewId="0">
      <selection activeCell="J13" sqref="J13"/>
    </sheetView>
  </sheetViews>
  <sheetFormatPr defaultRowHeight="14.4"/>
  <sheetData>
    <row r="4" spans="4:7">
      <c r="D4" s="2"/>
      <c r="E4" s="39" t="s">
        <v>154</v>
      </c>
      <c r="F4" s="39"/>
      <c r="G4" s="39"/>
    </row>
    <row r="5" spans="4:7">
      <c r="D5" s="1">
        <v>1</v>
      </c>
      <c r="E5" s="1">
        <v>91.8</v>
      </c>
      <c r="F5" s="1">
        <v>97.5</v>
      </c>
      <c r="G5" s="1">
        <v>93.2</v>
      </c>
    </row>
    <row r="6" spans="4:7">
      <c r="D6" s="1">
        <v>3</v>
      </c>
      <c r="E6" s="1">
        <v>91.42</v>
      </c>
      <c r="F6" s="1">
        <v>97.4</v>
      </c>
      <c r="G6" s="1">
        <v>93.5</v>
      </c>
    </row>
    <row r="7" spans="4:7">
      <c r="D7" s="1">
        <v>5</v>
      </c>
      <c r="E7" s="1">
        <v>94.8</v>
      </c>
      <c r="F7" s="1">
        <v>99.6</v>
      </c>
      <c r="G7" s="1">
        <v>93.8</v>
      </c>
    </row>
    <row r="8" spans="4:7">
      <c r="D8" s="1">
        <v>7</v>
      </c>
      <c r="E8" s="1">
        <v>92.4</v>
      </c>
      <c r="F8" s="1">
        <v>98.47</v>
      </c>
      <c r="G8" s="1">
        <v>93.4</v>
      </c>
    </row>
    <row r="9" spans="4:7">
      <c r="D9" s="1">
        <v>9</v>
      </c>
      <c r="E9" s="1">
        <v>93.5</v>
      </c>
      <c r="F9" s="1">
        <v>99.8</v>
      </c>
      <c r="G9" s="1">
        <v>94.2</v>
      </c>
    </row>
    <row r="10" spans="4:7">
      <c r="D10" s="1">
        <v>11</v>
      </c>
      <c r="E10" s="1">
        <v>91.6</v>
      </c>
      <c r="F10" s="1">
        <v>96.89</v>
      </c>
      <c r="G10" s="1">
        <v>92.8</v>
      </c>
    </row>
    <row r="11" spans="4:7">
      <c r="D11" s="1">
        <v>13</v>
      </c>
      <c r="E11" s="1">
        <v>92.5</v>
      </c>
      <c r="F11" s="1">
        <v>97.4</v>
      </c>
      <c r="G11" s="1">
        <v>93.1</v>
      </c>
    </row>
    <row r="12" spans="4:7">
      <c r="D12" s="1">
        <v>15</v>
      </c>
      <c r="E12" s="1">
        <v>92.4</v>
      </c>
      <c r="F12" s="1">
        <v>98.5</v>
      </c>
      <c r="G12" s="1">
        <v>93.5</v>
      </c>
    </row>
  </sheetData>
  <mergeCells count="1">
    <mergeCell ref="E4:G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A952-E853-4FDD-A97D-9416E34C2241}">
  <dimension ref="F6:I14"/>
  <sheetViews>
    <sheetView workbookViewId="0">
      <selection activeCell="J17" sqref="J17"/>
    </sheetView>
  </sheetViews>
  <sheetFormatPr defaultRowHeight="14.4"/>
  <sheetData>
    <row r="6" spans="6:9">
      <c r="G6" s="39" t="s">
        <v>154</v>
      </c>
      <c r="H6" s="39"/>
      <c r="I6" s="39"/>
    </row>
    <row r="7" spans="6:9">
      <c r="F7" s="1">
        <v>1</v>
      </c>
      <c r="G7" s="1">
        <v>-15.4</v>
      </c>
      <c r="H7" s="1">
        <v>-18.899999999999999</v>
      </c>
      <c r="I7" s="1">
        <v>-12.3</v>
      </c>
    </row>
    <row r="8" spans="6:9">
      <c r="F8" s="1">
        <v>3</v>
      </c>
      <c r="G8" s="1">
        <v>-16.5</v>
      </c>
      <c r="H8" s="1">
        <v>-19.600000000000001</v>
      </c>
      <c r="I8" s="1">
        <v>-13.5</v>
      </c>
    </row>
    <row r="9" spans="6:9">
      <c r="F9" s="1">
        <v>5</v>
      </c>
      <c r="G9" s="1">
        <v>-14.9</v>
      </c>
      <c r="H9" s="1">
        <v>-18.8</v>
      </c>
      <c r="I9" s="1">
        <v>-13.6</v>
      </c>
    </row>
    <row r="10" spans="6:9">
      <c r="F10" s="1">
        <v>7</v>
      </c>
      <c r="G10" s="1">
        <v>-16.8</v>
      </c>
      <c r="H10" s="1">
        <v>-19.5</v>
      </c>
      <c r="I10" s="1">
        <v>-14.2</v>
      </c>
    </row>
    <row r="11" spans="6:9">
      <c r="F11" s="1">
        <v>9</v>
      </c>
      <c r="G11" s="1">
        <v>-17.600000000000001</v>
      </c>
      <c r="H11" s="1">
        <v>-17.600000000000001</v>
      </c>
      <c r="I11" s="1">
        <v>-12.4</v>
      </c>
    </row>
    <row r="12" spans="6:9">
      <c r="F12" s="1">
        <v>11</v>
      </c>
      <c r="G12" s="1">
        <v>-16.8</v>
      </c>
      <c r="H12" s="1">
        <v>-19.5</v>
      </c>
      <c r="I12" s="1">
        <v>-13.8</v>
      </c>
    </row>
    <row r="13" spans="6:9">
      <c r="F13" s="1">
        <v>13</v>
      </c>
      <c r="G13" s="1">
        <v>-16.7</v>
      </c>
      <c r="H13" s="1">
        <v>-19.8</v>
      </c>
      <c r="I13" s="1">
        <v>-14.2</v>
      </c>
    </row>
    <row r="14" spans="6:9">
      <c r="F14" s="1">
        <v>15</v>
      </c>
      <c r="G14" s="1">
        <v>-18.7</v>
      </c>
      <c r="H14" s="1">
        <v>-18.600000000000001</v>
      </c>
      <c r="I14" s="1">
        <v>-12.4</v>
      </c>
    </row>
  </sheetData>
  <mergeCells count="1">
    <mergeCell ref="G6:I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0DD12-2968-4AEE-BF7B-13F2C9CE1EC5}">
  <dimension ref="D4:Y11"/>
  <sheetViews>
    <sheetView workbookViewId="0">
      <selection activeCell="L27" sqref="L27"/>
    </sheetView>
  </sheetViews>
  <sheetFormatPr defaultRowHeight="14.4"/>
  <sheetData>
    <row r="4" spans="4:25">
      <c r="D4" s="2" t="s">
        <v>37</v>
      </c>
      <c r="E4" s="39" t="s">
        <v>13</v>
      </c>
      <c r="F4" s="39"/>
      <c r="G4" s="39"/>
      <c r="H4" s="39" t="s">
        <v>14</v>
      </c>
      <c r="I4" s="39"/>
      <c r="J4" s="39"/>
      <c r="K4" s="39" t="s">
        <v>22</v>
      </c>
      <c r="L4" s="39"/>
      <c r="M4" s="39"/>
      <c r="N4" s="39" t="s">
        <v>16</v>
      </c>
      <c r="O4" s="39"/>
      <c r="P4" s="39"/>
      <c r="Q4" s="39" t="s">
        <v>18</v>
      </c>
      <c r="R4" s="39"/>
      <c r="S4" s="39"/>
      <c r="T4" s="39" t="s">
        <v>19</v>
      </c>
      <c r="U4" s="39"/>
      <c r="V4" s="39"/>
      <c r="W4" s="39" t="s">
        <v>21</v>
      </c>
      <c r="X4" s="39"/>
      <c r="Y4" s="39"/>
    </row>
    <row r="5" spans="4:25">
      <c r="D5" s="1">
        <v>8.3333000000000004E-2</v>
      </c>
      <c r="E5" s="1">
        <v>10.53</v>
      </c>
      <c r="F5" s="1">
        <v>24.79</v>
      </c>
      <c r="G5" s="1">
        <v>1.71</v>
      </c>
      <c r="H5" s="1">
        <v>69.430000000000007</v>
      </c>
      <c r="I5" s="1">
        <v>69.33</v>
      </c>
      <c r="J5" s="1">
        <v>71.41</v>
      </c>
      <c r="K5" s="1">
        <v>57.89</v>
      </c>
      <c r="L5" s="1">
        <v>62.47</v>
      </c>
      <c r="M5" s="1">
        <v>51.69</v>
      </c>
      <c r="N5" s="1">
        <v>97.31</v>
      </c>
      <c r="O5" s="1">
        <v>95.88</v>
      </c>
      <c r="P5" s="1">
        <v>98.66</v>
      </c>
      <c r="Q5" s="1">
        <v>98.34</v>
      </c>
      <c r="R5" s="1">
        <v>97.21</v>
      </c>
      <c r="S5" s="1">
        <v>99.05</v>
      </c>
      <c r="T5" s="1">
        <v>98.96</v>
      </c>
      <c r="U5" s="1">
        <v>99.05</v>
      </c>
      <c r="V5" s="1">
        <v>97.17</v>
      </c>
      <c r="W5" s="1">
        <v>98.97</v>
      </c>
      <c r="X5" s="1">
        <v>100.09</v>
      </c>
      <c r="Y5" s="1">
        <v>99.02</v>
      </c>
    </row>
    <row r="6" spans="4:25">
      <c r="D6" s="1">
        <v>0.3333333</v>
      </c>
      <c r="E6" s="1">
        <v>9.6199999999999992</v>
      </c>
      <c r="F6" s="1">
        <v>8.99</v>
      </c>
      <c r="G6" s="1">
        <v>0.9</v>
      </c>
      <c r="H6" s="1">
        <v>58.92</v>
      </c>
      <c r="I6" s="1">
        <v>54.46</v>
      </c>
      <c r="J6" s="1">
        <v>48.84</v>
      </c>
      <c r="K6" s="1">
        <v>39.869999999999997</v>
      </c>
      <c r="L6" s="1">
        <v>45.38</v>
      </c>
      <c r="M6" s="1">
        <v>38.72</v>
      </c>
      <c r="N6" s="1">
        <v>71.89</v>
      </c>
      <c r="O6" s="1">
        <v>72.459999999999994</v>
      </c>
      <c r="P6" s="1">
        <v>86.12</v>
      </c>
      <c r="Q6" s="1">
        <v>77.17</v>
      </c>
      <c r="R6" s="1">
        <v>74.680000000000007</v>
      </c>
      <c r="S6" s="1">
        <v>82.19</v>
      </c>
      <c r="T6" s="1">
        <v>78.569999999999993</v>
      </c>
      <c r="U6" s="1">
        <v>75.2</v>
      </c>
      <c r="V6" s="1">
        <v>79.55</v>
      </c>
      <c r="W6" s="1">
        <v>81.540000000000006</v>
      </c>
      <c r="X6" s="1">
        <v>85.4</v>
      </c>
      <c r="Y6" s="1">
        <v>94.53</v>
      </c>
    </row>
    <row r="7" spans="4:25">
      <c r="D7" s="1">
        <v>1</v>
      </c>
      <c r="E7" s="1">
        <v>4.26</v>
      </c>
      <c r="F7" s="1">
        <v>5.43</v>
      </c>
      <c r="G7" s="1">
        <v>0.38</v>
      </c>
      <c r="H7" s="1">
        <v>36.700000000000003</v>
      </c>
      <c r="I7" s="1">
        <v>26.21</v>
      </c>
      <c r="J7" s="1">
        <v>39.96</v>
      </c>
      <c r="K7" s="1">
        <v>20.21</v>
      </c>
      <c r="L7" s="1">
        <v>30.45</v>
      </c>
      <c r="M7" s="1">
        <v>25.54</v>
      </c>
      <c r="N7" s="1">
        <v>59.23</v>
      </c>
      <c r="O7" s="1">
        <v>52.44</v>
      </c>
      <c r="P7" s="1">
        <v>53.2</v>
      </c>
      <c r="Q7" s="1">
        <v>60.49</v>
      </c>
      <c r="R7" s="1">
        <v>62.52</v>
      </c>
      <c r="S7" s="1">
        <v>64.180000000000007</v>
      </c>
      <c r="T7" s="1">
        <v>62.54</v>
      </c>
      <c r="U7" s="1">
        <v>65.95</v>
      </c>
      <c r="V7" s="1">
        <v>50.12</v>
      </c>
      <c r="W7" s="1">
        <v>78.12</v>
      </c>
      <c r="X7" s="1">
        <v>79.98</v>
      </c>
      <c r="Y7" s="1">
        <v>74.89</v>
      </c>
    </row>
    <row r="8" spans="4:25">
      <c r="D8" s="1">
        <v>2.5</v>
      </c>
      <c r="E8" s="1">
        <v>2.85</v>
      </c>
      <c r="F8" s="1">
        <v>2.56</v>
      </c>
      <c r="G8" s="1">
        <v>0.14000000000000001</v>
      </c>
      <c r="H8" s="1">
        <v>19</v>
      </c>
      <c r="I8" s="1">
        <v>11.02</v>
      </c>
      <c r="J8" s="1">
        <v>12.64</v>
      </c>
      <c r="K8" s="1">
        <v>14.56</v>
      </c>
      <c r="L8" s="1">
        <v>8.94</v>
      </c>
      <c r="M8" s="1">
        <v>5.58</v>
      </c>
      <c r="N8" s="1">
        <v>49.14</v>
      </c>
      <c r="O8" s="1">
        <v>43.47</v>
      </c>
      <c r="P8" s="1">
        <v>38.4</v>
      </c>
      <c r="Q8" s="1">
        <v>47.88</v>
      </c>
      <c r="R8" s="1">
        <v>51.77</v>
      </c>
      <c r="S8" s="1">
        <v>45.7</v>
      </c>
      <c r="T8" s="1">
        <v>51.67</v>
      </c>
      <c r="U8" s="1">
        <v>50.06</v>
      </c>
      <c r="V8" s="1">
        <v>46.24</v>
      </c>
      <c r="W8" s="1">
        <v>65.92</v>
      </c>
      <c r="X8" s="1">
        <v>69.680000000000007</v>
      </c>
      <c r="Y8" s="1">
        <v>64.33</v>
      </c>
    </row>
    <row r="9" spans="4:25">
      <c r="D9" s="1">
        <v>8</v>
      </c>
      <c r="E9" s="1">
        <v>0.45</v>
      </c>
      <c r="F9" s="1">
        <v>0.42</v>
      </c>
      <c r="G9" s="1">
        <v>0.02</v>
      </c>
      <c r="H9" s="1">
        <v>1.04</v>
      </c>
      <c r="I9" s="1">
        <v>2.16</v>
      </c>
      <c r="J9" s="1">
        <v>3.93</v>
      </c>
      <c r="K9" s="1">
        <v>2.14</v>
      </c>
      <c r="L9" s="1">
        <v>3.28</v>
      </c>
      <c r="M9" s="1">
        <v>4.26</v>
      </c>
      <c r="N9" s="1">
        <v>13.17</v>
      </c>
      <c r="O9" s="1">
        <v>16.579999999999998</v>
      </c>
      <c r="P9" s="1">
        <v>18.13</v>
      </c>
      <c r="Q9" s="1">
        <v>16.34</v>
      </c>
      <c r="R9" s="1">
        <v>18.89</v>
      </c>
      <c r="S9" s="1">
        <v>19.14</v>
      </c>
      <c r="T9" s="1">
        <v>23.23</v>
      </c>
      <c r="U9" s="1">
        <v>19.14</v>
      </c>
      <c r="V9" s="1">
        <v>13.47</v>
      </c>
      <c r="W9" s="1">
        <v>30.28</v>
      </c>
      <c r="X9" s="1">
        <v>28.29</v>
      </c>
      <c r="Y9" s="1">
        <v>33.590000000000003</v>
      </c>
    </row>
    <row r="10" spans="4:25">
      <c r="D10" s="1">
        <v>12</v>
      </c>
      <c r="E10" s="1">
        <v>0.1</v>
      </c>
      <c r="F10" s="1">
        <v>0.14000000000000001</v>
      </c>
      <c r="G10" s="1">
        <v>0.02</v>
      </c>
      <c r="H10" s="1">
        <v>0.82</v>
      </c>
      <c r="I10" s="1">
        <v>0.61</v>
      </c>
      <c r="J10" s="1">
        <v>0.33</v>
      </c>
      <c r="K10" s="1">
        <v>0.24</v>
      </c>
      <c r="L10" s="1">
        <v>0.47</v>
      </c>
      <c r="M10" s="1">
        <v>0.35</v>
      </c>
      <c r="N10" s="1">
        <v>2.68</v>
      </c>
      <c r="O10" s="1">
        <v>1.87</v>
      </c>
      <c r="P10" s="1">
        <v>1.22</v>
      </c>
      <c r="Q10" s="1">
        <v>2.1800000000000002</v>
      </c>
      <c r="R10" s="1">
        <v>3.3</v>
      </c>
      <c r="S10" s="1">
        <v>1.73</v>
      </c>
      <c r="T10" s="1">
        <v>6.02</v>
      </c>
      <c r="U10" s="1">
        <v>6.84</v>
      </c>
      <c r="V10" s="1">
        <v>5.19</v>
      </c>
      <c r="W10" s="1">
        <v>18.71</v>
      </c>
      <c r="X10" s="1">
        <v>13.99</v>
      </c>
      <c r="Y10" s="1">
        <v>15.75</v>
      </c>
    </row>
    <row r="11" spans="4:25">
      <c r="D11" s="1">
        <v>24</v>
      </c>
      <c r="E11" s="1">
        <v>0.02</v>
      </c>
      <c r="F11" s="1">
        <v>0.05</v>
      </c>
      <c r="G11" s="1">
        <v>0.02</v>
      </c>
      <c r="H11" s="1">
        <v>0.04</v>
      </c>
      <c r="I11" s="1">
        <v>0.03</v>
      </c>
      <c r="J11" s="1">
        <v>0.02</v>
      </c>
      <c r="K11" s="1">
        <v>0.02</v>
      </c>
      <c r="L11" s="1">
        <v>0.06</v>
      </c>
      <c r="M11" s="1">
        <v>0.04</v>
      </c>
      <c r="N11" s="1">
        <v>0.26</v>
      </c>
      <c r="O11" s="1">
        <v>0.28999999999999998</v>
      </c>
      <c r="P11" s="1">
        <v>0.7</v>
      </c>
      <c r="Q11" s="1">
        <v>0.31</v>
      </c>
      <c r="R11" s="1">
        <v>0.36</v>
      </c>
      <c r="S11" s="1">
        <v>0.25</v>
      </c>
      <c r="T11" s="1">
        <v>0.16</v>
      </c>
      <c r="U11" s="1">
        <v>0.51</v>
      </c>
      <c r="V11" s="1">
        <v>0.19</v>
      </c>
      <c r="W11" s="1">
        <v>2.02</v>
      </c>
      <c r="X11" s="1">
        <v>2.17</v>
      </c>
      <c r="Y11" s="1">
        <v>1.86</v>
      </c>
    </row>
  </sheetData>
  <mergeCells count="7">
    <mergeCell ref="W4:Y4"/>
    <mergeCell ref="E4:G4"/>
    <mergeCell ref="H4:J4"/>
    <mergeCell ref="K4:M4"/>
    <mergeCell ref="N4:P4"/>
    <mergeCell ref="Q4:S4"/>
    <mergeCell ref="T4:V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8FC4C-1522-436C-B942-C1C90B1E9DEE}">
  <dimension ref="C8:X14"/>
  <sheetViews>
    <sheetView workbookViewId="0">
      <selection activeCell="N18" sqref="N18"/>
    </sheetView>
  </sheetViews>
  <sheetFormatPr defaultRowHeight="14.4"/>
  <sheetData>
    <row r="8" spans="3:24">
      <c r="C8" s="2"/>
      <c r="D8" s="39" t="s">
        <v>13</v>
      </c>
      <c r="E8" s="39"/>
      <c r="F8" s="39"/>
      <c r="G8" s="39" t="s">
        <v>14</v>
      </c>
      <c r="H8" s="39"/>
      <c r="I8" s="39"/>
      <c r="J8" s="39" t="s">
        <v>22</v>
      </c>
      <c r="K8" s="39"/>
      <c r="L8" s="39"/>
      <c r="M8" s="39" t="s">
        <v>16</v>
      </c>
      <c r="N8" s="39"/>
      <c r="O8" s="39"/>
      <c r="P8" s="39" t="s">
        <v>18</v>
      </c>
      <c r="Q8" s="39"/>
      <c r="R8" s="39"/>
      <c r="S8" s="39" t="s">
        <v>19</v>
      </c>
      <c r="T8" s="39"/>
      <c r="U8" s="39"/>
      <c r="V8" s="39" t="s">
        <v>21</v>
      </c>
      <c r="W8" s="39"/>
      <c r="X8" s="39"/>
    </row>
    <row r="9" spans="3:24">
      <c r="C9" s="3" t="s">
        <v>0</v>
      </c>
      <c r="D9" s="1">
        <v>0.09</v>
      </c>
      <c r="E9" s="1">
        <v>0.18</v>
      </c>
      <c r="F9" s="1">
        <v>0.05</v>
      </c>
      <c r="G9" s="1">
        <v>0.02</v>
      </c>
      <c r="H9" s="1">
        <v>0.03</v>
      </c>
      <c r="I9" s="1">
        <v>0.27</v>
      </c>
      <c r="J9" s="1">
        <v>0.09</v>
      </c>
      <c r="K9" s="1">
        <v>0.12</v>
      </c>
      <c r="L9" s="1">
        <v>0.04</v>
      </c>
      <c r="M9" s="1">
        <v>0.05</v>
      </c>
      <c r="N9" s="1">
        <v>0.08</v>
      </c>
      <c r="O9" s="1">
        <v>0.05</v>
      </c>
      <c r="P9" s="1">
        <v>0.41</v>
      </c>
      <c r="Q9" s="1">
        <v>0.34</v>
      </c>
      <c r="R9" s="1">
        <v>0.15</v>
      </c>
      <c r="S9" s="1">
        <v>0.09</v>
      </c>
      <c r="T9" s="1">
        <v>7.0000000000000007E-2</v>
      </c>
      <c r="U9" s="1">
        <v>0.08</v>
      </c>
      <c r="V9" s="1">
        <v>0.08</v>
      </c>
      <c r="W9" s="1">
        <v>0.1</v>
      </c>
      <c r="X9" s="1">
        <v>0.09</v>
      </c>
    </row>
    <row r="10" spans="3:24">
      <c r="C10" s="3" t="s">
        <v>1</v>
      </c>
      <c r="D10" s="1">
        <v>1.95</v>
      </c>
      <c r="E10" s="1">
        <v>0.68</v>
      </c>
      <c r="F10" s="1">
        <v>1.29</v>
      </c>
      <c r="G10" s="1">
        <v>27.72</v>
      </c>
      <c r="H10" s="1">
        <v>35.14</v>
      </c>
      <c r="I10" s="1">
        <v>31.7</v>
      </c>
      <c r="J10" s="1">
        <v>30.25</v>
      </c>
      <c r="K10" s="1">
        <v>36.700000000000003</v>
      </c>
      <c r="L10" s="1">
        <v>27.4</v>
      </c>
      <c r="M10" s="1">
        <v>46.37</v>
      </c>
      <c r="N10" s="1">
        <v>25.62</v>
      </c>
      <c r="O10" s="1">
        <v>35.58</v>
      </c>
      <c r="P10" s="1">
        <v>53.11</v>
      </c>
      <c r="Q10" s="1">
        <v>49.38</v>
      </c>
      <c r="R10" s="1">
        <v>79.56</v>
      </c>
      <c r="S10" s="1">
        <v>54.44</v>
      </c>
      <c r="T10" s="1">
        <v>44.85</v>
      </c>
      <c r="U10" s="1">
        <v>57.19</v>
      </c>
      <c r="V10" s="1">
        <v>22.7</v>
      </c>
      <c r="W10" s="1">
        <v>25.5</v>
      </c>
      <c r="X10" s="1">
        <v>23.78</v>
      </c>
    </row>
    <row r="11" spans="3:24">
      <c r="C11" s="3" t="s">
        <v>2</v>
      </c>
      <c r="D11" s="1">
        <v>1.04</v>
      </c>
      <c r="E11" s="1">
        <v>0.26</v>
      </c>
      <c r="F11" s="1">
        <v>0.19</v>
      </c>
      <c r="G11" s="1">
        <v>2.82</v>
      </c>
      <c r="H11" s="1">
        <v>2.96</v>
      </c>
      <c r="I11" s="1">
        <v>3.06</v>
      </c>
      <c r="J11" s="1">
        <v>5.26</v>
      </c>
      <c r="K11" s="1">
        <v>3.78</v>
      </c>
      <c r="L11" s="1">
        <v>6.84</v>
      </c>
      <c r="M11" s="1">
        <v>4.93</v>
      </c>
      <c r="N11" s="1">
        <v>2.33</v>
      </c>
      <c r="O11" s="1">
        <v>4.08</v>
      </c>
      <c r="P11" s="1">
        <v>7.37</v>
      </c>
      <c r="Q11" s="1">
        <v>4.3899999999999997</v>
      </c>
      <c r="R11" s="1">
        <v>4.6100000000000003</v>
      </c>
      <c r="S11" s="1">
        <v>3.03</v>
      </c>
      <c r="T11" s="1">
        <v>7.06</v>
      </c>
      <c r="U11" s="1">
        <v>7.2</v>
      </c>
      <c r="V11" s="1">
        <v>1.04</v>
      </c>
      <c r="W11" s="1">
        <v>0.86</v>
      </c>
      <c r="X11" s="1">
        <v>0.62</v>
      </c>
    </row>
    <row r="12" spans="3:24">
      <c r="C12" s="3" t="s">
        <v>3</v>
      </c>
      <c r="D12" s="1">
        <v>0.03</v>
      </c>
      <c r="E12" s="1">
        <v>0.16</v>
      </c>
      <c r="F12" s="1">
        <v>0.15</v>
      </c>
      <c r="G12" s="1">
        <v>0.81</v>
      </c>
      <c r="H12" s="1">
        <v>0.56999999999999995</v>
      </c>
      <c r="I12" s="1">
        <v>0.45</v>
      </c>
      <c r="J12" s="1">
        <v>0.26</v>
      </c>
      <c r="K12" s="1">
        <v>0.39</v>
      </c>
      <c r="L12" s="1">
        <v>0.78</v>
      </c>
      <c r="M12" s="1">
        <v>0.43</v>
      </c>
      <c r="N12" s="1">
        <v>0.53</v>
      </c>
      <c r="O12" s="1">
        <v>0.52</v>
      </c>
      <c r="P12" s="1">
        <v>1.1499999999999999</v>
      </c>
      <c r="Q12" s="1">
        <v>0.48</v>
      </c>
      <c r="R12" s="1">
        <v>0.21</v>
      </c>
      <c r="S12" s="1">
        <v>0.54</v>
      </c>
      <c r="T12" s="1">
        <v>1.27</v>
      </c>
      <c r="U12" s="1">
        <v>0.47</v>
      </c>
      <c r="V12" s="1">
        <v>0.02</v>
      </c>
      <c r="W12" s="1">
        <v>0.02</v>
      </c>
      <c r="X12" s="1">
        <v>0.03</v>
      </c>
    </row>
    <row r="13" spans="3:24">
      <c r="C13" s="3" t="s">
        <v>4</v>
      </c>
      <c r="D13" s="1">
        <v>0.26</v>
      </c>
      <c r="E13" s="1">
        <v>0.25</v>
      </c>
      <c r="F13" s="1">
        <v>0.1</v>
      </c>
      <c r="G13" s="1">
        <v>1.29</v>
      </c>
      <c r="H13" s="1">
        <v>0.69</v>
      </c>
      <c r="I13" s="1">
        <v>0.76</v>
      </c>
      <c r="J13" s="1">
        <v>1.64</v>
      </c>
      <c r="K13" s="1">
        <v>0.51</v>
      </c>
      <c r="L13" s="1">
        <v>1.21</v>
      </c>
      <c r="M13" s="1">
        <v>1.36</v>
      </c>
      <c r="N13" s="1">
        <v>0.88</v>
      </c>
      <c r="O13" s="1">
        <v>0.62</v>
      </c>
      <c r="P13" s="1">
        <v>0.96</v>
      </c>
      <c r="Q13" s="1">
        <v>2.4700000000000002</v>
      </c>
      <c r="R13" s="1">
        <v>0.32</v>
      </c>
      <c r="S13" s="1">
        <v>1.46</v>
      </c>
      <c r="T13" s="1">
        <v>1.1399999999999999</v>
      </c>
      <c r="U13" s="1">
        <v>0.9</v>
      </c>
      <c r="V13" s="1">
        <v>0.14000000000000001</v>
      </c>
      <c r="W13" s="1">
        <v>0.16</v>
      </c>
      <c r="X13" s="1">
        <v>0.05</v>
      </c>
    </row>
    <row r="14" spans="3:24">
      <c r="C14" s="3" t="s">
        <v>5</v>
      </c>
      <c r="D14" s="1">
        <v>7.0000000000000007E-2</v>
      </c>
      <c r="E14" s="1">
        <v>0.12</v>
      </c>
      <c r="F14" s="1">
        <v>0.12</v>
      </c>
      <c r="G14" s="1">
        <v>0.47</v>
      </c>
      <c r="H14" s="1">
        <v>0.42</v>
      </c>
      <c r="I14" s="1">
        <v>0.37</v>
      </c>
      <c r="J14" s="1">
        <v>0.31</v>
      </c>
      <c r="K14" s="1">
        <v>0.26</v>
      </c>
      <c r="L14" s="1">
        <v>0.49</v>
      </c>
      <c r="M14" s="1">
        <v>0.89</v>
      </c>
      <c r="N14" s="1">
        <v>1.84</v>
      </c>
      <c r="O14" s="1">
        <v>2.15</v>
      </c>
      <c r="P14" s="1">
        <v>2.2599999999999998</v>
      </c>
      <c r="Q14" s="1">
        <v>1.1499999999999999</v>
      </c>
      <c r="R14" s="1">
        <v>1.72</v>
      </c>
      <c r="S14" s="1">
        <v>2.83</v>
      </c>
      <c r="T14" s="1">
        <v>3.97</v>
      </c>
      <c r="U14" s="1">
        <v>3</v>
      </c>
      <c r="V14" s="1">
        <v>8.44</v>
      </c>
      <c r="W14" s="1">
        <v>7.29</v>
      </c>
      <c r="X14" s="1">
        <v>7.86</v>
      </c>
    </row>
  </sheetData>
  <mergeCells count="7">
    <mergeCell ref="V8:X8"/>
    <mergeCell ref="D8:F8"/>
    <mergeCell ref="G8:I8"/>
    <mergeCell ref="J8:L8"/>
    <mergeCell ref="M8:O8"/>
    <mergeCell ref="P8:R8"/>
    <mergeCell ref="S8:U8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C36E6-616B-4FB4-8FA2-B15FD1147C3E}">
  <dimension ref="E6:K13"/>
  <sheetViews>
    <sheetView workbookViewId="0">
      <selection activeCell="Q19" sqref="Q19"/>
    </sheetView>
  </sheetViews>
  <sheetFormatPr defaultRowHeight="14.4"/>
  <cols>
    <col min="5" max="5" width="20.7890625" customWidth="1"/>
  </cols>
  <sheetData>
    <row r="6" spans="5:11">
      <c r="E6" s="2"/>
      <c r="F6" s="39" t="s">
        <v>23</v>
      </c>
      <c r="G6" s="39"/>
      <c r="H6" s="39"/>
      <c r="I6" s="39" t="s">
        <v>24</v>
      </c>
      <c r="J6" s="39"/>
      <c r="K6" s="39"/>
    </row>
    <row r="7" spans="5:11">
      <c r="E7" s="3" t="s">
        <v>13</v>
      </c>
      <c r="F7" s="1">
        <v>7.0000000000000007E-2</v>
      </c>
      <c r="G7" s="1">
        <v>0.12</v>
      </c>
      <c r="H7" s="1">
        <v>0.12</v>
      </c>
      <c r="I7" s="1">
        <v>0</v>
      </c>
      <c r="J7" s="1">
        <v>0</v>
      </c>
      <c r="K7" s="1">
        <v>0</v>
      </c>
    </row>
    <row r="8" spans="5:11">
      <c r="E8" s="3" t="s">
        <v>14</v>
      </c>
      <c r="F8" s="1">
        <v>0.47</v>
      </c>
      <c r="G8" s="1">
        <v>0.42</v>
      </c>
      <c r="H8" s="1">
        <v>0.37</v>
      </c>
      <c r="I8" s="1">
        <v>0</v>
      </c>
      <c r="J8" s="1">
        <v>0</v>
      </c>
      <c r="K8" s="1">
        <v>0</v>
      </c>
    </row>
    <row r="9" spans="5:11">
      <c r="E9" s="3" t="s">
        <v>22</v>
      </c>
      <c r="F9" s="1">
        <v>0.31</v>
      </c>
      <c r="G9" s="1">
        <v>0.26</v>
      </c>
      <c r="H9" s="1">
        <v>0.49</v>
      </c>
      <c r="I9" s="1">
        <v>0</v>
      </c>
      <c r="J9" s="1">
        <v>0</v>
      </c>
      <c r="K9" s="1">
        <v>0</v>
      </c>
    </row>
    <row r="10" spans="5:11">
      <c r="E10" s="3" t="s">
        <v>16</v>
      </c>
      <c r="F10" s="1">
        <v>0.49</v>
      </c>
      <c r="G10" s="1">
        <v>1.24</v>
      </c>
      <c r="H10" s="1">
        <v>1.45</v>
      </c>
      <c r="I10" s="1">
        <v>0.39</v>
      </c>
      <c r="J10" s="1">
        <v>0.6</v>
      </c>
      <c r="K10" s="1">
        <v>0.7</v>
      </c>
    </row>
    <row r="11" spans="5:11">
      <c r="E11" s="3" t="s">
        <v>18</v>
      </c>
      <c r="F11" s="1">
        <v>0.99</v>
      </c>
      <c r="G11" s="1">
        <v>0.95</v>
      </c>
      <c r="H11" s="1">
        <v>0.4</v>
      </c>
      <c r="I11" s="1">
        <v>1.27</v>
      </c>
      <c r="J11" s="1">
        <v>0.19</v>
      </c>
      <c r="K11" s="1">
        <v>1.32</v>
      </c>
    </row>
    <row r="12" spans="5:11">
      <c r="E12" s="3" t="s">
        <v>19</v>
      </c>
      <c r="F12" s="1">
        <v>1.52</v>
      </c>
      <c r="G12" s="1">
        <v>1.49</v>
      </c>
      <c r="H12" s="1">
        <v>2.75</v>
      </c>
      <c r="I12" s="1">
        <v>1.32</v>
      </c>
      <c r="J12" s="1">
        <v>2.48</v>
      </c>
      <c r="K12" s="1">
        <v>0.25</v>
      </c>
    </row>
    <row r="13" spans="5:11">
      <c r="E13" s="3" t="s">
        <v>21</v>
      </c>
      <c r="F13" s="1">
        <v>5.43</v>
      </c>
      <c r="G13" s="1">
        <v>3.8</v>
      </c>
      <c r="H13" s="1">
        <v>5.15</v>
      </c>
      <c r="I13" s="1">
        <v>3.01</v>
      </c>
      <c r="J13" s="1">
        <v>3.49</v>
      </c>
      <c r="K13" s="1">
        <v>2.71</v>
      </c>
    </row>
  </sheetData>
  <mergeCells count="2">
    <mergeCell ref="F6:H6"/>
    <mergeCell ref="I6:K6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4EAD5-0513-4A20-945D-D22E8FE29DBF}">
  <dimension ref="D4:AR9"/>
  <sheetViews>
    <sheetView workbookViewId="0">
      <selection activeCell="N22" sqref="N22"/>
    </sheetView>
  </sheetViews>
  <sheetFormatPr defaultRowHeight="14.4"/>
  <sheetData>
    <row r="4" spans="4:44">
      <c r="D4" s="2" t="s">
        <v>36</v>
      </c>
      <c r="E4" s="39" t="s">
        <v>6</v>
      </c>
      <c r="F4" s="39"/>
      <c r="G4" s="39"/>
      <c r="H4" s="39"/>
      <c r="I4" s="39"/>
      <c r="J4" s="39" t="s">
        <v>13</v>
      </c>
      <c r="K4" s="39"/>
      <c r="L4" s="39"/>
      <c r="M4" s="39"/>
      <c r="N4" s="39"/>
      <c r="O4" s="39" t="s">
        <v>14</v>
      </c>
      <c r="P4" s="39"/>
      <c r="Q4" s="39"/>
      <c r="R4" s="39"/>
      <c r="S4" s="39"/>
      <c r="T4" s="39" t="s">
        <v>22</v>
      </c>
      <c r="U4" s="39"/>
      <c r="V4" s="39"/>
      <c r="W4" s="39"/>
      <c r="X4" s="39"/>
      <c r="Y4" s="39" t="s">
        <v>16</v>
      </c>
      <c r="Z4" s="39"/>
      <c r="AA4" s="39"/>
      <c r="AB4" s="39"/>
      <c r="AC4" s="39"/>
      <c r="AD4" s="39" t="s">
        <v>18</v>
      </c>
      <c r="AE4" s="39"/>
      <c r="AF4" s="39"/>
      <c r="AG4" s="39"/>
      <c r="AH4" s="39"/>
      <c r="AI4" s="39" t="s">
        <v>19</v>
      </c>
      <c r="AJ4" s="39"/>
      <c r="AK4" s="39"/>
      <c r="AL4" s="39"/>
      <c r="AM4" s="39"/>
      <c r="AN4" s="39" t="s">
        <v>21</v>
      </c>
      <c r="AO4" s="39"/>
      <c r="AP4" s="39"/>
      <c r="AQ4" s="39"/>
      <c r="AR4" s="39"/>
    </row>
    <row r="5" spans="4:44"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</row>
    <row r="6" spans="4:44">
      <c r="D6" s="1">
        <v>16</v>
      </c>
      <c r="E6" s="1">
        <v>316.74</v>
      </c>
      <c r="F6" s="1">
        <v>310.64999999999998</v>
      </c>
      <c r="G6" s="1">
        <v>313.61</v>
      </c>
      <c r="H6" s="1">
        <v>302.06</v>
      </c>
      <c r="I6" s="1">
        <v>316.18</v>
      </c>
      <c r="J6" s="1">
        <v>286.98</v>
      </c>
      <c r="K6" s="1">
        <v>312.79000000000002</v>
      </c>
      <c r="L6" s="1">
        <v>298.29000000000002</v>
      </c>
      <c r="M6" s="1">
        <v>317.45999999999998</v>
      </c>
      <c r="N6" s="1">
        <v>312.8</v>
      </c>
      <c r="O6" s="1">
        <v>317.81</v>
      </c>
      <c r="P6" s="1">
        <v>313.10000000000002</v>
      </c>
      <c r="Q6" s="1">
        <v>312.06</v>
      </c>
      <c r="R6" s="1">
        <v>318.26</v>
      </c>
      <c r="S6" s="1">
        <v>316.83</v>
      </c>
      <c r="T6" s="1">
        <v>302</v>
      </c>
      <c r="U6" s="1">
        <v>295</v>
      </c>
      <c r="V6" s="1">
        <v>310</v>
      </c>
      <c r="W6" s="1">
        <v>298</v>
      </c>
      <c r="X6" s="1">
        <v>304</v>
      </c>
      <c r="Y6" s="1">
        <v>300.77999999999997</v>
      </c>
      <c r="Z6" s="1">
        <v>300.38</v>
      </c>
      <c r="AA6" s="1">
        <v>289.95</v>
      </c>
      <c r="AB6" s="1">
        <v>303.45999999999998</v>
      </c>
      <c r="AC6" s="1">
        <v>324.81</v>
      </c>
      <c r="AD6" s="1">
        <v>297.56</v>
      </c>
      <c r="AE6" s="1">
        <v>293.08999999999997</v>
      </c>
      <c r="AF6" s="1">
        <v>300.61</v>
      </c>
      <c r="AG6" s="1">
        <v>302.56</v>
      </c>
      <c r="AH6" s="1">
        <v>301.19</v>
      </c>
      <c r="AI6" s="1">
        <v>304.27999999999997</v>
      </c>
      <c r="AJ6" s="1">
        <v>291.81</v>
      </c>
      <c r="AK6" s="1">
        <v>307.87</v>
      </c>
      <c r="AL6" s="1">
        <v>293.45999999999998</v>
      </c>
      <c r="AM6" s="1">
        <v>279.95999999999998</v>
      </c>
      <c r="AN6" s="1">
        <v>307.02</v>
      </c>
      <c r="AO6" s="1">
        <v>301.27999999999997</v>
      </c>
      <c r="AP6" s="1">
        <v>295.02999999999997</v>
      </c>
      <c r="AQ6" s="1">
        <v>307.12</v>
      </c>
      <c r="AR6" s="1">
        <v>298.17</v>
      </c>
    </row>
    <row r="7" spans="4:44">
      <c r="D7" s="1">
        <v>23</v>
      </c>
      <c r="E7" s="1">
        <v>708.4</v>
      </c>
      <c r="F7" s="1">
        <v>885.01</v>
      </c>
      <c r="G7" s="1">
        <v>776.86</v>
      </c>
      <c r="H7" s="1">
        <v>708.12</v>
      </c>
      <c r="I7" s="1">
        <v>1189.47</v>
      </c>
      <c r="J7" s="1">
        <v>751.98</v>
      </c>
      <c r="K7" s="1">
        <v>862.93</v>
      </c>
      <c r="L7" s="1">
        <v>919.74</v>
      </c>
      <c r="M7" s="1">
        <v>580.6</v>
      </c>
      <c r="N7" s="1">
        <v>763.08</v>
      </c>
      <c r="O7" s="1">
        <v>777.09</v>
      </c>
      <c r="P7" s="1">
        <v>670.51</v>
      </c>
      <c r="Q7" s="1">
        <v>668.54</v>
      </c>
      <c r="R7" s="1">
        <v>673.68</v>
      </c>
      <c r="S7" s="1">
        <v>515.1</v>
      </c>
      <c r="T7" s="1">
        <v>821.09</v>
      </c>
      <c r="U7" s="1">
        <v>659.61</v>
      </c>
      <c r="V7" s="1">
        <v>1117.78</v>
      </c>
      <c r="W7" s="1">
        <v>498.68</v>
      </c>
      <c r="X7" s="1">
        <v>865.34</v>
      </c>
      <c r="Y7" s="1">
        <v>429.77</v>
      </c>
      <c r="Z7" s="1">
        <v>560.22</v>
      </c>
      <c r="AA7" s="1">
        <v>478.36</v>
      </c>
      <c r="AB7" s="1">
        <v>819.58</v>
      </c>
      <c r="AC7" s="1">
        <v>559.36</v>
      </c>
      <c r="AD7" s="1">
        <v>834.07</v>
      </c>
      <c r="AE7" s="1">
        <v>443.13</v>
      </c>
      <c r="AF7" s="1">
        <v>336.49</v>
      </c>
      <c r="AG7" s="1">
        <v>336.96</v>
      </c>
      <c r="AH7" s="1">
        <v>342.38</v>
      </c>
      <c r="AI7" s="1">
        <v>401.71</v>
      </c>
      <c r="AJ7" s="1">
        <v>465.71</v>
      </c>
      <c r="AK7" s="1">
        <v>460.27</v>
      </c>
      <c r="AL7" s="1">
        <v>451.28</v>
      </c>
      <c r="AM7" s="1">
        <v>420.72</v>
      </c>
      <c r="AN7" s="1">
        <v>303.66000000000003</v>
      </c>
      <c r="AO7" s="1">
        <v>296.95</v>
      </c>
      <c r="AP7" s="1">
        <v>219.96</v>
      </c>
      <c r="AQ7" s="1">
        <v>279.45</v>
      </c>
      <c r="AR7" s="1">
        <v>321.88</v>
      </c>
    </row>
    <row r="8" spans="4:44">
      <c r="D8" s="1">
        <v>30</v>
      </c>
      <c r="E8" s="1">
        <v>1379.28</v>
      </c>
      <c r="F8" s="1">
        <v>1321.75</v>
      </c>
      <c r="G8" s="1">
        <v>1087.49</v>
      </c>
      <c r="H8" s="1">
        <v>898.3</v>
      </c>
      <c r="I8" s="1">
        <v>1606.01</v>
      </c>
      <c r="J8" s="1">
        <v>1032.03</v>
      </c>
      <c r="K8" s="1">
        <v>1106.75</v>
      </c>
      <c r="L8" s="1">
        <v>1536.43</v>
      </c>
      <c r="M8" s="1">
        <v>963.15</v>
      </c>
      <c r="N8" s="1">
        <v>1072.28</v>
      </c>
      <c r="O8" s="1">
        <v>1046.08</v>
      </c>
      <c r="P8" s="1">
        <v>729.56</v>
      </c>
      <c r="Q8" s="1">
        <v>859.24</v>
      </c>
      <c r="R8" s="1">
        <v>1331.18</v>
      </c>
      <c r="S8" s="1">
        <v>1115.6400000000001</v>
      </c>
      <c r="T8" s="1">
        <v>1026</v>
      </c>
      <c r="U8" s="1">
        <v>989</v>
      </c>
      <c r="V8" s="1">
        <v>1247</v>
      </c>
      <c r="W8" s="1">
        <v>1045</v>
      </c>
      <c r="X8" s="1">
        <v>1204</v>
      </c>
      <c r="Y8" s="1">
        <v>533.22</v>
      </c>
      <c r="Z8" s="1">
        <v>887.91</v>
      </c>
      <c r="AA8" s="1">
        <v>885.13</v>
      </c>
      <c r="AB8" s="1">
        <v>1101.76</v>
      </c>
      <c r="AC8" s="1">
        <v>1023.08</v>
      </c>
      <c r="AD8" s="1">
        <v>893.87</v>
      </c>
      <c r="AE8" s="1">
        <v>729.56</v>
      </c>
      <c r="AF8" s="1">
        <v>748</v>
      </c>
      <c r="AG8" s="1">
        <v>690.93</v>
      </c>
      <c r="AH8" s="1">
        <v>689.21</v>
      </c>
      <c r="AI8" s="1">
        <v>507.43</v>
      </c>
      <c r="AJ8" s="1">
        <v>748.96</v>
      </c>
      <c r="AK8" s="1">
        <v>637.22</v>
      </c>
      <c r="AL8" s="1">
        <v>465.5</v>
      </c>
      <c r="AM8" s="1">
        <v>464.72</v>
      </c>
      <c r="AN8" s="1">
        <v>301.02</v>
      </c>
      <c r="AO8" s="1">
        <v>230.67</v>
      </c>
      <c r="AP8" s="1">
        <v>365.5</v>
      </c>
      <c r="AQ8" s="1">
        <v>387</v>
      </c>
      <c r="AR8" s="1">
        <v>340.36</v>
      </c>
    </row>
    <row r="9" spans="4:44">
      <c r="D9" s="1">
        <v>35</v>
      </c>
      <c r="E9" s="1">
        <v>1642.84</v>
      </c>
      <c r="F9" s="1">
        <v>1895.85</v>
      </c>
      <c r="G9" s="1">
        <v>1538.73</v>
      </c>
      <c r="H9" s="1">
        <v>1274.93</v>
      </c>
      <c r="I9" s="1">
        <v>2337.39</v>
      </c>
      <c r="J9" s="1">
        <v>1263.4000000000001</v>
      </c>
      <c r="K9" s="1">
        <v>1708.19</v>
      </c>
      <c r="L9" s="1">
        <v>1981.34</v>
      </c>
      <c r="M9" s="1">
        <v>1545.06</v>
      </c>
      <c r="N9" s="1">
        <v>1424.61</v>
      </c>
      <c r="O9" s="1">
        <v>1339.21</v>
      </c>
      <c r="P9" s="1">
        <v>1154.23</v>
      </c>
      <c r="Q9" s="1">
        <v>1448.33</v>
      </c>
      <c r="R9" s="1">
        <v>1404.62</v>
      </c>
      <c r="S9" s="1">
        <v>1581.2</v>
      </c>
      <c r="T9" s="1">
        <v>1448.55</v>
      </c>
      <c r="U9" s="1">
        <v>1303.04</v>
      </c>
      <c r="V9" s="1">
        <v>2060.42</v>
      </c>
      <c r="W9" s="1">
        <v>1248.78</v>
      </c>
      <c r="X9" s="1">
        <v>1460.21</v>
      </c>
      <c r="Y9" s="1">
        <v>865.28</v>
      </c>
      <c r="Z9" s="1">
        <v>1160.17</v>
      </c>
      <c r="AA9" s="1">
        <v>1307.8399999999999</v>
      </c>
      <c r="AB9" s="1">
        <v>1206.74</v>
      </c>
      <c r="AC9" s="1">
        <v>1175.17</v>
      </c>
      <c r="AD9" s="1">
        <v>1168.3800000000001</v>
      </c>
      <c r="AE9" s="1">
        <v>1037.5</v>
      </c>
      <c r="AF9" s="1">
        <v>1131.0899999999999</v>
      </c>
      <c r="AG9" s="1">
        <v>1030.32</v>
      </c>
      <c r="AH9" s="1">
        <v>1142.73</v>
      </c>
      <c r="AI9" s="1">
        <v>574.04999999999995</v>
      </c>
      <c r="AJ9" s="1">
        <v>968.16</v>
      </c>
      <c r="AK9" s="1">
        <v>811.83</v>
      </c>
      <c r="AL9" s="1">
        <v>780.61</v>
      </c>
      <c r="AM9" s="1">
        <v>526.72</v>
      </c>
      <c r="AN9" s="1">
        <v>300.8</v>
      </c>
      <c r="AO9" s="1">
        <v>246.83</v>
      </c>
      <c r="AP9" s="1">
        <v>325.01</v>
      </c>
      <c r="AQ9" s="1">
        <v>410.72</v>
      </c>
      <c r="AR9" s="1">
        <v>348.33</v>
      </c>
    </row>
  </sheetData>
  <mergeCells count="8">
    <mergeCell ref="AI4:AM4"/>
    <mergeCell ref="AN4:AR4"/>
    <mergeCell ref="E4:I4"/>
    <mergeCell ref="J4:N4"/>
    <mergeCell ref="O4:S4"/>
    <mergeCell ref="T4:X4"/>
    <mergeCell ref="Y4:AC4"/>
    <mergeCell ref="AD4:AH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30B5-B221-40FD-AD66-ADC28FD2B414}">
  <dimension ref="E7:AS12"/>
  <sheetViews>
    <sheetView workbookViewId="0">
      <selection activeCell="H16" sqref="H16"/>
    </sheetView>
  </sheetViews>
  <sheetFormatPr defaultRowHeight="14.4"/>
  <sheetData>
    <row r="7" spans="5:45">
      <c r="E7" s="2" t="s">
        <v>36</v>
      </c>
      <c r="F7" s="39" t="s">
        <v>6</v>
      </c>
      <c r="G7" s="39"/>
      <c r="H7" s="39"/>
      <c r="I7" s="39"/>
      <c r="J7" s="39"/>
      <c r="K7" s="39" t="s">
        <v>13</v>
      </c>
      <c r="L7" s="39"/>
      <c r="M7" s="39"/>
      <c r="N7" s="39"/>
      <c r="O7" s="39"/>
      <c r="P7" s="39" t="s">
        <v>14</v>
      </c>
      <c r="Q7" s="39"/>
      <c r="R7" s="39"/>
      <c r="S7" s="39"/>
      <c r="T7" s="39"/>
      <c r="U7" s="39" t="s">
        <v>22</v>
      </c>
      <c r="V7" s="39"/>
      <c r="W7" s="39"/>
      <c r="X7" s="39"/>
      <c r="Y7" s="39"/>
      <c r="Z7" s="39" t="s">
        <v>16</v>
      </c>
      <c r="AA7" s="39"/>
      <c r="AB7" s="39"/>
      <c r="AC7" s="39"/>
      <c r="AD7" s="39"/>
      <c r="AE7" s="39" t="s">
        <v>18</v>
      </c>
      <c r="AF7" s="39"/>
      <c r="AG7" s="39"/>
      <c r="AH7" s="39"/>
      <c r="AI7" s="39"/>
      <c r="AJ7" s="39" t="s">
        <v>19</v>
      </c>
      <c r="AK7" s="39"/>
      <c r="AL7" s="39"/>
      <c r="AM7" s="39"/>
      <c r="AN7" s="39"/>
      <c r="AO7" s="39" t="s">
        <v>21</v>
      </c>
      <c r="AP7" s="39"/>
      <c r="AQ7" s="39"/>
      <c r="AR7" s="39"/>
      <c r="AS7" s="39"/>
    </row>
    <row r="8" spans="5:45">
      <c r="E8" s="1"/>
      <c r="F8" s="38">
        <v>2.46</v>
      </c>
      <c r="G8" s="38">
        <v>2.8437749999999999</v>
      </c>
      <c r="H8" s="38">
        <v>2.3080949999999998</v>
      </c>
      <c r="I8" s="38">
        <v>2.9123950000000001</v>
      </c>
      <c r="J8" s="38">
        <v>3.5060850000000001</v>
      </c>
      <c r="K8" s="38">
        <v>1.8951</v>
      </c>
      <c r="L8" s="38">
        <v>2.5622850000000001</v>
      </c>
      <c r="M8" s="38">
        <v>2.97201</v>
      </c>
      <c r="N8" s="38">
        <v>2.31759</v>
      </c>
      <c r="O8" s="38">
        <v>2.1369150000000001</v>
      </c>
      <c r="P8" s="38">
        <v>2.0088149999999998</v>
      </c>
      <c r="Q8" s="38">
        <v>1.7313449999999999</v>
      </c>
      <c r="R8" s="38">
        <v>2.1724950000000001</v>
      </c>
      <c r="S8" s="38">
        <v>2.2569300000000001</v>
      </c>
      <c r="T8" s="38">
        <v>2.5217999999999998</v>
      </c>
      <c r="U8" s="38">
        <v>1.98</v>
      </c>
      <c r="V8" s="38">
        <v>2.0699999999999998</v>
      </c>
      <c r="W8" s="38">
        <v>2.34</v>
      </c>
      <c r="X8" s="38">
        <v>2.23</v>
      </c>
      <c r="Y8" s="38">
        <v>2.14</v>
      </c>
      <c r="Z8" s="38">
        <v>1.29792</v>
      </c>
      <c r="AA8" s="38">
        <v>1.7402550000000001</v>
      </c>
      <c r="AB8" s="38">
        <v>1.9617599999999999</v>
      </c>
      <c r="AC8" s="38">
        <v>1.8101100000000001</v>
      </c>
      <c r="AD8" s="38">
        <v>1.7627550000000001</v>
      </c>
      <c r="AE8" s="38">
        <v>1.75257</v>
      </c>
      <c r="AF8" s="38">
        <v>1.5562499999999999</v>
      </c>
      <c r="AG8" s="38">
        <v>1.6966349999999999</v>
      </c>
      <c r="AH8" s="38">
        <v>1.54548</v>
      </c>
      <c r="AI8" s="38">
        <v>1.7140949999999999</v>
      </c>
      <c r="AJ8" s="38">
        <v>0.86107500000000003</v>
      </c>
      <c r="AK8" s="38">
        <v>1.45224</v>
      </c>
      <c r="AL8" s="38">
        <v>1.2177450000000001</v>
      </c>
      <c r="AM8" s="38">
        <v>1.1709149999999999</v>
      </c>
      <c r="AN8" s="38">
        <v>0.79008</v>
      </c>
      <c r="AO8" s="38">
        <v>0.45119999999999999</v>
      </c>
      <c r="AP8" s="38">
        <v>0.37024499999999999</v>
      </c>
      <c r="AQ8" s="38">
        <v>0.48751499999999998</v>
      </c>
      <c r="AR8" s="38">
        <v>0.61607999999999996</v>
      </c>
      <c r="AS8" s="38">
        <v>0.52249500000000004</v>
      </c>
    </row>
    <row r="9" spans="5:45">
      <c r="E9" s="1"/>
      <c r="F9" s="1"/>
      <c r="G9" s="38"/>
      <c r="H9" s="38"/>
      <c r="I9" s="3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5:45"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5:45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5:45"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</sheetData>
  <mergeCells count="8">
    <mergeCell ref="AJ7:AN7"/>
    <mergeCell ref="AO7:AS7"/>
    <mergeCell ref="F7:J7"/>
    <mergeCell ref="K7:O7"/>
    <mergeCell ref="P7:T7"/>
    <mergeCell ref="U7:Y7"/>
    <mergeCell ref="Z7:AD7"/>
    <mergeCell ref="AE7:AI7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24ED5-9162-4C26-BD40-A8168CBED9C8}">
  <dimension ref="E6:AR7"/>
  <sheetViews>
    <sheetView workbookViewId="0">
      <selection activeCell="J16" sqref="J16"/>
    </sheetView>
  </sheetViews>
  <sheetFormatPr defaultRowHeight="14.4"/>
  <sheetData>
    <row r="6" spans="5:44">
      <c r="E6" s="39" t="s">
        <v>6</v>
      </c>
      <c r="F6" s="39"/>
      <c r="G6" s="39"/>
      <c r="H6" s="39"/>
      <c r="I6" s="39"/>
      <c r="J6" s="39" t="s">
        <v>13</v>
      </c>
      <c r="K6" s="39"/>
      <c r="L6" s="39"/>
      <c r="M6" s="39"/>
      <c r="N6" s="39"/>
      <c r="O6" s="39" t="s">
        <v>14</v>
      </c>
      <c r="P6" s="39"/>
      <c r="Q6" s="39"/>
      <c r="R6" s="39"/>
      <c r="S6" s="39"/>
      <c r="T6" s="39" t="s">
        <v>22</v>
      </c>
      <c r="U6" s="39"/>
      <c r="V6" s="39"/>
      <c r="W6" s="39"/>
      <c r="X6" s="39"/>
      <c r="Y6" s="39" t="s">
        <v>16</v>
      </c>
      <c r="Z6" s="39"/>
      <c r="AA6" s="39"/>
      <c r="AB6" s="39"/>
      <c r="AC6" s="39"/>
      <c r="AD6" s="39" t="s">
        <v>18</v>
      </c>
      <c r="AE6" s="39"/>
      <c r="AF6" s="39"/>
      <c r="AG6" s="39"/>
      <c r="AH6" s="39"/>
      <c r="AI6" s="39" t="s">
        <v>19</v>
      </c>
      <c r="AJ6" s="39"/>
      <c r="AK6" s="39"/>
      <c r="AL6" s="39"/>
      <c r="AM6" s="39"/>
      <c r="AN6" s="39" t="s">
        <v>21</v>
      </c>
      <c r="AO6" s="39"/>
      <c r="AP6" s="39"/>
      <c r="AQ6" s="39"/>
      <c r="AR6" s="39"/>
    </row>
    <row r="7" spans="5:44">
      <c r="E7" s="1">
        <v>25</v>
      </c>
      <c r="F7" s="1">
        <v>35.299999999999997</v>
      </c>
      <c r="G7" s="1">
        <v>56.2</v>
      </c>
      <c r="H7" s="1">
        <v>42.7</v>
      </c>
      <c r="I7" s="1">
        <v>36.200000000000003</v>
      </c>
      <c r="J7" s="1">
        <v>29.3</v>
      </c>
      <c r="K7" s="1">
        <v>39.1</v>
      </c>
      <c r="L7" s="1">
        <v>41.3</v>
      </c>
      <c r="M7" s="1">
        <v>20.399999999999999</v>
      </c>
      <c r="N7" s="1">
        <v>31.5</v>
      </c>
      <c r="O7" s="1">
        <v>26.96</v>
      </c>
      <c r="P7" s="1">
        <v>40.5</v>
      </c>
      <c r="Q7" s="1">
        <v>13.27</v>
      </c>
      <c r="R7" s="1">
        <v>14.3</v>
      </c>
      <c r="S7" s="1">
        <v>12.4</v>
      </c>
      <c r="T7" s="1">
        <v>40.299999999999997</v>
      </c>
      <c r="U7" s="1">
        <v>26.9</v>
      </c>
      <c r="V7" s="1">
        <v>20.399999999999999</v>
      </c>
      <c r="W7" s="1">
        <v>16.5</v>
      </c>
      <c r="X7" s="1">
        <v>11.4</v>
      </c>
      <c r="Y7" s="1">
        <v>5.7</v>
      </c>
      <c r="Z7" s="1">
        <v>7</v>
      </c>
      <c r="AA7" s="1">
        <v>8.1999999999999993</v>
      </c>
      <c r="AB7" s="1">
        <v>11</v>
      </c>
      <c r="AC7" s="1">
        <v>8.1</v>
      </c>
      <c r="AD7" s="1">
        <v>6.69</v>
      </c>
      <c r="AE7" s="1">
        <v>9.1999999999999993</v>
      </c>
      <c r="AF7" s="1">
        <v>10</v>
      </c>
      <c r="AG7" s="1">
        <v>8.5</v>
      </c>
      <c r="AH7" s="1">
        <v>7</v>
      </c>
      <c r="AI7" s="1">
        <v>1.1499999999999999</v>
      </c>
      <c r="AJ7" s="1">
        <v>1.08</v>
      </c>
      <c r="AK7" s="1">
        <v>0.5</v>
      </c>
      <c r="AL7" s="1">
        <v>3.8</v>
      </c>
      <c r="AM7" s="1">
        <v>1.08</v>
      </c>
      <c r="AN7" s="1">
        <v>0.1</v>
      </c>
      <c r="AO7" s="1">
        <v>0.03</v>
      </c>
      <c r="AP7" s="1">
        <v>0.04</v>
      </c>
      <c r="AQ7" s="1">
        <v>0.21</v>
      </c>
      <c r="AR7" s="1">
        <v>0.13</v>
      </c>
    </row>
  </sheetData>
  <mergeCells count="8">
    <mergeCell ref="AI6:AM6"/>
    <mergeCell ref="AN6:AR6"/>
    <mergeCell ref="E6:I6"/>
    <mergeCell ref="J6:N6"/>
    <mergeCell ref="O6:S6"/>
    <mergeCell ref="T6:X6"/>
    <mergeCell ref="Y6:AC6"/>
    <mergeCell ref="AD6:AH6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A6622-A2F0-4261-B8A4-98730D7D88A2}">
  <dimension ref="D4:L44"/>
  <sheetViews>
    <sheetView topLeftCell="A29" workbookViewId="0">
      <selection activeCell="J14" sqref="J14"/>
    </sheetView>
  </sheetViews>
  <sheetFormatPr defaultRowHeight="14.4"/>
  <cols>
    <col min="5" max="5" width="12.5234375" customWidth="1"/>
    <col min="7" max="7" width="17.05078125" customWidth="1"/>
    <col min="8" max="8" width="21.47265625" customWidth="1"/>
    <col min="9" max="9" width="19.20703125" customWidth="1"/>
    <col min="10" max="10" width="16.41796875" customWidth="1"/>
    <col min="11" max="11" width="23.734375" customWidth="1"/>
    <col min="12" max="12" width="18.83984375" customWidth="1"/>
  </cols>
  <sheetData>
    <row r="4" spans="4:12">
      <c r="D4" s="2" t="s">
        <v>36</v>
      </c>
      <c r="E4" s="2" t="s">
        <v>6</v>
      </c>
      <c r="F4" s="2" t="s">
        <v>13</v>
      </c>
      <c r="G4" s="2" t="s">
        <v>14</v>
      </c>
      <c r="H4" s="2" t="s">
        <v>18</v>
      </c>
      <c r="I4" s="2" t="s">
        <v>16</v>
      </c>
      <c r="J4" s="2" t="s">
        <v>19</v>
      </c>
      <c r="K4" s="2" t="s">
        <v>21</v>
      </c>
      <c r="L4" s="2" t="s">
        <v>22</v>
      </c>
    </row>
    <row r="5" spans="4:12">
      <c r="D5" s="1">
        <v>34</v>
      </c>
      <c r="E5" s="1">
        <v>1</v>
      </c>
      <c r="F5" s="1"/>
      <c r="G5" s="1"/>
      <c r="H5" s="1"/>
      <c r="I5" s="1"/>
      <c r="J5" s="1"/>
      <c r="K5" s="1"/>
      <c r="L5" s="1"/>
    </row>
    <row r="6" spans="4:12">
      <c r="D6" s="1">
        <v>35</v>
      </c>
      <c r="E6" s="1">
        <v>1</v>
      </c>
      <c r="F6" s="1"/>
      <c r="G6" s="1"/>
      <c r="H6" s="1"/>
      <c r="I6" s="1"/>
      <c r="J6" s="1"/>
      <c r="K6" s="1"/>
      <c r="L6" s="1"/>
    </row>
    <row r="7" spans="4:12">
      <c r="D7" s="1">
        <v>37</v>
      </c>
      <c r="E7" s="1">
        <v>1</v>
      </c>
      <c r="F7" s="1"/>
      <c r="G7" s="1"/>
      <c r="H7" s="1"/>
      <c r="I7" s="1"/>
      <c r="J7" s="1"/>
      <c r="K7" s="1"/>
      <c r="L7" s="1"/>
    </row>
    <row r="8" spans="4:12">
      <c r="D8" s="1">
        <v>38</v>
      </c>
      <c r="E8" s="1">
        <v>1</v>
      </c>
      <c r="F8" s="1"/>
      <c r="G8" s="1"/>
      <c r="H8" s="1"/>
      <c r="I8" s="1"/>
      <c r="J8" s="1"/>
      <c r="K8" s="1"/>
      <c r="L8" s="1"/>
    </row>
    <row r="9" spans="4:12">
      <c r="D9" s="1">
        <v>39</v>
      </c>
      <c r="E9" s="1">
        <v>1</v>
      </c>
      <c r="F9" s="1"/>
      <c r="G9" s="1"/>
      <c r="H9" s="1"/>
      <c r="I9" s="1"/>
      <c r="J9" s="1"/>
      <c r="K9" s="1"/>
      <c r="L9" s="1"/>
    </row>
    <row r="10" spans="4:12">
      <c r="D10" s="1">
        <v>37</v>
      </c>
      <c r="E10" s="1"/>
      <c r="F10" s="1">
        <v>1</v>
      </c>
      <c r="G10" s="1"/>
      <c r="H10" s="1"/>
      <c r="I10" s="1"/>
      <c r="J10" s="1"/>
      <c r="K10" s="1"/>
      <c r="L10" s="1"/>
    </row>
    <row r="11" spans="4:12">
      <c r="D11" s="1">
        <v>42</v>
      </c>
      <c r="E11" s="1"/>
      <c r="F11" s="1">
        <v>1</v>
      </c>
      <c r="G11" s="1"/>
      <c r="H11" s="1"/>
      <c r="I11" s="1"/>
      <c r="J11" s="1"/>
      <c r="K11" s="1"/>
      <c r="L11" s="1"/>
    </row>
    <row r="12" spans="4:12">
      <c r="D12" s="1">
        <v>38</v>
      </c>
      <c r="E12" s="1"/>
      <c r="F12" s="1">
        <v>1</v>
      </c>
      <c r="G12" s="1"/>
      <c r="H12" s="1"/>
      <c r="I12" s="1"/>
      <c r="J12" s="1"/>
      <c r="K12" s="1"/>
      <c r="L12" s="1"/>
    </row>
    <row r="13" spans="4:12">
      <c r="D13" s="1">
        <v>38</v>
      </c>
      <c r="E13" s="1"/>
      <c r="F13" s="1">
        <v>1</v>
      </c>
      <c r="G13" s="1"/>
      <c r="H13" s="1"/>
      <c r="I13" s="1"/>
      <c r="J13" s="1"/>
      <c r="K13" s="1"/>
      <c r="L13" s="1"/>
    </row>
    <row r="14" spans="4:12">
      <c r="D14" s="1">
        <v>43</v>
      </c>
      <c r="E14" s="1"/>
      <c r="F14" s="1">
        <v>1</v>
      </c>
      <c r="G14" s="1"/>
      <c r="H14" s="1"/>
      <c r="I14" s="1"/>
      <c r="J14" s="1"/>
      <c r="K14" s="1"/>
      <c r="L14" s="1"/>
    </row>
    <row r="15" spans="4:12">
      <c r="D15" s="1">
        <v>43</v>
      </c>
      <c r="E15" s="1"/>
      <c r="F15" s="1"/>
      <c r="G15" s="1">
        <v>1</v>
      </c>
      <c r="H15" s="1"/>
      <c r="I15" s="1"/>
      <c r="J15" s="1"/>
      <c r="K15" s="1"/>
      <c r="L15" s="1"/>
    </row>
    <row r="16" spans="4:12">
      <c r="D16" s="1">
        <v>41</v>
      </c>
      <c r="E16" s="1"/>
      <c r="F16" s="1"/>
      <c r="G16" s="1">
        <v>1</v>
      </c>
      <c r="H16" s="1"/>
      <c r="I16" s="1"/>
      <c r="J16" s="1"/>
      <c r="K16" s="1"/>
      <c r="L16" s="1"/>
    </row>
    <row r="17" spans="4:12">
      <c r="D17" s="1">
        <v>44</v>
      </c>
      <c r="E17" s="1"/>
      <c r="F17" s="1"/>
      <c r="G17" s="1">
        <v>1</v>
      </c>
      <c r="H17" s="1"/>
      <c r="I17" s="1"/>
      <c r="J17" s="1"/>
      <c r="K17" s="1"/>
      <c r="L17" s="1"/>
    </row>
    <row r="18" spans="4:12">
      <c r="D18" s="1">
        <v>45</v>
      </c>
      <c r="E18" s="1"/>
      <c r="F18" s="1"/>
      <c r="G18" s="1">
        <v>1</v>
      </c>
      <c r="H18" s="1"/>
      <c r="I18" s="1"/>
      <c r="J18" s="1"/>
      <c r="K18" s="1"/>
      <c r="L18" s="1"/>
    </row>
    <row r="19" spans="4:12">
      <c r="D19" s="1">
        <v>47</v>
      </c>
      <c r="E19" s="1"/>
      <c r="F19" s="1"/>
      <c r="G19" s="1">
        <v>1</v>
      </c>
      <c r="H19" s="1"/>
      <c r="I19" s="1"/>
      <c r="J19" s="1"/>
      <c r="K19" s="1"/>
      <c r="L19" s="1"/>
    </row>
    <row r="20" spans="4:12">
      <c r="D20" s="1">
        <v>56</v>
      </c>
      <c r="E20" s="1"/>
      <c r="F20" s="1"/>
      <c r="G20" s="1"/>
      <c r="H20" s="1">
        <v>1</v>
      </c>
      <c r="I20" s="1"/>
      <c r="J20" s="1"/>
      <c r="K20" s="1"/>
      <c r="L20" s="1"/>
    </row>
    <row r="21" spans="4:12">
      <c r="D21" s="1">
        <v>58</v>
      </c>
      <c r="E21" s="1"/>
      <c r="F21" s="1"/>
      <c r="G21" s="1"/>
      <c r="H21" s="1">
        <v>1</v>
      </c>
      <c r="I21" s="1"/>
      <c r="J21" s="1"/>
      <c r="K21" s="1"/>
      <c r="L21" s="1"/>
    </row>
    <row r="22" spans="4:12">
      <c r="D22" s="1">
        <v>57</v>
      </c>
      <c r="E22" s="1"/>
      <c r="F22" s="1"/>
      <c r="G22" s="1"/>
      <c r="H22" s="1">
        <v>1</v>
      </c>
      <c r="I22" s="1"/>
      <c r="J22" s="1"/>
      <c r="K22" s="1"/>
      <c r="L22" s="1"/>
    </row>
    <row r="23" spans="4:12">
      <c r="D23" s="1">
        <v>61</v>
      </c>
      <c r="E23" s="1"/>
      <c r="F23" s="1"/>
      <c r="G23" s="1"/>
      <c r="H23" s="1">
        <v>1</v>
      </c>
      <c r="I23" s="1"/>
      <c r="J23" s="1"/>
      <c r="K23" s="1"/>
      <c r="L23" s="1"/>
    </row>
    <row r="24" spans="4:12">
      <c r="D24" s="1">
        <v>49</v>
      </c>
      <c r="E24" s="1"/>
      <c r="F24" s="1"/>
      <c r="G24" s="1"/>
      <c r="H24" s="1">
        <v>1</v>
      </c>
      <c r="I24" s="1"/>
      <c r="J24" s="1"/>
      <c r="K24" s="1"/>
      <c r="L24" s="1"/>
    </row>
    <row r="25" spans="4:12">
      <c r="D25" s="1">
        <v>53</v>
      </c>
      <c r="E25" s="1"/>
      <c r="F25" s="1"/>
      <c r="G25" s="1"/>
      <c r="H25" s="1"/>
      <c r="I25" s="1">
        <v>1</v>
      </c>
      <c r="J25" s="1"/>
      <c r="K25" s="1"/>
      <c r="L25" s="1"/>
    </row>
    <row r="26" spans="4:12">
      <c r="D26" s="1">
        <v>54</v>
      </c>
      <c r="E26" s="1"/>
      <c r="F26" s="1"/>
      <c r="G26" s="1"/>
      <c r="H26" s="1"/>
      <c r="I26" s="1">
        <v>1</v>
      </c>
      <c r="J26" s="1"/>
      <c r="K26" s="1"/>
      <c r="L26" s="1"/>
    </row>
    <row r="27" spans="4:12">
      <c r="D27" s="1">
        <v>50</v>
      </c>
      <c r="E27" s="1"/>
      <c r="F27" s="1"/>
      <c r="G27" s="1"/>
      <c r="H27" s="1"/>
      <c r="I27" s="1">
        <v>1</v>
      </c>
      <c r="J27" s="1"/>
      <c r="K27" s="1"/>
      <c r="L27" s="1"/>
    </row>
    <row r="28" spans="4:12">
      <c r="D28" s="1">
        <v>55</v>
      </c>
      <c r="E28" s="1"/>
      <c r="F28" s="1"/>
      <c r="G28" s="1"/>
      <c r="H28" s="1"/>
      <c r="I28" s="1">
        <v>1</v>
      </c>
      <c r="J28" s="1"/>
      <c r="K28" s="1"/>
      <c r="L28" s="1"/>
    </row>
    <row r="29" spans="4:12">
      <c r="D29" s="1">
        <v>61</v>
      </c>
      <c r="E29" s="1"/>
      <c r="F29" s="1"/>
      <c r="G29" s="1"/>
      <c r="H29" s="1"/>
      <c r="I29" s="1">
        <v>1</v>
      </c>
      <c r="J29" s="1"/>
      <c r="K29" s="1"/>
      <c r="L29" s="1"/>
    </row>
    <row r="30" spans="4:12">
      <c r="D30" s="1">
        <v>63</v>
      </c>
      <c r="E30" s="1"/>
      <c r="F30" s="1"/>
      <c r="G30" s="1"/>
      <c r="H30" s="1"/>
      <c r="I30" s="1"/>
      <c r="J30" s="1">
        <v>1</v>
      </c>
      <c r="K30" s="1"/>
      <c r="L30" s="1"/>
    </row>
    <row r="31" spans="4:12">
      <c r="D31" s="1">
        <v>67</v>
      </c>
      <c r="E31" s="1"/>
      <c r="F31" s="1"/>
      <c r="G31" s="1"/>
      <c r="H31" s="1"/>
      <c r="I31" s="1"/>
      <c r="J31" s="1">
        <v>1</v>
      </c>
      <c r="K31" s="1"/>
      <c r="L31" s="1"/>
    </row>
    <row r="32" spans="4:12">
      <c r="D32" s="1">
        <v>68</v>
      </c>
      <c r="E32" s="1"/>
      <c r="F32" s="1"/>
      <c r="G32" s="1"/>
      <c r="H32" s="1"/>
      <c r="I32" s="1"/>
      <c r="J32" s="1">
        <v>1</v>
      </c>
      <c r="K32" s="1"/>
      <c r="L32" s="1"/>
    </row>
    <row r="33" spans="4:12">
      <c r="D33" s="1">
        <v>59</v>
      </c>
      <c r="E33" s="1"/>
      <c r="F33" s="1"/>
      <c r="G33" s="1"/>
      <c r="H33" s="1"/>
      <c r="I33" s="1"/>
      <c r="J33" s="1">
        <v>1</v>
      </c>
      <c r="K33" s="1"/>
      <c r="L33" s="1"/>
    </row>
    <row r="34" spans="4:12">
      <c r="D34" s="1">
        <v>61</v>
      </c>
      <c r="E34" s="1"/>
      <c r="F34" s="1"/>
      <c r="G34" s="1"/>
      <c r="H34" s="1"/>
      <c r="I34" s="1"/>
      <c r="J34" s="1">
        <v>1</v>
      </c>
      <c r="K34" s="1"/>
      <c r="L34" s="1"/>
    </row>
    <row r="35" spans="4:12">
      <c r="D35" s="1">
        <v>69</v>
      </c>
      <c r="E35" s="1"/>
      <c r="F35" s="1"/>
      <c r="G35" s="1"/>
      <c r="H35" s="1"/>
      <c r="I35" s="1"/>
      <c r="J35" s="1"/>
      <c r="K35" s="1">
        <v>1</v>
      </c>
      <c r="L35" s="1"/>
    </row>
    <row r="36" spans="4:12">
      <c r="D36" s="1">
        <v>72</v>
      </c>
      <c r="E36" s="1"/>
      <c r="F36" s="1"/>
      <c r="G36" s="1"/>
      <c r="H36" s="1"/>
      <c r="I36" s="1"/>
      <c r="J36" s="1"/>
      <c r="K36" s="1">
        <v>1</v>
      </c>
      <c r="L36" s="1"/>
    </row>
    <row r="37" spans="4:12">
      <c r="D37" s="1">
        <v>73</v>
      </c>
      <c r="E37" s="1"/>
      <c r="F37" s="1"/>
      <c r="G37" s="1"/>
      <c r="H37" s="1"/>
      <c r="I37" s="1"/>
      <c r="J37" s="1"/>
      <c r="K37" s="1">
        <v>1</v>
      </c>
      <c r="L37" s="1"/>
    </row>
    <row r="38" spans="4:12">
      <c r="D38" s="1">
        <v>76</v>
      </c>
      <c r="E38" s="1"/>
      <c r="F38" s="1"/>
      <c r="G38" s="1"/>
      <c r="H38" s="1"/>
      <c r="I38" s="1"/>
      <c r="J38" s="1"/>
      <c r="K38" s="1">
        <v>1</v>
      </c>
      <c r="L38" s="1"/>
    </row>
    <row r="39" spans="4:12">
      <c r="D39" s="1">
        <v>67</v>
      </c>
      <c r="E39" s="1"/>
      <c r="F39" s="1"/>
      <c r="G39" s="1"/>
      <c r="H39" s="1"/>
      <c r="I39" s="1"/>
      <c r="J39" s="1"/>
      <c r="K39" s="1">
        <v>1</v>
      </c>
      <c r="L39" s="1"/>
    </row>
    <row r="40" spans="4:12">
      <c r="D40" s="1">
        <v>45</v>
      </c>
      <c r="E40" s="1"/>
      <c r="F40" s="1"/>
      <c r="G40" s="1"/>
      <c r="H40" s="1"/>
      <c r="I40" s="1"/>
      <c r="J40" s="1"/>
      <c r="K40" s="1"/>
      <c r="L40" s="1">
        <v>1</v>
      </c>
    </row>
    <row r="41" spans="4:12">
      <c r="D41" s="1">
        <v>41</v>
      </c>
      <c r="E41" s="1"/>
      <c r="F41" s="1"/>
      <c r="G41" s="1"/>
      <c r="H41" s="1"/>
      <c r="I41" s="1"/>
      <c r="J41" s="1"/>
      <c r="K41" s="1"/>
      <c r="L41" s="1">
        <v>1</v>
      </c>
    </row>
    <row r="42" spans="4:12">
      <c r="D42" s="1">
        <v>45</v>
      </c>
      <c r="E42" s="1"/>
      <c r="F42" s="1"/>
      <c r="G42" s="1"/>
      <c r="H42" s="1"/>
      <c r="I42" s="1"/>
      <c r="J42" s="1"/>
      <c r="K42" s="1"/>
      <c r="L42" s="1">
        <v>1</v>
      </c>
    </row>
    <row r="43" spans="4:12">
      <c r="D43" s="1">
        <v>43</v>
      </c>
      <c r="E43" s="1"/>
      <c r="F43" s="1"/>
      <c r="G43" s="1"/>
      <c r="H43" s="1"/>
      <c r="I43" s="1"/>
      <c r="J43" s="1"/>
      <c r="K43" s="1"/>
      <c r="L43" s="1">
        <v>1</v>
      </c>
    </row>
    <row r="44" spans="4:12">
      <c r="D44" s="1">
        <v>46</v>
      </c>
      <c r="E44" s="1"/>
      <c r="F44" s="1"/>
      <c r="G44" s="1"/>
      <c r="H44" s="1"/>
      <c r="I44" s="1"/>
      <c r="J44" s="1"/>
      <c r="K44" s="1"/>
      <c r="L44" s="1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4755D-56A3-415C-9E00-A6037C7AB1C0}">
  <dimension ref="E5:H74"/>
  <sheetViews>
    <sheetView topLeftCell="A29" workbookViewId="0">
      <selection activeCell="J8" sqref="J8"/>
    </sheetView>
  </sheetViews>
  <sheetFormatPr defaultRowHeight="14.4"/>
  <cols>
    <col min="5" max="5" width="11.5234375" customWidth="1"/>
    <col min="6" max="6" width="21.83984375" customWidth="1"/>
    <col min="7" max="7" width="21.578125" customWidth="1"/>
    <col min="8" max="8" width="26.68359375" customWidth="1"/>
  </cols>
  <sheetData>
    <row r="5" spans="5:8">
      <c r="E5" s="2" t="s">
        <v>50</v>
      </c>
      <c r="F5" s="2" t="s">
        <v>241</v>
      </c>
      <c r="G5" s="2" t="s">
        <v>242</v>
      </c>
      <c r="H5" s="2" t="s">
        <v>243</v>
      </c>
    </row>
    <row r="6" spans="5:8">
      <c r="E6" s="1">
        <v>0.4</v>
      </c>
      <c r="F6" s="1">
        <v>0</v>
      </c>
      <c r="G6" s="1">
        <v>0</v>
      </c>
      <c r="H6" s="1">
        <v>0</v>
      </c>
    </row>
    <row r="7" spans="5:8">
      <c r="E7" s="1">
        <v>0.46300000000000002</v>
      </c>
      <c r="F7" s="1">
        <v>0</v>
      </c>
      <c r="G7" s="1">
        <v>0</v>
      </c>
      <c r="H7" s="1">
        <v>0</v>
      </c>
    </row>
    <row r="8" spans="5:8">
      <c r="E8" s="1">
        <v>0.53600000000000003</v>
      </c>
      <c r="F8" s="1">
        <v>0</v>
      </c>
      <c r="G8" s="1">
        <v>0</v>
      </c>
      <c r="H8" s="1">
        <v>0</v>
      </c>
    </row>
    <row r="9" spans="5:8">
      <c r="E9" s="1">
        <v>0.621</v>
      </c>
      <c r="F9" s="1">
        <v>0</v>
      </c>
      <c r="G9" s="1">
        <v>0</v>
      </c>
      <c r="H9" s="1">
        <v>0</v>
      </c>
    </row>
    <row r="10" spans="5:8">
      <c r="E10" s="1">
        <v>0.71899999999999997</v>
      </c>
      <c r="F10" s="1">
        <v>0</v>
      </c>
      <c r="G10" s="1">
        <v>0</v>
      </c>
      <c r="H10" s="1">
        <v>0</v>
      </c>
    </row>
    <row r="11" spans="5:8">
      <c r="E11" s="1">
        <v>0.83299999999999996</v>
      </c>
      <c r="F11" s="1">
        <v>0</v>
      </c>
      <c r="G11" s="1">
        <v>0</v>
      </c>
      <c r="H11" s="1">
        <v>0</v>
      </c>
    </row>
    <row r="12" spans="5:8">
      <c r="E12" s="1">
        <v>0.96499999999999997</v>
      </c>
      <c r="F12" s="1">
        <v>0</v>
      </c>
      <c r="G12" s="1">
        <v>0</v>
      </c>
      <c r="H12" s="1">
        <v>0</v>
      </c>
    </row>
    <row r="13" spans="5:8">
      <c r="E13" s="1">
        <v>1.1200000000000001</v>
      </c>
      <c r="F13" s="1">
        <v>0</v>
      </c>
      <c r="G13" s="1">
        <v>0</v>
      </c>
      <c r="H13" s="1">
        <v>0</v>
      </c>
    </row>
    <row r="14" spans="5:8">
      <c r="E14" s="1">
        <v>1.29</v>
      </c>
      <c r="F14" s="1">
        <v>0</v>
      </c>
      <c r="G14" s="1">
        <v>0</v>
      </c>
      <c r="H14" s="1">
        <v>0</v>
      </c>
    </row>
    <row r="15" spans="5:8">
      <c r="E15" s="1">
        <v>1.5</v>
      </c>
      <c r="F15" s="1">
        <v>0</v>
      </c>
      <c r="G15" s="1">
        <v>0</v>
      </c>
      <c r="H15" s="1">
        <v>0</v>
      </c>
    </row>
    <row r="16" spans="5:8">
      <c r="E16" s="1">
        <v>1.74</v>
      </c>
      <c r="F16" s="1">
        <v>0</v>
      </c>
      <c r="G16" s="1">
        <v>0</v>
      </c>
      <c r="H16" s="1">
        <v>0</v>
      </c>
    </row>
    <row r="17" spans="5:8">
      <c r="E17" s="1">
        <v>2.0099999999999998</v>
      </c>
      <c r="F17" s="1">
        <v>0</v>
      </c>
      <c r="G17" s="1">
        <v>0</v>
      </c>
      <c r="H17" s="1">
        <v>0</v>
      </c>
    </row>
    <row r="18" spans="5:8">
      <c r="E18" s="1">
        <v>2.33</v>
      </c>
      <c r="F18" s="1">
        <v>0</v>
      </c>
      <c r="G18" s="1">
        <v>0</v>
      </c>
      <c r="H18" s="1">
        <v>0</v>
      </c>
    </row>
    <row r="19" spans="5:8">
      <c r="E19" s="1">
        <v>2.7</v>
      </c>
      <c r="F19" s="1">
        <v>0</v>
      </c>
      <c r="G19" s="1">
        <v>0</v>
      </c>
      <c r="H19" s="1">
        <v>0</v>
      </c>
    </row>
    <row r="20" spans="5:8">
      <c r="E20" s="1">
        <v>3.12</v>
      </c>
      <c r="F20" s="1">
        <v>0</v>
      </c>
      <c r="G20" s="1">
        <v>0</v>
      </c>
      <c r="H20" s="1">
        <v>0</v>
      </c>
    </row>
    <row r="21" spans="5:8">
      <c r="E21" s="1">
        <v>3.62</v>
      </c>
      <c r="F21" s="1">
        <v>0</v>
      </c>
      <c r="G21" s="1">
        <v>0</v>
      </c>
      <c r="H21" s="1">
        <v>0</v>
      </c>
    </row>
    <row r="22" spans="5:8">
      <c r="E22" s="1">
        <v>4.1900000000000004</v>
      </c>
      <c r="F22" s="1">
        <v>0</v>
      </c>
      <c r="G22" s="1">
        <v>0</v>
      </c>
      <c r="H22" s="1">
        <v>0</v>
      </c>
    </row>
    <row r="23" spans="5:8">
      <c r="E23" s="1">
        <v>4.8499999999999996</v>
      </c>
      <c r="F23" s="1">
        <v>0</v>
      </c>
      <c r="G23" s="1">
        <v>0</v>
      </c>
      <c r="H23" s="1">
        <v>0</v>
      </c>
    </row>
    <row r="24" spans="5:8">
      <c r="E24" s="1">
        <v>5.61</v>
      </c>
      <c r="F24" s="1">
        <v>0</v>
      </c>
      <c r="G24" s="1">
        <v>0</v>
      </c>
      <c r="H24" s="1">
        <v>0</v>
      </c>
    </row>
    <row r="25" spans="5:8">
      <c r="E25" s="1">
        <v>6.5</v>
      </c>
      <c r="F25" s="1">
        <v>0</v>
      </c>
      <c r="G25" s="1">
        <v>0</v>
      </c>
      <c r="H25" s="1">
        <v>0</v>
      </c>
    </row>
    <row r="26" spans="5:8">
      <c r="E26" s="1">
        <v>7.53</v>
      </c>
      <c r="F26" s="1">
        <v>0</v>
      </c>
      <c r="G26" s="1">
        <v>0</v>
      </c>
      <c r="H26" s="1">
        <v>0</v>
      </c>
    </row>
    <row r="27" spans="5:8">
      <c r="E27" s="1">
        <v>8.7200000000000006</v>
      </c>
      <c r="F27" s="1">
        <v>0</v>
      </c>
      <c r="G27" s="1">
        <v>0</v>
      </c>
      <c r="H27" s="1">
        <v>0</v>
      </c>
    </row>
    <row r="28" spans="5:8">
      <c r="E28" s="1">
        <v>10.1</v>
      </c>
      <c r="F28" s="1">
        <v>0</v>
      </c>
      <c r="G28" s="1">
        <v>0</v>
      </c>
      <c r="H28" s="1">
        <v>0</v>
      </c>
    </row>
    <row r="29" spans="5:8">
      <c r="E29" s="1">
        <v>11.7</v>
      </c>
      <c r="F29" s="1">
        <v>0</v>
      </c>
      <c r="G29" s="1">
        <v>0</v>
      </c>
      <c r="H29" s="1">
        <v>0</v>
      </c>
    </row>
    <row r="30" spans="5:8">
      <c r="E30" s="1">
        <v>13.5</v>
      </c>
      <c r="F30" s="1">
        <v>0</v>
      </c>
      <c r="G30" s="1">
        <v>0</v>
      </c>
      <c r="H30" s="1">
        <v>0</v>
      </c>
    </row>
    <row r="31" spans="5:8">
      <c r="E31" s="1">
        <v>15.7</v>
      </c>
      <c r="F31" s="1">
        <v>0</v>
      </c>
      <c r="G31" s="1">
        <v>0</v>
      </c>
      <c r="H31" s="1">
        <v>0</v>
      </c>
    </row>
    <row r="32" spans="5:8">
      <c r="E32" s="1">
        <v>18.2</v>
      </c>
      <c r="F32" s="1">
        <v>0</v>
      </c>
      <c r="G32" s="1">
        <v>0</v>
      </c>
      <c r="H32" s="1">
        <v>0</v>
      </c>
    </row>
    <row r="33" spans="5:8">
      <c r="E33" s="1">
        <v>21</v>
      </c>
      <c r="F33" s="1">
        <v>0</v>
      </c>
      <c r="G33" s="1">
        <v>0</v>
      </c>
      <c r="H33" s="1">
        <v>0</v>
      </c>
    </row>
    <row r="34" spans="5:8">
      <c r="E34" s="1">
        <v>24.4</v>
      </c>
      <c r="F34" s="1">
        <v>0</v>
      </c>
      <c r="G34" s="1">
        <v>0</v>
      </c>
      <c r="H34" s="1">
        <v>0</v>
      </c>
    </row>
    <row r="35" spans="5:8">
      <c r="E35" s="1">
        <v>28.2</v>
      </c>
      <c r="F35" s="1">
        <v>0</v>
      </c>
      <c r="G35" s="1">
        <v>0</v>
      </c>
      <c r="H35" s="1">
        <v>0</v>
      </c>
    </row>
    <row r="36" spans="5:8">
      <c r="E36" s="1">
        <v>32.700000000000003</v>
      </c>
      <c r="F36" s="1">
        <v>0</v>
      </c>
      <c r="G36" s="1">
        <v>0</v>
      </c>
      <c r="H36" s="1">
        <v>0.27800000000000002</v>
      </c>
    </row>
    <row r="37" spans="5:8">
      <c r="E37" s="1">
        <v>37.799999999999997</v>
      </c>
      <c r="F37" s="1">
        <v>0</v>
      </c>
      <c r="G37" s="1">
        <v>4.6600000000000003E-2</v>
      </c>
      <c r="H37" s="1">
        <v>1.06</v>
      </c>
    </row>
    <row r="38" spans="5:8">
      <c r="E38" s="1">
        <v>43.8</v>
      </c>
      <c r="F38" s="1">
        <v>0.39200000000000002</v>
      </c>
      <c r="G38" s="1">
        <v>0.82</v>
      </c>
      <c r="H38" s="1">
        <v>2.31</v>
      </c>
    </row>
    <row r="39" spans="5:8">
      <c r="E39" s="1">
        <v>50.7</v>
      </c>
      <c r="F39" s="1">
        <v>2.42</v>
      </c>
      <c r="G39" s="1">
        <v>2.5099999999999998</v>
      </c>
      <c r="H39" s="1">
        <v>3.92</v>
      </c>
    </row>
    <row r="40" spans="5:8">
      <c r="E40" s="1">
        <v>58.8</v>
      </c>
      <c r="F40" s="1">
        <v>5.73</v>
      </c>
      <c r="G40" s="1">
        <v>4.95</v>
      </c>
      <c r="H40" s="1">
        <v>5.76</v>
      </c>
    </row>
    <row r="41" spans="5:8">
      <c r="E41" s="1">
        <v>68.099999999999994</v>
      </c>
      <c r="F41" s="1">
        <v>9.39</v>
      </c>
      <c r="G41" s="1">
        <v>7.7</v>
      </c>
      <c r="H41" s="1">
        <v>7.64</v>
      </c>
    </row>
    <row r="42" spans="5:8">
      <c r="E42" s="1">
        <v>78.8</v>
      </c>
      <c r="F42" s="1">
        <v>12.4</v>
      </c>
      <c r="G42" s="1">
        <v>10.3</v>
      </c>
      <c r="H42" s="1">
        <v>9.3699999999999992</v>
      </c>
    </row>
    <row r="43" spans="5:8">
      <c r="E43" s="1">
        <v>91.3</v>
      </c>
      <c r="F43" s="1">
        <v>14.2</v>
      </c>
      <c r="G43" s="1">
        <v>12.2</v>
      </c>
      <c r="H43" s="1">
        <v>10.7</v>
      </c>
    </row>
    <row r="44" spans="5:8">
      <c r="E44" s="1">
        <v>106</v>
      </c>
      <c r="F44" s="1">
        <v>14.5</v>
      </c>
      <c r="G44" s="1">
        <v>13.2</v>
      </c>
      <c r="H44" s="1">
        <v>11.5</v>
      </c>
    </row>
    <row r="45" spans="5:8">
      <c r="E45" s="1">
        <v>122</v>
      </c>
      <c r="F45" s="1">
        <v>13.3</v>
      </c>
      <c r="G45" s="1">
        <v>13</v>
      </c>
      <c r="H45" s="1">
        <v>11.5</v>
      </c>
    </row>
    <row r="46" spans="5:8">
      <c r="E46" s="1">
        <v>142</v>
      </c>
      <c r="F46" s="1">
        <v>11</v>
      </c>
      <c r="G46" s="1">
        <v>11.7</v>
      </c>
      <c r="H46" s="1">
        <v>10.7</v>
      </c>
    </row>
    <row r="47" spans="5:8">
      <c r="E47" s="1">
        <v>164</v>
      </c>
      <c r="F47" s="1">
        <v>8.02</v>
      </c>
      <c r="G47" s="1">
        <v>9.56</v>
      </c>
      <c r="H47" s="1">
        <v>9.1300000000000008</v>
      </c>
    </row>
    <row r="48" spans="5:8">
      <c r="E48" s="1">
        <v>190</v>
      </c>
      <c r="F48" s="1">
        <v>5.0599999999999996</v>
      </c>
      <c r="G48" s="1">
        <v>6.96</v>
      </c>
      <c r="H48" s="1">
        <v>7.1</v>
      </c>
    </row>
    <row r="49" spans="5:8">
      <c r="E49" s="1">
        <v>220</v>
      </c>
      <c r="F49" s="1">
        <v>2.57</v>
      </c>
      <c r="G49" s="1">
        <v>4.34</v>
      </c>
      <c r="H49" s="1">
        <v>4.87</v>
      </c>
    </row>
    <row r="50" spans="5:8">
      <c r="E50" s="1">
        <v>255</v>
      </c>
      <c r="F50" s="1">
        <v>0.88300000000000001</v>
      </c>
      <c r="G50" s="1">
        <v>2.13</v>
      </c>
      <c r="H50" s="1">
        <v>2.79</v>
      </c>
    </row>
    <row r="51" spans="5:8">
      <c r="E51" s="1">
        <v>295</v>
      </c>
      <c r="F51" s="1">
        <v>0.1</v>
      </c>
      <c r="G51" s="1">
        <v>0.65</v>
      </c>
      <c r="H51" s="1">
        <v>1.19</v>
      </c>
    </row>
    <row r="52" spans="5:8">
      <c r="E52" s="1">
        <v>342</v>
      </c>
      <c r="F52" s="1">
        <v>0</v>
      </c>
      <c r="G52" s="1">
        <v>9.9299999999999996E-3</v>
      </c>
      <c r="H52" s="1">
        <v>0.27300000000000002</v>
      </c>
    </row>
    <row r="53" spans="5:8">
      <c r="E53" s="1">
        <v>396</v>
      </c>
      <c r="F53" s="1">
        <v>0</v>
      </c>
      <c r="G53" s="1">
        <v>0</v>
      </c>
      <c r="H53" s="1">
        <v>0</v>
      </c>
    </row>
    <row r="54" spans="5:8">
      <c r="E54" s="1">
        <v>459</v>
      </c>
      <c r="F54" s="1">
        <v>0</v>
      </c>
      <c r="G54" s="1">
        <v>0</v>
      </c>
      <c r="H54" s="1">
        <v>0</v>
      </c>
    </row>
    <row r="55" spans="5:8">
      <c r="E55" s="1">
        <v>531</v>
      </c>
      <c r="F55" s="1">
        <v>0</v>
      </c>
      <c r="G55" s="1">
        <v>0</v>
      </c>
      <c r="H55" s="1">
        <v>0</v>
      </c>
    </row>
    <row r="56" spans="5:8">
      <c r="E56" s="1">
        <v>615</v>
      </c>
      <c r="F56" s="1">
        <v>0</v>
      </c>
      <c r="G56" s="1">
        <v>0</v>
      </c>
      <c r="H56" s="1">
        <v>0</v>
      </c>
    </row>
    <row r="57" spans="5:8">
      <c r="E57" s="1">
        <v>712</v>
      </c>
      <c r="F57" s="1">
        <v>0</v>
      </c>
      <c r="G57" s="1">
        <v>0</v>
      </c>
      <c r="H57" s="1">
        <v>0</v>
      </c>
    </row>
    <row r="58" spans="5:8">
      <c r="E58" s="1">
        <v>825</v>
      </c>
      <c r="F58" s="1">
        <v>0</v>
      </c>
      <c r="G58" s="1">
        <v>0</v>
      </c>
      <c r="H58" s="1">
        <v>0</v>
      </c>
    </row>
    <row r="59" spans="5:8">
      <c r="E59" s="1">
        <v>955</v>
      </c>
      <c r="F59" s="1">
        <v>0</v>
      </c>
      <c r="G59" s="1">
        <v>0</v>
      </c>
      <c r="H59" s="1">
        <v>0</v>
      </c>
    </row>
    <row r="60" spans="5:8">
      <c r="E60" s="1">
        <v>1110</v>
      </c>
      <c r="F60" s="1">
        <v>0</v>
      </c>
      <c r="G60" s="1">
        <v>0</v>
      </c>
      <c r="H60" s="1">
        <v>0</v>
      </c>
    </row>
    <row r="61" spans="5:8">
      <c r="E61" s="1">
        <v>1280</v>
      </c>
      <c r="F61" s="1">
        <v>0</v>
      </c>
      <c r="G61" s="1">
        <v>0</v>
      </c>
      <c r="H61" s="1">
        <v>0</v>
      </c>
    </row>
    <row r="62" spans="5:8">
      <c r="E62" s="1">
        <v>1480</v>
      </c>
      <c r="F62" s="1">
        <v>0</v>
      </c>
      <c r="G62" s="1">
        <v>0</v>
      </c>
      <c r="H62" s="1">
        <v>0</v>
      </c>
    </row>
    <row r="63" spans="5:8">
      <c r="E63" s="1">
        <v>1720</v>
      </c>
      <c r="F63" s="1">
        <v>0</v>
      </c>
      <c r="G63" s="1">
        <v>0</v>
      </c>
      <c r="H63" s="1">
        <v>0</v>
      </c>
    </row>
    <row r="64" spans="5:8">
      <c r="E64" s="1">
        <v>1990</v>
      </c>
      <c r="F64" s="1">
        <v>0</v>
      </c>
      <c r="G64" s="1">
        <v>0</v>
      </c>
      <c r="H64" s="1">
        <v>0</v>
      </c>
    </row>
    <row r="65" spans="5:8">
      <c r="E65" s="1">
        <v>2300</v>
      </c>
      <c r="F65" s="1">
        <v>0</v>
      </c>
      <c r="G65" s="1">
        <v>0</v>
      </c>
      <c r="H65" s="1">
        <v>0</v>
      </c>
    </row>
    <row r="66" spans="5:8">
      <c r="E66" s="1">
        <v>2670</v>
      </c>
      <c r="F66" s="1">
        <v>0</v>
      </c>
      <c r="G66" s="1">
        <v>0</v>
      </c>
      <c r="H66" s="1">
        <v>0</v>
      </c>
    </row>
    <row r="67" spans="5:8">
      <c r="E67" s="1">
        <v>3090</v>
      </c>
      <c r="F67" s="1">
        <v>0</v>
      </c>
      <c r="G67" s="1">
        <v>0</v>
      </c>
      <c r="H67" s="1">
        <v>0</v>
      </c>
    </row>
    <row r="68" spans="5:8">
      <c r="E68" s="1">
        <v>3580</v>
      </c>
      <c r="F68" s="1">
        <v>0</v>
      </c>
      <c r="G68" s="1">
        <v>0</v>
      </c>
      <c r="H68" s="1">
        <v>0</v>
      </c>
    </row>
    <row r="69" spans="5:8">
      <c r="E69" s="1">
        <v>4150</v>
      </c>
      <c r="F69" s="1">
        <v>0</v>
      </c>
      <c r="G69" s="1">
        <v>0</v>
      </c>
      <c r="H69" s="1">
        <v>0</v>
      </c>
    </row>
    <row r="70" spans="5:8">
      <c r="E70" s="1">
        <v>4800</v>
      </c>
      <c r="F70" s="1">
        <v>0</v>
      </c>
      <c r="G70" s="1">
        <v>0</v>
      </c>
      <c r="H70" s="1">
        <v>0</v>
      </c>
    </row>
    <row r="71" spans="5:8">
      <c r="E71" s="1">
        <v>5560</v>
      </c>
      <c r="F71" s="1">
        <v>0</v>
      </c>
      <c r="G71" s="1">
        <v>0</v>
      </c>
      <c r="H71" s="1">
        <v>0</v>
      </c>
    </row>
    <row r="72" spans="5:8">
      <c r="E72" s="1">
        <v>6440</v>
      </c>
      <c r="F72" s="1">
        <v>0</v>
      </c>
      <c r="G72" s="1">
        <v>0</v>
      </c>
      <c r="H72" s="1">
        <v>0</v>
      </c>
    </row>
    <row r="73" spans="5:8">
      <c r="E73" s="1">
        <v>7460</v>
      </c>
      <c r="F73" s="1">
        <v>0</v>
      </c>
      <c r="G73" s="1">
        <v>0</v>
      </c>
      <c r="H73" s="1">
        <v>0</v>
      </c>
    </row>
    <row r="74" spans="5:8">
      <c r="E74" s="1">
        <v>8630</v>
      </c>
      <c r="F74" s="1">
        <v>0</v>
      </c>
      <c r="G74" s="1">
        <v>0</v>
      </c>
      <c r="H74" s="1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2BA7-A425-4513-8254-E1C905684F33}">
  <dimension ref="E6:O9"/>
  <sheetViews>
    <sheetView workbookViewId="0">
      <selection activeCell="J8" sqref="J8"/>
    </sheetView>
  </sheetViews>
  <sheetFormatPr defaultRowHeight="14.4"/>
  <sheetData>
    <row r="6" spans="5:15">
      <c r="E6" s="2"/>
      <c r="F6" s="2"/>
      <c r="G6" s="39" t="s">
        <v>241</v>
      </c>
      <c r="H6" s="39"/>
      <c r="I6" s="39"/>
      <c r="J6" s="39" t="s">
        <v>242</v>
      </c>
      <c r="K6" s="39"/>
      <c r="L6" s="39"/>
      <c r="M6" s="39" t="s">
        <v>243</v>
      </c>
      <c r="N6" s="39"/>
      <c r="O6" s="39"/>
    </row>
    <row r="7" spans="5:15">
      <c r="E7" s="3" t="s">
        <v>51</v>
      </c>
      <c r="F7" s="1"/>
      <c r="G7" s="1">
        <v>-30.8</v>
      </c>
      <c r="H7" s="1">
        <v>-33.200000000000003</v>
      </c>
      <c r="I7" s="1">
        <v>-27.6</v>
      </c>
      <c r="J7" s="1">
        <v>-26.2</v>
      </c>
      <c r="K7" s="1">
        <v>-22.7</v>
      </c>
      <c r="L7" s="1">
        <v>-27.6</v>
      </c>
      <c r="M7" s="1">
        <v>-22.9</v>
      </c>
      <c r="N7" s="1">
        <v>-19.7</v>
      </c>
      <c r="O7" s="1">
        <v>-20.399999999999999</v>
      </c>
    </row>
    <row r="8" spans="5:15">
      <c r="E8" s="3" t="s">
        <v>52</v>
      </c>
      <c r="F8" s="1"/>
      <c r="G8" s="1">
        <v>-25.9</v>
      </c>
      <c r="H8" s="1">
        <v>-30.2</v>
      </c>
      <c r="I8" s="1">
        <v>-28.3</v>
      </c>
      <c r="J8" s="1">
        <v>3.17</v>
      </c>
      <c r="K8" s="1">
        <v>1.89</v>
      </c>
      <c r="L8" s="1">
        <v>4.26</v>
      </c>
      <c r="M8" s="1">
        <v>3.51</v>
      </c>
      <c r="N8" s="1">
        <v>4.8600000000000003</v>
      </c>
      <c r="O8" s="1">
        <v>2.79</v>
      </c>
    </row>
    <row r="9" spans="5:15">
      <c r="E9" s="3" t="s">
        <v>263</v>
      </c>
      <c r="F9" s="1"/>
      <c r="G9" s="1">
        <v>-27.4</v>
      </c>
      <c r="H9" s="1">
        <v>-23.7</v>
      </c>
      <c r="I9" s="1">
        <v>-26.8</v>
      </c>
      <c r="J9" s="1">
        <v>6.89</v>
      </c>
      <c r="K9" s="1">
        <v>4.57</v>
      </c>
      <c r="L9" s="1">
        <v>7.14</v>
      </c>
      <c r="M9" s="1">
        <v>5.81</v>
      </c>
      <c r="N9" s="1">
        <v>8.15</v>
      </c>
      <c r="O9" s="1">
        <v>4.82</v>
      </c>
    </row>
  </sheetData>
  <mergeCells count="3">
    <mergeCell ref="G6:I6"/>
    <mergeCell ref="J6:L6"/>
    <mergeCell ref="M6:O6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5B753-254F-45E9-8189-0315BCE7646F}">
  <dimension ref="D5:S12"/>
  <sheetViews>
    <sheetView workbookViewId="0">
      <selection activeCell="J8" sqref="J8"/>
    </sheetView>
  </sheetViews>
  <sheetFormatPr defaultRowHeight="14.4"/>
  <sheetData>
    <row r="5" spans="4:19">
      <c r="D5" s="2"/>
      <c r="E5" s="39" t="s">
        <v>239</v>
      </c>
      <c r="F5" s="39"/>
      <c r="G5" s="39"/>
      <c r="H5" s="39" t="s">
        <v>240</v>
      </c>
      <c r="I5" s="39"/>
      <c r="J5" s="39"/>
      <c r="K5" s="39" t="s">
        <v>241</v>
      </c>
      <c r="L5" s="39"/>
      <c r="M5" s="39"/>
      <c r="N5" s="39" t="s">
        <v>242</v>
      </c>
      <c r="O5" s="39"/>
      <c r="P5" s="39"/>
      <c r="Q5" s="39" t="s">
        <v>243</v>
      </c>
      <c r="R5" s="39"/>
      <c r="S5" s="39"/>
    </row>
    <row r="6" spans="4:19">
      <c r="D6" s="1">
        <v>8.3333000000000004E-2</v>
      </c>
      <c r="E6" s="1">
        <v>19.3</v>
      </c>
      <c r="F6" s="1">
        <v>20.2</v>
      </c>
      <c r="G6" s="1">
        <v>22.6</v>
      </c>
      <c r="H6" s="1">
        <v>96.5</v>
      </c>
      <c r="I6" s="1">
        <v>98.72</v>
      </c>
      <c r="J6" s="1">
        <v>99.58</v>
      </c>
      <c r="K6" s="1">
        <v>99.6</v>
      </c>
      <c r="L6" s="1">
        <v>101.55</v>
      </c>
      <c r="M6" s="1">
        <v>100.11</v>
      </c>
      <c r="N6" s="1">
        <v>99.72</v>
      </c>
      <c r="O6" s="1">
        <v>97.27</v>
      </c>
      <c r="P6" s="1">
        <v>100.09</v>
      </c>
      <c r="Q6" s="1">
        <v>99.89</v>
      </c>
      <c r="R6" s="1">
        <v>100.12</v>
      </c>
      <c r="S6" s="1">
        <v>100.12</v>
      </c>
    </row>
    <row r="7" spans="4:19">
      <c r="D7" s="1">
        <v>0.3333333</v>
      </c>
      <c r="E7" s="1">
        <v>3.21</v>
      </c>
      <c r="F7" s="1">
        <v>3.24</v>
      </c>
      <c r="G7" s="1">
        <v>2.71</v>
      </c>
      <c r="H7" s="1">
        <v>74.16</v>
      </c>
      <c r="I7" s="1">
        <v>70.16</v>
      </c>
      <c r="J7" s="1">
        <v>88.43</v>
      </c>
      <c r="K7" s="1">
        <v>95.24</v>
      </c>
      <c r="L7" s="1">
        <v>95.79</v>
      </c>
      <c r="M7" s="1">
        <v>92.97</v>
      </c>
      <c r="N7" s="1">
        <v>87.44</v>
      </c>
      <c r="O7" s="1">
        <v>90.86</v>
      </c>
      <c r="P7" s="1">
        <v>97.89</v>
      </c>
      <c r="Q7" s="1">
        <v>96.03</v>
      </c>
      <c r="R7" s="1">
        <v>93.01</v>
      </c>
      <c r="S7" s="1">
        <v>96.23</v>
      </c>
    </row>
    <row r="8" spans="4:19">
      <c r="D8" s="1">
        <v>1</v>
      </c>
      <c r="E8" s="1">
        <v>2</v>
      </c>
      <c r="F8" s="1">
        <v>1.41</v>
      </c>
      <c r="G8" s="1">
        <v>1.53</v>
      </c>
      <c r="H8" s="1">
        <v>52.14</v>
      </c>
      <c r="I8" s="1">
        <v>63.47</v>
      </c>
      <c r="J8" s="1">
        <v>68.260000000000005</v>
      </c>
      <c r="K8" s="1">
        <v>89.33</v>
      </c>
      <c r="L8" s="1">
        <v>84.42</v>
      </c>
      <c r="M8" s="1">
        <v>85.36</v>
      </c>
      <c r="N8" s="1">
        <v>80.760000000000005</v>
      </c>
      <c r="O8" s="1">
        <v>75.53</v>
      </c>
      <c r="P8" s="1">
        <v>83.9</v>
      </c>
      <c r="Q8" s="1">
        <v>86.99</v>
      </c>
      <c r="R8" s="1">
        <v>86.96</v>
      </c>
      <c r="S8" s="1">
        <v>84.82</v>
      </c>
    </row>
    <row r="9" spans="4:19">
      <c r="D9" s="1">
        <v>2.5</v>
      </c>
      <c r="E9" s="1">
        <v>1.03</v>
      </c>
      <c r="F9" s="1">
        <v>0.92</v>
      </c>
      <c r="G9" s="1">
        <v>0.73</v>
      </c>
      <c r="H9" s="1">
        <v>41.28</v>
      </c>
      <c r="I9" s="1">
        <v>46.58</v>
      </c>
      <c r="J9" s="1">
        <v>54.52</v>
      </c>
      <c r="K9" s="1">
        <v>73</v>
      </c>
      <c r="L9" s="1">
        <v>62.9</v>
      </c>
      <c r="M9" s="1">
        <v>75.98</v>
      </c>
      <c r="N9" s="1">
        <v>66.36</v>
      </c>
      <c r="O9" s="1">
        <v>63.32</v>
      </c>
      <c r="P9" s="1">
        <v>65.77</v>
      </c>
      <c r="Q9" s="1">
        <v>82.82</v>
      </c>
      <c r="R9" s="1">
        <v>80.62</v>
      </c>
      <c r="S9" s="1">
        <v>78.59</v>
      </c>
    </row>
    <row r="10" spans="4:19">
      <c r="D10" s="1">
        <v>8</v>
      </c>
      <c r="E10" s="1">
        <v>0.52</v>
      </c>
      <c r="F10" s="1">
        <v>0.26</v>
      </c>
      <c r="G10" s="1">
        <v>0.14000000000000001</v>
      </c>
      <c r="H10" s="1">
        <v>18.52</v>
      </c>
      <c r="I10" s="1">
        <v>12.47</v>
      </c>
      <c r="J10" s="1">
        <v>21.24</v>
      </c>
      <c r="K10" s="1">
        <v>17.39</v>
      </c>
      <c r="L10" s="1">
        <v>28.58</v>
      </c>
      <c r="M10" s="1">
        <v>14.37</v>
      </c>
      <c r="N10" s="1">
        <v>26.92</v>
      </c>
      <c r="O10" s="1">
        <v>21.71</v>
      </c>
      <c r="P10" s="1">
        <v>28.41</v>
      </c>
      <c r="Q10" s="1">
        <v>45.56</v>
      </c>
      <c r="R10" s="1">
        <v>39.43</v>
      </c>
      <c r="S10" s="1">
        <v>47.13</v>
      </c>
    </row>
    <row r="11" spans="4:19">
      <c r="D11" s="1">
        <v>12</v>
      </c>
      <c r="E11" s="1">
        <v>0.12</v>
      </c>
      <c r="F11" s="1">
        <v>7.0000000000000007E-2</v>
      </c>
      <c r="G11" s="1">
        <v>0.14000000000000001</v>
      </c>
      <c r="H11" s="1">
        <v>5.14</v>
      </c>
      <c r="I11" s="1">
        <v>4.26</v>
      </c>
      <c r="J11" s="1">
        <v>3.26</v>
      </c>
      <c r="K11" s="1">
        <v>8.26</v>
      </c>
      <c r="L11" s="1">
        <v>11.67</v>
      </c>
      <c r="M11" s="1">
        <v>8.91</v>
      </c>
      <c r="N11" s="1">
        <v>13.97</v>
      </c>
      <c r="O11" s="1">
        <v>12.34</v>
      </c>
      <c r="P11" s="1">
        <v>15.89</v>
      </c>
      <c r="Q11" s="1">
        <v>22.25</v>
      </c>
      <c r="R11" s="1">
        <v>25.43</v>
      </c>
      <c r="S11" s="1">
        <v>28.37</v>
      </c>
    </row>
    <row r="12" spans="4:19">
      <c r="D12" s="1">
        <v>24</v>
      </c>
      <c r="E12" s="1">
        <v>0.08</v>
      </c>
      <c r="F12" s="1">
        <v>0.03</v>
      </c>
      <c r="G12" s="1">
        <v>0.02</v>
      </c>
      <c r="H12" s="1">
        <v>1.27</v>
      </c>
      <c r="I12" s="1">
        <v>0.98</v>
      </c>
      <c r="J12" s="1">
        <v>0.47</v>
      </c>
      <c r="K12" s="1">
        <v>3.63</v>
      </c>
      <c r="L12" s="1">
        <v>1.28</v>
      </c>
      <c r="M12" s="1">
        <v>4.22</v>
      </c>
      <c r="N12" s="1">
        <v>2.16</v>
      </c>
      <c r="O12" s="1">
        <v>4.3499999999999996</v>
      </c>
      <c r="P12" s="1">
        <v>3.49</v>
      </c>
      <c r="Q12" s="1">
        <v>10.49</v>
      </c>
      <c r="R12" s="1">
        <v>9.86</v>
      </c>
      <c r="S12" s="1">
        <v>11.72</v>
      </c>
    </row>
  </sheetData>
  <mergeCells count="5">
    <mergeCell ref="E5:G5"/>
    <mergeCell ref="H5:J5"/>
    <mergeCell ref="K5:M5"/>
    <mergeCell ref="N5:P5"/>
    <mergeCell ref="Q5:S5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BDA34-4C25-4297-B163-0A844BB7FE99}">
  <dimension ref="B3:Q9"/>
  <sheetViews>
    <sheetView workbookViewId="0">
      <selection activeCell="N19" sqref="N19"/>
    </sheetView>
  </sheetViews>
  <sheetFormatPr defaultRowHeight="14.4"/>
  <sheetData>
    <row r="3" spans="2:17">
      <c r="B3" s="2"/>
      <c r="C3" s="39" t="s">
        <v>244</v>
      </c>
      <c r="D3" s="39"/>
      <c r="E3" s="39"/>
      <c r="F3" s="39" t="s">
        <v>240</v>
      </c>
      <c r="G3" s="39"/>
      <c r="H3" s="39"/>
      <c r="I3" s="39" t="s">
        <v>241</v>
      </c>
      <c r="J3" s="39"/>
      <c r="K3" s="39"/>
      <c r="L3" s="39" t="s">
        <v>242</v>
      </c>
      <c r="M3" s="39"/>
      <c r="N3" s="39"/>
      <c r="O3" s="39" t="s">
        <v>243</v>
      </c>
      <c r="P3" s="39"/>
      <c r="Q3" s="39"/>
    </row>
    <row r="4" spans="2:17">
      <c r="B4" s="3" t="s">
        <v>0</v>
      </c>
      <c r="C4" s="1">
        <v>0.03</v>
      </c>
      <c r="D4" s="1">
        <v>0.04</v>
      </c>
      <c r="E4" s="1">
        <v>0.01</v>
      </c>
      <c r="F4" s="1">
        <v>0.05</v>
      </c>
      <c r="G4" s="1">
        <v>0.09</v>
      </c>
      <c r="H4" s="1">
        <v>0.14000000000000001</v>
      </c>
      <c r="I4" s="1">
        <v>0.01</v>
      </c>
      <c r="J4" s="1">
        <v>0.06</v>
      </c>
      <c r="K4" s="1">
        <v>0.02</v>
      </c>
      <c r="L4" s="1">
        <v>0.01</v>
      </c>
      <c r="M4" s="1">
        <v>0.03</v>
      </c>
      <c r="N4" s="1">
        <v>0.03</v>
      </c>
      <c r="O4" s="1">
        <v>0.01</v>
      </c>
      <c r="P4" s="1">
        <v>0.02</v>
      </c>
      <c r="Q4" s="1">
        <v>0.03</v>
      </c>
    </row>
    <row r="5" spans="2:17">
      <c r="B5" s="3" t="s">
        <v>1</v>
      </c>
      <c r="C5" s="1">
        <v>18.899999999999999</v>
      </c>
      <c r="D5" s="1">
        <v>22.4</v>
      </c>
      <c r="E5" s="1">
        <v>21.3</v>
      </c>
      <c r="F5" s="1">
        <v>19.63</v>
      </c>
      <c r="G5" s="1">
        <v>22.96</v>
      </c>
      <c r="H5" s="1">
        <v>26.71</v>
      </c>
      <c r="I5" s="1">
        <v>12.97</v>
      </c>
      <c r="J5" s="1">
        <v>15.83</v>
      </c>
      <c r="K5" s="1">
        <v>13.11</v>
      </c>
      <c r="L5" s="1">
        <v>13.65</v>
      </c>
      <c r="M5" s="1">
        <v>15.04</v>
      </c>
      <c r="N5" s="1">
        <v>14.85</v>
      </c>
      <c r="O5" s="1">
        <v>11.4</v>
      </c>
      <c r="P5" s="1">
        <v>11.65</v>
      </c>
      <c r="Q5" s="1">
        <v>7.73</v>
      </c>
    </row>
    <row r="6" spans="2:17">
      <c r="B6" s="3" t="s">
        <v>2</v>
      </c>
      <c r="C6" s="1">
        <v>4.26</v>
      </c>
      <c r="D6" s="1">
        <v>3.58</v>
      </c>
      <c r="E6" s="1">
        <v>2.99</v>
      </c>
      <c r="F6" s="1">
        <v>6.42</v>
      </c>
      <c r="G6" s="1">
        <v>5.27</v>
      </c>
      <c r="H6" s="1">
        <v>7.18</v>
      </c>
      <c r="I6" s="1">
        <v>3.78</v>
      </c>
      <c r="J6" s="1">
        <v>3.01</v>
      </c>
      <c r="K6" s="1">
        <v>4.6500000000000004</v>
      </c>
      <c r="L6" s="1">
        <v>3.73</v>
      </c>
      <c r="M6" s="1">
        <v>3.14</v>
      </c>
      <c r="N6" s="1">
        <v>3.63</v>
      </c>
      <c r="O6" s="1">
        <v>1.79</v>
      </c>
      <c r="P6" s="1">
        <v>1.61</v>
      </c>
      <c r="Q6" s="1">
        <v>1.98</v>
      </c>
    </row>
    <row r="7" spans="2:17">
      <c r="B7" s="3" t="s">
        <v>3</v>
      </c>
      <c r="C7" s="1">
        <v>0.26</v>
      </c>
      <c r="D7" s="1">
        <v>0.17</v>
      </c>
      <c r="E7" s="1">
        <v>0.38</v>
      </c>
      <c r="F7" s="1">
        <v>0.16</v>
      </c>
      <c r="G7" s="1">
        <v>0.28999999999999998</v>
      </c>
      <c r="H7" s="1">
        <v>0.33</v>
      </c>
      <c r="I7" s="1">
        <v>0.14000000000000001</v>
      </c>
      <c r="J7" s="1">
        <v>0.3</v>
      </c>
      <c r="K7" s="1">
        <v>0.27</v>
      </c>
      <c r="L7" s="1">
        <v>0.67</v>
      </c>
      <c r="M7" s="1">
        <v>0.41</v>
      </c>
      <c r="N7" s="1">
        <v>0.39</v>
      </c>
      <c r="O7" s="1">
        <v>0.03</v>
      </c>
      <c r="P7" s="1">
        <v>0.04</v>
      </c>
      <c r="Q7" s="1">
        <v>0.08</v>
      </c>
    </row>
    <row r="8" spans="2:17">
      <c r="B8" s="3" t="s">
        <v>4</v>
      </c>
      <c r="C8" s="1">
        <v>0.39</v>
      </c>
      <c r="D8" s="1">
        <v>0.42</v>
      </c>
      <c r="E8" s="1">
        <v>0.41</v>
      </c>
      <c r="F8" s="1">
        <v>0.26</v>
      </c>
      <c r="G8" s="1">
        <v>0.38</v>
      </c>
      <c r="H8" s="1">
        <v>0.14000000000000001</v>
      </c>
      <c r="I8" s="1">
        <v>0.19</v>
      </c>
      <c r="J8" s="1">
        <v>0.17</v>
      </c>
      <c r="K8" s="1">
        <v>0.14000000000000001</v>
      </c>
      <c r="L8" s="1">
        <v>0.24</v>
      </c>
      <c r="M8" s="1">
        <v>0.23</v>
      </c>
      <c r="N8" s="1">
        <v>0.2</v>
      </c>
      <c r="O8" s="1">
        <v>7.0000000000000007E-2</v>
      </c>
      <c r="P8" s="1">
        <v>0.06</v>
      </c>
      <c r="Q8" s="1">
        <v>0.11</v>
      </c>
    </row>
    <row r="9" spans="2:17">
      <c r="B9" s="3" t="s">
        <v>5</v>
      </c>
      <c r="C9" s="1">
        <v>0.16</v>
      </c>
      <c r="D9" s="1">
        <v>0.08</v>
      </c>
      <c r="E9" s="1">
        <v>0.09</v>
      </c>
      <c r="F9" s="1">
        <v>2.2599999999999998</v>
      </c>
      <c r="G9" s="1">
        <v>1.83</v>
      </c>
      <c r="H9" s="1">
        <v>2.41</v>
      </c>
      <c r="I9" s="1">
        <v>4.4400000000000004</v>
      </c>
      <c r="J9" s="1">
        <v>5.26</v>
      </c>
      <c r="K9" s="1">
        <v>4.7300000000000004</v>
      </c>
      <c r="L9" s="1">
        <v>6.82</v>
      </c>
      <c r="M9" s="1">
        <v>6.41</v>
      </c>
      <c r="N9" s="1">
        <v>6.48</v>
      </c>
      <c r="O9" s="1">
        <v>10.220000000000001</v>
      </c>
      <c r="P9" s="1">
        <v>11.62</v>
      </c>
      <c r="Q9" s="1">
        <v>11.52</v>
      </c>
    </row>
  </sheetData>
  <mergeCells count="5">
    <mergeCell ref="C3:E3"/>
    <mergeCell ref="F3:H3"/>
    <mergeCell ref="I3:K3"/>
    <mergeCell ref="L3:N3"/>
    <mergeCell ref="O3:Q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EA9B-FDA0-464C-933D-28CB49817DC4}">
  <dimension ref="D4:AH8"/>
  <sheetViews>
    <sheetView workbookViewId="0">
      <selection activeCell="M22" sqref="M22"/>
    </sheetView>
  </sheetViews>
  <sheetFormatPr defaultRowHeight="14.4"/>
  <sheetData>
    <row r="4" spans="4:34">
      <c r="D4" s="2"/>
      <c r="E4" s="39" t="s">
        <v>6</v>
      </c>
      <c r="F4" s="39"/>
      <c r="G4" s="39"/>
      <c r="H4" s="39"/>
      <c r="I4" s="39"/>
      <c r="J4" s="39" t="s">
        <v>244</v>
      </c>
      <c r="K4" s="39"/>
      <c r="L4" s="39"/>
      <c r="M4" s="39"/>
      <c r="N4" s="39"/>
      <c r="O4" s="39" t="s">
        <v>240</v>
      </c>
      <c r="P4" s="39"/>
      <c r="Q4" s="39"/>
      <c r="R4" s="39"/>
      <c r="S4" s="39"/>
      <c r="T4" s="39" t="s">
        <v>245</v>
      </c>
      <c r="U4" s="39"/>
      <c r="V4" s="39"/>
      <c r="W4" s="39"/>
      <c r="X4" s="39"/>
      <c r="Y4" s="39" t="s">
        <v>246</v>
      </c>
      <c r="Z4" s="39"/>
      <c r="AA4" s="39"/>
      <c r="AB4" s="39"/>
      <c r="AC4" s="39"/>
      <c r="AD4" s="39" t="s">
        <v>247</v>
      </c>
      <c r="AE4" s="39"/>
      <c r="AF4" s="39"/>
      <c r="AG4" s="39"/>
      <c r="AH4" s="39"/>
    </row>
    <row r="5" spans="4:34"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</row>
    <row r="6" spans="4:34">
      <c r="D6" s="1">
        <v>11</v>
      </c>
      <c r="E6" s="1">
        <v>1.02</v>
      </c>
      <c r="F6" s="1">
        <v>0.96</v>
      </c>
      <c r="G6" s="1">
        <v>1.42</v>
      </c>
      <c r="H6" s="1">
        <v>0.81</v>
      </c>
      <c r="I6" s="1">
        <v>0.79</v>
      </c>
      <c r="J6" s="1">
        <v>0.96</v>
      </c>
      <c r="K6" s="1">
        <v>1.03</v>
      </c>
      <c r="L6" s="1">
        <v>0.87</v>
      </c>
      <c r="M6" s="1">
        <v>0.93</v>
      </c>
      <c r="N6" s="1">
        <v>1.24</v>
      </c>
      <c r="O6" s="1">
        <v>1.26</v>
      </c>
      <c r="P6" s="1">
        <v>0.96</v>
      </c>
      <c r="Q6" s="1">
        <v>1.1399999999999999</v>
      </c>
      <c r="R6" s="1">
        <v>1.02</v>
      </c>
      <c r="S6" s="1">
        <v>0.82</v>
      </c>
      <c r="T6" s="1">
        <v>1.1200000000000001</v>
      </c>
      <c r="U6" s="1">
        <v>1.01</v>
      </c>
      <c r="V6" s="1">
        <v>0.89</v>
      </c>
      <c r="W6" s="1">
        <v>0.93</v>
      </c>
      <c r="X6" s="1">
        <v>0.97</v>
      </c>
      <c r="Y6" s="1">
        <v>1.23</v>
      </c>
      <c r="Z6" s="1">
        <v>1.01</v>
      </c>
      <c r="AA6" s="1">
        <v>0.86</v>
      </c>
      <c r="AB6" s="1">
        <v>0.89</v>
      </c>
      <c r="AC6" s="1">
        <v>1.04</v>
      </c>
      <c r="AD6" s="1">
        <v>1.03</v>
      </c>
      <c r="AE6" s="1">
        <v>0.83</v>
      </c>
      <c r="AF6" s="1">
        <v>0.91</v>
      </c>
      <c r="AG6" s="1">
        <v>0.73</v>
      </c>
      <c r="AH6" s="1">
        <v>1.24</v>
      </c>
    </row>
    <row r="7" spans="4:34">
      <c r="D7" s="1">
        <v>18</v>
      </c>
      <c r="E7" s="1">
        <v>18.690000000000001</v>
      </c>
      <c r="F7" s="1">
        <v>22.41</v>
      </c>
      <c r="G7" s="1">
        <v>19.68</v>
      </c>
      <c r="H7" s="1">
        <v>24.17</v>
      </c>
      <c r="I7" s="1">
        <v>26.57</v>
      </c>
      <c r="J7" s="1">
        <v>17.420000000000002</v>
      </c>
      <c r="K7" s="1">
        <v>15.23</v>
      </c>
      <c r="L7" s="1">
        <v>14.26</v>
      </c>
      <c r="M7" s="1">
        <v>18.41</v>
      </c>
      <c r="N7" s="1">
        <v>20.78</v>
      </c>
      <c r="O7" s="1">
        <v>10.26</v>
      </c>
      <c r="P7" s="1">
        <v>8.9600000000000009</v>
      </c>
      <c r="Q7" s="1">
        <v>6.83</v>
      </c>
      <c r="R7" s="1">
        <v>8.15</v>
      </c>
      <c r="S7" s="1">
        <v>12.12</v>
      </c>
      <c r="T7" s="1">
        <v>2.06</v>
      </c>
      <c r="U7" s="1">
        <v>4.3499999999999996</v>
      </c>
      <c r="V7" s="1">
        <v>3.02</v>
      </c>
      <c r="W7" s="1">
        <v>3.72</v>
      </c>
      <c r="X7" s="1">
        <v>4.0599999999999996</v>
      </c>
      <c r="Y7" s="1">
        <v>1.36</v>
      </c>
      <c r="Z7" s="1">
        <v>1.24</v>
      </c>
      <c r="AA7" s="1">
        <v>1.42</v>
      </c>
      <c r="AB7" s="1">
        <v>1.36</v>
      </c>
      <c r="AC7" s="1">
        <v>1.25</v>
      </c>
      <c r="AD7" s="1">
        <v>0.56000000000000005</v>
      </c>
      <c r="AE7" s="1">
        <v>0.96</v>
      </c>
      <c r="AF7" s="1">
        <v>0.74</v>
      </c>
      <c r="AG7" s="1">
        <v>0.82</v>
      </c>
      <c r="AH7" s="1">
        <v>0.93</v>
      </c>
    </row>
    <row r="8" spans="4:34">
      <c r="D8" s="1">
        <v>25</v>
      </c>
      <c r="E8" s="1">
        <v>36.89</v>
      </c>
      <c r="F8" s="1">
        <v>41.47</v>
      </c>
      <c r="G8" s="1">
        <v>42.56</v>
      </c>
      <c r="H8" s="1">
        <v>37.15</v>
      </c>
      <c r="I8" s="1">
        <v>39.82</v>
      </c>
      <c r="J8" s="1">
        <v>34.26</v>
      </c>
      <c r="K8" s="1">
        <v>38.47</v>
      </c>
      <c r="L8" s="1">
        <v>31.47</v>
      </c>
      <c r="M8" s="1">
        <v>37.479999999999997</v>
      </c>
      <c r="N8" s="1">
        <v>29.47</v>
      </c>
      <c r="O8" s="1">
        <v>18.239999999999998</v>
      </c>
      <c r="P8" s="1">
        <v>22.1</v>
      </c>
      <c r="Q8" s="1">
        <v>13.26</v>
      </c>
      <c r="R8" s="1">
        <v>19.260000000000002</v>
      </c>
      <c r="S8" s="1">
        <v>24.41</v>
      </c>
      <c r="T8" s="1">
        <v>5.43</v>
      </c>
      <c r="U8" s="1">
        <v>7.04</v>
      </c>
      <c r="V8" s="1">
        <v>4.26</v>
      </c>
      <c r="W8" s="1">
        <v>8.2799999999999994</v>
      </c>
      <c r="X8" s="1">
        <v>6.83</v>
      </c>
      <c r="Y8" s="1">
        <v>2.36</v>
      </c>
      <c r="Z8" s="1">
        <v>1.86</v>
      </c>
      <c r="AA8" s="1">
        <v>2.29</v>
      </c>
      <c r="AB8" s="1">
        <v>2.92</v>
      </c>
      <c r="AC8" s="1">
        <v>2.79</v>
      </c>
      <c r="AD8" s="1">
        <v>0.63</v>
      </c>
      <c r="AE8" s="1">
        <v>0.66</v>
      </c>
      <c r="AF8" s="1">
        <v>0.65</v>
      </c>
      <c r="AG8" s="1">
        <v>0.48</v>
      </c>
      <c r="AH8" s="1">
        <v>0.56000000000000005</v>
      </c>
    </row>
  </sheetData>
  <mergeCells count="6">
    <mergeCell ref="AD4:AH4"/>
    <mergeCell ref="E4:I4"/>
    <mergeCell ref="J4:N4"/>
    <mergeCell ref="O4:S4"/>
    <mergeCell ref="T4:X4"/>
    <mergeCell ref="Y4:AC4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B31D-F9EF-4B48-B38E-C592B07E3A21}">
  <dimension ref="B6:AF17"/>
  <sheetViews>
    <sheetView workbookViewId="0">
      <selection activeCell="N25" sqref="N25"/>
    </sheetView>
  </sheetViews>
  <sheetFormatPr defaultRowHeight="14.4"/>
  <sheetData>
    <row r="6" spans="2:32">
      <c r="B6" s="2"/>
      <c r="C6" s="39" t="s">
        <v>6</v>
      </c>
      <c r="D6" s="39"/>
      <c r="E6" s="39"/>
      <c r="F6" s="39"/>
      <c r="G6" s="39"/>
      <c r="H6" s="39" t="s">
        <v>244</v>
      </c>
      <c r="I6" s="39"/>
      <c r="J6" s="39"/>
      <c r="K6" s="39"/>
      <c r="L6" s="39"/>
      <c r="M6" s="39" t="s">
        <v>240</v>
      </c>
      <c r="N6" s="39"/>
      <c r="O6" s="39"/>
      <c r="P6" s="39"/>
      <c r="Q6" s="39"/>
      <c r="R6" s="39" t="s">
        <v>245</v>
      </c>
      <c r="S6" s="39"/>
      <c r="T6" s="39"/>
      <c r="U6" s="39"/>
      <c r="V6" s="39"/>
      <c r="W6" s="39" t="s">
        <v>246</v>
      </c>
      <c r="X6" s="39"/>
      <c r="Y6" s="39"/>
      <c r="Z6" s="39"/>
      <c r="AA6" s="39"/>
      <c r="AB6" s="39" t="s">
        <v>247</v>
      </c>
      <c r="AC6" s="39"/>
      <c r="AD6" s="39"/>
      <c r="AE6" s="39"/>
      <c r="AF6" s="39"/>
    </row>
    <row r="7" spans="2:32">
      <c r="B7" s="3" t="s">
        <v>1</v>
      </c>
      <c r="C7" s="1">
        <v>0.18367</v>
      </c>
      <c r="D7" s="1">
        <v>1.318422</v>
      </c>
      <c r="E7" s="1">
        <v>1.3002359999999999</v>
      </c>
      <c r="F7" s="1">
        <v>1.4548099999999999</v>
      </c>
      <c r="G7" s="1">
        <v>0.74286200000000002</v>
      </c>
      <c r="H7" s="1">
        <v>2.400436</v>
      </c>
      <c r="I7" s="1">
        <v>0.249136</v>
      </c>
      <c r="J7" s="1">
        <v>0.44371699999999997</v>
      </c>
      <c r="K7" s="1">
        <v>0.61920299999999995</v>
      </c>
      <c r="L7" s="1">
        <v>0.66921299999999995</v>
      </c>
      <c r="M7" s="1">
        <v>0.65011799999999997</v>
      </c>
      <c r="N7" s="1">
        <v>0.328241</v>
      </c>
      <c r="O7" s="1">
        <v>0.24914</v>
      </c>
      <c r="P7" s="1">
        <v>0.141844</v>
      </c>
      <c r="Q7" s="1">
        <v>0.49918200000000001</v>
      </c>
      <c r="R7" s="1">
        <v>0.100073</v>
      </c>
      <c r="S7" s="1">
        <v>8.4378999999999996E-2</v>
      </c>
      <c r="T7" s="1">
        <v>9.4600000000000001E-4</v>
      </c>
      <c r="U7" s="1">
        <v>1.5003000000000001E-2</v>
      </c>
      <c r="V7" s="1">
        <v>1.5821000000000002E-2</v>
      </c>
      <c r="W7" s="1">
        <v>6.9921999999999998E-2</v>
      </c>
      <c r="X7" s="1">
        <v>5.1099999999999995E-4</v>
      </c>
      <c r="Y7" s="1">
        <v>1.32751E-2</v>
      </c>
      <c r="Z7" s="1">
        <v>1.7912299999999999E-2</v>
      </c>
      <c r="AA7" s="1">
        <v>2.1913100000000001E-2</v>
      </c>
      <c r="AB7" s="1">
        <v>1.2365900000000001E-3</v>
      </c>
      <c r="AC7" s="1">
        <v>8.3000000000000001E-4</v>
      </c>
      <c r="AD7" s="1">
        <v>9.2700000000000004E-5</v>
      </c>
      <c r="AE7" s="1">
        <v>4.2200000000000003E-5</v>
      </c>
      <c r="AF7" s="1">
        <v>2.4279999999999999E-4</v>
      </c>
    </row>
    <row r="8" spans="2:32">
      <c r="B8" s="3" t="s">
        <v>2</v>
      </c>
      <c r="C8" s="1">
        <v>1.718494</v>
      </c>
      <c r="D8" s="1">
        <v>3.4097110000000002</v>
      </c>
      <c r="E8" s="1">
        <v>0.98199700000000001</v>
      </c>
      <c r="F8" s="1">
        <v>2.027641</v>
      </c>
      <c r="G8" s="1">
        <v>3.5733769999999998</v>
      </c>
      <c r="H8" s="1">
        <v>1.954901</v>
      </c>
      <c r="I8" s="1">
        <v>1.1092930000000001</v>
      </c>
      <c r="J8" s="1">
        <v>0.43371500000000002</v>
      </c>
      <c r="K8" s="1">
        <v>2.509547</v>
      </c>
      <c r="L8" s="1">
        <v>2.4368069999999999</v>
      </c>
      <c r="M8" s="1">
        <v>0.85833800000000005</v>
      </c>
      <c r="N8" s="1">
        <v>1.1456630000000001</v>
      </c>
      <c r="O8" s="1">
        <v>1.500273</v>
      </c>
      <c r="P8" s="1">
        <v>3.0187309999999998</v>
      </c>
      <c r="Q8" s="1">
        <v>1.0729219999999999</v>
      </c>
      <c r="R8" s="1">
        <v>0.591198</v>
      </c>
      <c r="S8" s="1">
        <v>0.21731200000000001</v>
      </c>
      <c r="T8" s="1">
        <v>2.5099999999999998E-4</v>
      </c>
      <c r="U8" s="1">
        <v>9.0015999999999999E-2</v>
      </c>
      <c r="V8" s="1">
        <v>0.17730499999999999</v>
      </c>
      <c r="W8" s="1">
        <v>0.80032700000000001</v>
      </c>
      <c r="X8" s="1">
        <v>6.6399999999999999E-4</v>
      </c>
      <c r="Y8" s="1">
        <v>1.9094E-2</v>
      </c>
      <c r="Z8" s="1">
        <v>0.354792</v>
      </c>
      <c r="AA8" s="1">
        <v>0.36388399999999999</v>
      </c>
      <c r="AB8" s="1">
        <v>8.9834999999999998E-2</v>
      </c>
      <c r="AC8" s="1">
        <v>3.764E-3</v>
      </c>
      <c r="AD8" s="1">
        <v>5.5600000000000003E-5</v>
      </c>
      <c r="AE8" s="1">
        <v>1.03E-4</v>
      </c>
      <c r="AF8" s="1">
        <v>1.5275499999999999E-2</v>
      </c>
    </row>
    <row r="9" spans="2:32">
      <c r="B9" s="3" t="s">
        <v>3</v>
      </c>
      <c r="C9" s="1">
        <v>2.9824E-2</v>
      </c>
      <c r="D9" s="1">
        <v>1.2821000000000001E-2</v>
      </c>
      <c r="E9" s="1">
        <v>2.9190000000000002E-3</v>
      </c>
      <c r="F9" s="1">
        <v>2.2369999999999998E-3</v>
      </c>
      <c r="G9" s="1">
        <v>1.0638300000000001</v>
      </c>
      <c r="H9" s="1">
        <v>7.3376999999999998E-2</v>
      </c>
      <c r="I9" s="1">
        <v>2.164E-2</v>
      </c>
      <c r="J9" s="1">
        <v>7.3010000000000002E-3</v>
      </c>
      <c r="K9" s="1">
        <v>3.2550999999999997E-2</v>
      </c>
      <c r="L9" s="1">
        <v>4.5644999999999998E-2</v>
      </c>
      <c r="M9" s="1">
        <v>3.0733E-2</v>
      </c>
      <c r="N9" s="1">
        <v>8.7561E-2</v>
      </c>
      <c r="O9" s="1">
        <v>3.1186999999999999E-2</v>
      </c>
      <c r="P9" s="1">
        <v>4.9008999999999997E-2</v>
      </c>
      <c r="Q9" s="1">
        <v>1.6185000000000001E-2</v>
      </c>
      <c r="R9" s="1">
        <v>2.0730999999999999E-2</v>
      </c>
      <c r="S9" s="1">
        <v>3.7915999999999998E-2</v>
      </c>
      <c r="T9" s="1">
        <v>4.6553999999999998E-2</v>
      </c>
      <c r="U9" s="1">
        <v>5.7009999999999998E-2</v>
      </c>
      <c r="V9" s="1">
        <v>5.1736999999999998E-2</v>
      </c>
      <c r="W9" s="1">
        <v>1.8367000000000001E-2</v>
      </c>
      <c r="X9" s="1">
        <v>2.3999999999999998E-3</v>
      </c>
      <c r="Y9" s="1">
        <v>1.8276000000000001E-2</v>
      </c>
      <c r="Z9" s="1">
        <v>1.8912999999999999E-2</v>
      </c>
      <c r="AA9" s="1">
        <v>1.9002999999999999E-2</v>
      </c>
      <c r="AB9" s="1">
        <v>1.6000000000000001E-3</v>
      </c>
      <c r="AC9" s="1">
        <v>2.2599999999999999E-4</v>
      </c>
      <c r="AD9" s="1">
        <v>1.3100000000000001E-4</v>
      </c>
      <c r="AE9" s="1">
        <v>5.66E-6</v>
      </c>
      <c r="AF9" s="1">
        <v>2.8640000000000002E-4</v>
      </c>
    </row>
    <row r="10" spans="2:32">
      <c r="B10" s="3" t="s">
        <v>4</v>
      </c>
      <c r="C10" s="1">
        <v>0.68739799999999995</v>
      </c>
      <c r="D10" s="1">
        <v>0.32911400000000002</v>
      </c>
      <c r="E10" s="1">
        <v>0.70740099999999995</v>
      </c>
      <c r="F10" s="1">
        <v>0.89379900000000001</v>
      </c>
      <c r="G10" s="1">
        <v>0.54004399999999997</v>
      </c>
      <c r="H10" s="1">
        <v>2.0003639999999998</v>
      </c>
      <c r="I10" s="1">
        <v>0.12547700000000001</v>
      </c>
      <c r="J10" s="1">
        <v>1.6275999999999999E-2</v>
      </c>
      <c r="K10" s="1">
        <v>0.25913799999999998</v>
      </c>
      <c r="L10" s="1">
        <v>9.7290000000000001E-2</v>
      </c>
      <c r="M10" s="1">
        <v>0.20003599999999999</v>
      </c>
      <c r="N10" s="1">
        <v>6.8649000000000002E-2</v>
      </c>
      <c r="O10" s="1">
        <v>4.2188999999999997E-2</v>
      </c>
      <c r="P10" s="1">
        <v>1.018367</v>
      </c>
      <c r="Q10" s="1">
        <v>0.104564</v>
      </c>
      <c r="R10" s="1">
        <v>9.3653E-2</v>
      </c>
      <c r="S10" s="1">
        <v>2.0003600000000001E-3</v>
      </c>
      <c r="T10" s="1">
        <v>7.9830000000000005E-3</v>
      </c>
      <c r="U10" s="1">
        <v>8.4379999999999993E-3</v>
      </c>
      <c r="V10" s="1">
        <v>1.8003000000000002E-2</v>
      </c>
      <c r="W10" s="1">
        <v>5.2645999999999998E-2</v>
      </c>
      <c r="X10" s="1">
        <v>7.4009999999999996E-3</v>
      </c>
      <c r="Y10" s="1">
        <v>1.8821600000000001E-2</v>
      </c>
      <c r="Z10" s="1">
        <v>2.8004999999999999E-2</v>
      </c>
      <c r="AA10" s="1">
        <v>9.1835E-2</v>
      </c>
      <c r="AB10" s="1">
        <v>8.3199999999999993E-3</v>
      </c>
      <c r="AC10" s="1">
        <v>3.9899999999999999E-4</v>
      </c>
      <c r="AD10" s="1">
        <v>2.1549999999999998E-3</v>
      </c>
      <c r="AE10" s="1">
        <v>4.4599999999999996E-6</v>
      </c>
      <c r="AF10" s="1">
        <v>8.1649999999999995E-4</v>
      </c>
    </row>
    <row r="11" spans="2:32">
      <c r="B11" s="3" t="s">
        <v>5</v>
      </c>
      <c r="C11" s="1">
        <v>11.456265</v>
      </c>
      <c r="D11" s="1">
        <v>11.910893</v>
      </c>
      <c r="E11" s="1">
        <v>12.912890000000001</v>
      </c>
      <c r="F11" s="1">
        <v>9.7290419999999997</v>
      </c>
      <c r="G11" s="1">
        <v>10.246954000000001</v>
      </c>
      <c r="H11" s="1">
        <v>6.7012179999999999</v>
      </c>
      <c r="I11" s="1">
        <v>6.0829240000000002</v>
      </c>
      <c r="J11" s="1">
        <v>7.2013090000000002</v>
      </c>
      <c r="K11" s="1">
        <v>7.5741040000000002</v>
      </c>
      <c r="L11" s="1">
        <v>6.1102020000000001</v>
      </c>
      <c r="M11" s="1">
        <v>6.1102020000000001</v>
      </c>
      <c r="N11" s="1">
        <v>4.5280959999999997</v>
      </c>
      <c r="O11" s="1">
        <v>4.7826880000000003</v>
      </c>
      <c r="P11" s="1">
        <v>3.4278960000000001</v>
      </c>
      <c r="Q11" s="1">
        <v>5.7101290000000002</v>
      </c>
      <c r="R11" s="1">
        <v>3.3824329999999998</v>
      </c>
      <c r="S11" s="1">
        <v>3.3096930000000002</v>
      </c>
      <c r="T11" s="1">
        <v>2.218585</v>
      </c>
      <c r="U11" s="1">
        <v>1.991271</v>
      </c>
      <c r="V11" s="1">
        <v>2.1640299999999999</v>
      </c>
      <c r="W11" s="1">
        <v>1.3729769999999999</v>
      </c>
      <c r="X11" s="1">
        <v>1.136679</v>
      </c>
      <c r="Y11" s="1">
        <v>1.718494</v>
      </c>
      <c r="Z11" s="1">
        <v>1.0730679999999999</v>
      </c>
      <c r="AA11" s="1">
        <v>1.0820149999999999</v>
      </c>
      <c r="AB11" s="1">
        <v>0.302782</v>
      </c>
      <c r="AC11" s="1">
        <v>4.0098000000000002E-2</v>
      </c>
      <c r="AD11" s="1">
        <v>7.1649000000000004E-2</v>
      </c>
      <c r="AE11" s="1">
        <v>1.35E-4</v>
      </c>
      <c r="AF11" s="1">
        <v>4.3826200000000003E-2</v>
      </c>
    </row>
    <row r="12" spans="2:32">
      <c r="B12" s="3" t="s">
        <v>7</v>
      </c>
      <c r="C12" s="1">
        <v>1.9367160000000001</v>
      </c>
      <c r="D12" s="1">
        <v>1.5184580000000001</v>
      </c>
      <c r="E12" s="1">
        <v>2.9914529999999999</v>
      </c>
      <c r="F12" s="1">
        <v>2.882342</v>
      </c>
      <c r="G12" s="1">
        <v>1.800327</v>
      </c>
      <c r="H12" s="1">
        <v>2.6550280000000002</v>
      </c>
      <c r="I12" s="1">
        <v>0.90925599999999995</v>
      </c>
      <c r="J12" s="1">
        <v>1.209311</v>
      </c>
      <c r="K12" s="1">
        <v>3.8370609999999998</v>
      </c>
      <c r="L12" s="1">
        <v>1.245681</v>
      </c>
      <c r="M12" s="1">
        <v>0.66102899999999998</v>
      </c>
      <c r="N12" s="1">
        <v>5.2555009999999998</v>
      </c>
      <c r="O12" s="1">
        <v>0.26641199999999998</v>
      </c>
      <c r="P12" s="1">
        <v>2.136752</v>
      </c>
      <c r="Q12" s="1">
        <v>0.70285500000000001</v>
      </c>
      <c r="R12" s="1">
        <v>0.390071</v>
      </c>
      <c r="S12" s="1">
        <v>0.88197899999999996</v>
      </c>
      <c r="T12" s="1">
        <v>9.4560000000000009E-3</v>
      </c>
      <c r="U12" s="1">
        <v>0.14002500000000001</v>
      </c>
      <c r="V12" s="1">
        <v>1.9276000000000001E-2</v>
      </c>
      <c r="W12" s="1">
        <v>0.31278400000000001</v>
      </c>
      <c r="X12" s="1">
        <v>1.2548E-2</v>
      </c>
      <c r="Y12" s="1">
        <v>0.1408256</v>
      </c>
      <c r="Z12" s="1">
        <v>8.1196599999999994E-2</v>
      </c>
      <c r="AA12" s="1">
        <v>0.15928349999999999</v>
      </c>
      <c r="AB12" s="1">
        <v>7.5195000000000001E-3</v>
      </c>
      <c r="AC12" s="1">
        <v>1.4184E-2</v>
      </c>
      <c r="AD12" s="1">
        <v>3.7599999999999998E-4</v>
      </c>
      <c r="AE12" s="1">
        <v>7.6000000000000004E-5</v>
      </c>
      <c r="AF12" s="1">
        <v>3.4370000000000001E-4</v>
      </c>
    </row>
    <row r="13" spans="2:32">
      <c r="B13" s="3" t="s">
        <v>8</v>
      </c>
      <c r="C13" s="1">
        <v>1.8912530000000001</v>
      </c>
      <c r="D13" s="1">
        <v>2.3004180000000001</v>
      </c>
      <c r="E13" s="1">
        <v>5.0736499999999998</v>
      </c>
      <c r="F13" s="1">
        <v>4.8190580000000001</v>
      </c>
      <c r="G13" s="1">
        <v>1.9367160000000001</v>
      </c>
      <c r="H13" s="1">
        <v>5.9283510000000001</v>
      </c>
      <c r="I13" s="1">
        <v>1.5911979999999999</v>
      </c>
      <c r="J13" s="1">
        <v>0.44098900000000002</v>
      </c>
      <c r="K13" s="1">
        <v>7.3831610000000003</v>
      </c>
      <c r="L13" s="1">
        <v>1.8366979999999999</v>
      </c>
      <c r="M13" s="1">
        <v>3.991635</v>
      </c>
      <c r="N13" s="1">
        <v>1.239134</v>
      </c>
      <c r="O13" s="1">
        <v>0.85833800000000005</v>
      </c>
      <c r="P13" s="1">
        <v>5.7101290000000002</v>
      </c>
      <c r="Q13" s="1">
        <v>2.2731409999999999</v>
      </c>
      <c r="R13" s="1">
        <v>1.727951</v>
      </c>
      <c r="S13" s="1">
        <v>1.127478</v>
      </c>
      <c r="T13" s="1">
        <v>1.5730000000000001E-2</v>
      </c>
      <c r="U13" s="1">
        <v>6.1466E-2</v>
      </c>
      <c r="V13" s="1">
        <v>5.2191000000000001E-2</v>
      </c>
      <c r="W13" s="1">
        <v>0.55519200000000002</v>
      </c>
      <c r="X13" s="1">
        <v>2.1458000000000001E-2</v>
      </c>
      <c r="Y13" s="1">
        <v>0.1814694</v>
      </c>
      <c r="Z13" s="1">
        <v>0.84579000000000004</v>
      </c>
      <c r="AA13" s="1">
        <v>0.58101499999999995</v>
      </c>
      <c r="AB13" s="1">
        <v>0.17457700000000001</v>
      </c>
      <c r="AC13" s="1">
        <v>1.4274999999999999E-2</v>
      </c>
      <c r="AD13" s="1">
        <v>9.8200000000000002E-4</v>
      </c>
      <c r="AE13" s="1">
        <v>8.1799999999999996E-6</v>
      </c>
      <c r="AF13" s="1">
        <v>5.1009999999999998E-4</v>
      </c>
    </row>
    <row r="14" spans="2:32">
      <c r="B14" s="3" t="s">
        <v>9</v>
      </c>
      <c r="C14" s="1">
        <v>0.28823399999999999</v>
      </c>
      <c r="D14" s="1">
        <v>0.32642300000000002</v>
      </c>
      <c r="E14" s="1">
        <v>3.8643390000000002</v>
      </c>
      <c r="F14" s="1">
        <v>1.0456449999999999</v>
      </c>
      <c r="G14" s="1">
        <v>0.41189300000000001</v>
      </c>
      <c r="H14" s="1">
        <v>0.45280999999999999</v>
      </c>
      <c r="I14" s="1">
        <v>3.9734500000000001</v>
      </c>
      <c r="J14" s="1">
        <v>2.6823E-2</v>
      </c>
      <c r="K14" s="1">
        <v>0.94562599999999997</v>
      </c>
      <c r="L14" s="1">
        <v>5.6556000000000002E-2</v>
      </c>
      <c r="M14" s="1">
        <v>1.2638659999999999</v>
      </c>
      <c r="N14" s="1">
        <v>1.5003000000000001E-2</v>
      </c>
      <c r="O14" s="1">
        <v>8.9379999999999998E-3</v>
      </c>
      <c r="P14" s="1">
        <v>0.56555699999999998</v>
      </c>
      <c r="Q14" s="1">
        <v>0.42189500000000002</v>
      </c>
      <c r="R14" s="1">
        <v>7.2922299999999995E-2</v>
      </c>
      <c r="S14" s="1">
        <v>0.11002000000000001</v>
      </c>
      <c r="T14" s="1">
        <v>6.8800000000000003E-4</v>
      </c>
      <c r="U14" s="1">
        <v>6.8800000000000003E-4</v>
      </c>
      <c r="V14" s="1">
        <v>3.7369999999999999E-3</v>
      </c>
      <c r="W14" s="1">
        <v>4.5644999999999998E-2</v>
      </c>
      <c r="X14" s="1">
        <v>1.1820000000000001E-3</v>
      </c>
      <c r="Y14" s="1">
        <v>3.8462000000000003E-2</v>
      </c>
      <c r="Z14" s="1">
        <v>3.9916300000000002E-2</v>
      </c>
      <c r="AA14" s="1">
        <v>0.120022</v>
      </c>
      <c r="AB14" s="1">
        <v>8.5109999999999995E-3</v>
      </c>
      <c r="AC14" s="1">
        <v>1.1180000000000001E-3</v>
      </c>
      <c r="AD14" s="1">
        <v>4.8699999999999998E-5</v>
      </c>
      <c r="AE14" s="1">
        <v>3.7299999999999999E-6</v>
      </c>
      <c r="AF14" s="1">
        <v>9.4560000000000003E-5</v>
      </c>
    </row>
    <row r="15" spans="2:32">
      <c r="B15" s="3" t="s">
        <v>10</v>
      </c>
      <c r="C15" s="1">
        <v>5.2828E-2</v>
      </c>
      <c r="D15" s="1">
        <v>1.2638999999999999E-2</v>
      </c>
      <c r="E15" s="1">
        <v>3.4915000000000002E-2</v>
      </c>
      <c r="F15" s="1">
        <v>0.38097799999999998</v>
      </c>
      <c r="G15" s="1">
        <v>6.1738000000000001E-2</v>
      </c>
      <c r="H15" s="1">
        <v>3.3006000000000001E-2</v>
      </c>
      <c r="I15" s="1">
        <v>5.6556000000000002E-2</v>
      </c>
      <c r="J15" s="1">
        <v>3.0733E-2</v>
      </c>
      <c r="K15" s="1">
        <v>2.9096E-2</v>
      </c>
      <c r="L15" s="1">
        <v>1.4274999999999999E-2</v>
      </c>
      <c r="M15" s="1">
        <v>1.4912E-2</v>
      </c>
      <c r="N15" s="1">
        <v>2.3185999999999998E-2</v>
      </c>
      <c r="O15" s="1">
        <v>0.15821099999999999</v>
      </c>
      <c r="P15" s="1">
        <v>5.8192000000000001E-2</v>
      </c>
      <c r="Q15" s="1">
        <v>2.1822000000000001E-2</v>
      </c>
      <c r="R15" s="1">
        <v>3.3188000000000002E-2</v>
      </c>
      <c r="S15" s="1">
        <v>3.4009999999999999E-3</v>
      </c>
      <c r="T15" s="1">
        <v>6.0499999999999996E-4</v>
      </c>
      <c r="U15" s="1">
        <v>8.6200000000000003E-4</v>
      </c>
      <c r="V15" s="1">
        <v>8.8700000000000001E-5</v>
      </c>
      <c r="W15" s="1">
        <v>0.141844</v>
      </c>
      <c r="X15" s="1">
        <v>4.4999999999999999E-4</v>
      </c>
      <c r="Y15" s="1">
        <v>5.7829999999999999E-3</v>
      </c>
      <c r="Z15" s="1">
        <v>4.5281000000000002E-2</v>
      </c>
      <c r="AA15" s="1">
        <v>6.0280000000000004E-3</v>
      </c>
      <c r="AB15" s="1">
        <v>2.6549999999999998E-3</v>
      </c>
      <c r="AC15" s="1">
        <v>1.17E-4</v>
      </c>
      <c r="AD15" s="1">
        <v>4.1600000000000002E-5</v>
      </c>
      <c r="AE15" s="1">
        <v>1.28E-6</v>
      </c>
      <c r="AF15" s="1">
        <v>1.5910000000000001E-6</v>
      </c>
    </row>
    <row r="16" spans="2:32">
      <c r="B16" s="3" t="s">
        <v>11</v>
      </c>
      <c r="C16" s="1">
        <v>5.0736000000000003E-2</v>
      </c>
      <c r="D16" s="1">
        <v>1.9549E-2</v>
      </c>
      <c r="E16" s="1">
        <v>8.3470000000000003E-2</v>
      </c>
      <c r="F16" s="1">
        <v>0.12365900000000001</v>
      </c>
      <c r="G16" s="1">
        <v>7.8379999999999995E-3</v>
      </c>
      <c r="H16" s="1">
        <v>5.6374E-2</v>
      </c>
      <c r="I16" s="1">
        <v>1.0729000000000001E-2</v>
      </c>
      <c r="J16" s="1">
        <v>3.846E-3</v>
      </c>
      <c r="K16" s="1">
        <v>0.107292</v>
      </c>
      <c r="L16" s="1">
        <v>9.4562999999999994E-2</v>
      </c>
      <c r="M16" s="1">
        <v>6.4559999999999999E-3</v>
      </c>
      <c r="N16" s="1">
        <v>2.3189999999999999E-3</v>
      </c>
      <c r="O16" s="1">
        <v>1.2002000000000001E-2</v>
      </c>
      <c r="P16" s="1">
        <v>0.41371200000000002</v>
      </c>
      <c r="Q16" s="1">
        <v>3.9280000000000001E-3</v>
      </c>
      <c r="R16" s="1">
        <v>1.0638E-2</v>
      </c>
      <c r="S16" s="1">
        <v>1.346E-3</v>
      </c>
      <c r="T16" s="1">
        <v>4.0900000000000002E-4</v>
      </c>
      <c r="U16" s="1">
        <v>8.8999999999999995E-4</v>
      </c>
      <c r="V16" s="1">
        <v>1.382E-3</v>
      </c>
      <c r="W16" s="1">
        <v>1.0274999999999999E-2</v>
      </c>
      <c r="X16" s="1">
        <v>5.6599999999999999E-4</v>
      </c>
      <c r="Y16" s="1">
        <v>7.1922E-2</v>
      </c>
      <c r="Z16" s="1">
        <v>1.9002999999999999E-2</v>
      </c>
      <c r="AA16" s="1">
        <v>1.964E-3</v>
      </c>
      <c r="AB16" s="1">
        <v>5.8900000000000001E-4</v>
      </c>
      <c r="AC16" s="1">
        <v>2.92E-4</v>
      </c>
      <c r="AD16" s="1">
        <v>2.8E-5</v>
      </c>
      <c r="AE16" s="1">
        <v>4.34E-6</v>
      </c>
      <c r="AF16" s="1">
        <v>6.1279999999999998E-7</v>
      </c>
    </row>
    <row r="17" spans="2:32">
      <c r="B17" s="3" t="s">
        <v>12</v>
      </c>
      <c r="C17" s="1">
        <v>0.85470100000000004</v>
      </c>
      <c r="D17" s="1">
        <v>0.73823000000000005</v>
      </c>
      <c r="E17" s="1">
        <v>3.8825240000000001</v>
      </c>
      <c r="F17" s="1">
        <v>0.84557199999999999</v>
      </c>
      <c r="G17" s="1">
        <v>0.68823400000000001</v>
      </c>
      <c r="H17" s="1">
        <v>2.1276600000000001</v>
      </c>
      <c r="I17" s="1">
        <v>0.36299999999999999</v>
      </c>
      <c r="J17" s="1">
        <v>0.36187999999999998</v>
      </c>
      <c r="K17" s="1">
        <v>0.34733599999999998</v>
      </c>
      <c r="L17" s="1">
        <v>0.24063999999999999</v>
      </c>
      <c r="M17" s="1">
        <v>0.41098400000000002</v>
      </c>
      <c r="N17" s="1">
        <v>9.7289999999999998E-3</v>
      </c>
      <c r="O17" s="1">
        <v>5.9555999999999998E-2</v>
      </c>
      <c r="P17" s="1">
        <v>1.236588</v>
      </c>
      <c r="Q17" s="1">
        <v>0.40007300000000001</v>
      </c>
      <c r="R17" s="1">
        <v>0.103655</v>
      </c>
      <c r="S17" s="1">
        <v>4.2700000000000002E-4</v>
      </c>
      <c r="T17" s="1">
        <v>7.1599999999999995E-4</v>
      </c>
      <c r="U17" s="1">
        <v>1.0729000000000001E-2</v>
      </c>
      <c r="V17" s="1">
        <v>0.19367200000000001</v>
      </c>
      <c r="W17" s="1">
        <v>5.4559999999999999E-3</v>
      </c>
      <c r="X17" s="1">
        <v>2.05492E-3</v>
      </c>
      <c r="Y17" s="1">
        <v>6.0375000000000003E-3</v>
      </c>
      <c r="Z17" s="1">
        <v>3.5551900000000002E-3</v>
      </c>
      <c r="AA17" s="1">
        <v>7.4649999999999994E-2</v>
      </c>
      <c r="AB17" s="1">
        <v>4.1826E-4</v>
      </c>
      <c r="AC17" s="1">
        <v>1.064E-4</v>
      </c>
      <c r="AD17" s="1">
        <v>9.1799999999999995E-5</v>
      </c>
      <c r="AE17" s="1">
        <v>1.99E-6</v>
      </c>
      <c r="AF17" s="1">
        <v>3.0639999999999998E-6</v>
      </c>
    </row>
  </sheetData>
  <mergeCells count="6">
    <mergeCell ref="AB6:AF6"/>
    <mergeCell ref="C6:G6"/>
    <mergeCell ref="H6:L6"/>
    <mergeCell ref="M6:Q6"/>
    <mergeCell ref="R6:V6"/>
    <mergeCell ref="W6:AA6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46F5-5A05-4665-A6DB-EEC918E28427}">
  <dimension ref="B4:BB62"/>
  <sheetViews>
    <sheetView topLeftCell="A15" workbookViewId="0">
      <selection activeCell="O32" sqref="O32"/>
    </sheetView>
  </sheetViews>
  <sheetFormatPr defaultRowHeight="14.4"/>
  <sheetData>
    <row r="4" spans="2:54">
      <c r="B4" s="2" t="s">
        <v>62</v>
      </c>
      <c r="C4" s="39" t="s">
        <v>63</v>
      </c>
      <c r="D4" s="39"/>
      <c r="E4" s="39"/>
      <c r="F4" s="39"/>
      <c r="G4" s="39" t="s">
        <v>64</v>
      </c>
      <c r="H4" s="39"/>
      <c r="I4" s="39"/>
      <c r="J4" s="39"/>
      <c r="K4" s="39" t="s">
        <v>65</v>
      </c>
      <c r="L4" s="39"/>
      <c r="M4" s="39"/>
      <c r="N4" s="39"/>
      <c r="O4" s="39" t="s">
        <v>66</v>
      </c>
      <c r="P4" s="39"/>
      <c r="Q4" s="39"/>
      <c r="R4" s="39"/>
      <c r="S4" s="39" t="s">
        <v>67</v>
      </c>
      <c r="T4" s="39"/>
      <c r="U4" s="39"/>
      <c r="V4" s="39"/>
      <c r="W4" s="39" t="s">
        <v>68</v>
      </c>
      <c r="X4" s="39"/>
      <c r="Y4" s="39"/>
      <c r="Z4" s="39"/>
      <c r="AA4" s="39" t="s">
        <v>69</v>
      </c>
      <c r="AB4" s="39"/>
      <c r="AC4" s="39"/>
      <c r="AD4" s="39"/>
      <c r="AE4" s="39" t="s">
        <v>70</v>
      </c>
      <c r="AF4" s="39"/>
      <c r="AG4" s="39"/>
      <c r="AH4" s="39"/>
      <c r="AI4" s="39" t="s">
        <v>71</v>
      </c>
      <c r="AJ4" s="39"/>
      <c r="AK4" s="39"/>
      <c r="AL4" s="39"/>
      <c r="AM4" s="39" t="s">
        <v>72</v>
      </c>
      <c r="AN4" s="39"/>
      <c r="AO4" s="39"/>
      <c r="AP4" s="39"/>
      <c r="AQ4" s="39" t="s">
        <v>73</v>
      </c>
      <c r="AR4" s="39"/>
      <c r="AS4" s="39"/>
      <c r="AT4" s="39"/>
      <c r="AU4" s="39" t="s">
        <v>74</v>
      </c>
      <c r="AV4" s="39"/>
      <c r="AW4" s="39"/>
      <c r="AX4" s="39"/>
      <c r="AY4" s="39" t="s">
        <v>75</v>
      </c>
      <c r="AZ4" s="39"/>
      <c r="BA4" s="39"/>
      <c r="BB4" s="39"/>
    </row>
    <row r="5" spans="2:54">
      <c r="B5" s="1">
        <v>2.3010299999999999</v>
      </c>
      <c r="C5" s="1">
        <v>10.32</v>
      </c>
      <c r="D5" s="1">
        <v>24.35</v>
      </c>
      <c r="E5" s="1">
        <v>23.21</v>
      </c>
      <c r="F5" s="1">
        <v>10.86</v>
      </c>
      <c r="G5" s="1">
        <v>-0.25</v>
      </c>
      <c r="H5" s="1">
        <v>6.01</v>
      </c>
      <c r="I5" s="1">
        <v>1.82</v>
      </c>
      <c r="J5" s="1">
        <v>3.97</v>
      </c>
      <c r="K5" s="1">
        <v>7.67</v>
      </c>
      <c r="L5" s="1">
        <v>17.66</v>
      </c>
      <c r="M5" s="1">
        <v>1.73</v>
      </c>
      <c r="N5" s="1">
        <v>5.55</v>
      </c>
      <c r="O5" s="1">
        <v>9.08</v>
      </c>
      <c r="P5" s="1">
        <v>29.07</v>
      </c>
      <c r="Q5" s="1">
        <v>6.51</v>
      </c>
      <c r="R5" s="1">
        <v>-2.96</v>
      </c>
      <c r="S5" s="1"/>
      <c r="T5" s="1"/>
      <c r="U5" s="1"/>
      <c r="V5" s="1"/>
      <c r="W5" s="1">
        <v>-1.62</v>
      </c>
      <c r="X5" s="1">
        <v>-1.4</v>
      </c>
      <c r="Y5" s="1">
        <v>-2.4900000000000002</v>
      </c>
      <c r="Z5" s="1">
        <v>0.56999999999999995</v>
      </c>
      <c r="AA5" s="1"/>
      <c r="AB5" s="1"/>
      <c r="AC5" s="1"/>
      <c r="AD5" s="1"/>
      <c r="AE5" s="1">
        <v>2.25</v>
      </c>
      <c r="AF5" s="1">
        <v>18.3</v>
      </c>
      <c r="AG5" s="1">
        <v>-2.0499999999999998</v>
      </c>
      <c r="AH5" s="1">
        <v>-2.2799999999999998</v>
      </c>
      <c r="AI5" s="1"/>
      <c r="AJ5" s="1"/>
      <c r="AK5" s="1"/>
      <c r="AL5" s="1"/>
      <c r="AM5" s="1">
        <v>-1.62</v>
      </c>
      <c r="AN5" s="1">
        <v>-1.97</v>
      </c>
      <c r="AO5" s="1">
        <v>-1.47</v>
      </c>
      <c r="AP5" s="1">
        <v>-1.41</v>
      </c>
      <c r="AQ5" s="1"/>
      <c r="AR5" s="1"/>
      <c r="AS5" s="1"/>
      <c r="AT5" s="1"/>
      <c r="AU5" s="1">
        <v>2.4300000000000002</v>
      </c>
      <c r="AV5" s="1">
        <v>1.47</v>
      </c>
      <c r="AW5" s="1">
        <v>-4.37</v>
      </c>
      <c r="AX5" s="1">
        <v>-3.65</v>
      </c>
      <c r="AY5" s="1"/>
      <c r="AZ5" s="1"/>
      <c r="BA5" s="1"/>
      <c r="BB5" s="1"/>
    </row>
    <row r="6" spans="2:54">
      <c r="B6" s="1">
        <v>2</v>
      </c>
      <c r="C6" s="1">
        <v>29.34</v>
      </c>
      <c r="D6" s="1">
        <v>43.85</v>
      </c>
      <c r="E6" s="1">
        <v>35.43</v>
      </c>
      <c r="F6" s="1">
        <v>15.61</v>
      </c>
      <c r="G6" s="1">
        <v>12</v>
      </c>
      <c r="H6" s="1">
        <v>8.1</v>
      </c>
      <c r="I6" s="1">
        <v>3.18</v>
      </c>
      <c r="J6" s="1">
        <v>6.96</v>
      </c>
      <c r="K6" s="1">
        <v>10.69</v>
      </c>
      <c r="L6" s="1">
        <v>22.55</v>
      </c>
      <c r="M6" s="1">
        <v>3.28</v>
      </c>
      <c r="N6" s="1">
        <v>1.2</v>
      </c>
      <c r="O6" s="1">
        <v>10.199999999999999</v>
      </c>
      <c r="P6" s="1">
        <v>31.91</v>
      </c>
      <c r="Q6" s="1">
        <v>13.67</v>
      </c>
      <c r="R6" s="1">
        <v>12.64</v>
      </c>
      <c r="S6" s="1">
        <v>9.08</v>
      </c>
      <c r="T6" s="1">
        <v>29.07</v>
      </c>
      <c r="U6" s="1">
        <v>6.51</v>
      </c>
      <c r="V6" s="1">
        <v>-2.96</v>
      </c>
      <c r="W6" s="1">
        <v>11.36</v>
      </c>
      <c r="X6" s="1">
        <v>12.62</v>
      </c>
      <c r="Y6" s="1">
        <v>11.22</v>
      </c>
      <c r="Z6" s="1">
        <v>13.69</v>
      </c>
      <c r="AA6" s="1"/>
      <c r="AB6" s="1"/>
      <c r="AC6" s="1"/>
      <c r="AD6" s="1"/>
      <c r="AE6" s="1">
        <v>19</v>
      </c>
      <c r="AF6" s="1">
        <v>25</v>
      </c>
      <c r="AG6" s="1">
        <v>5.41</v>
      </c>
      <c r="AH6" s="1">
        <v>1.48</v>
      </c>
      <c r="AI6" s="1"/>
      <c r="AJ6" s="1"/>
      <c r="AK6" s="1"/>
      <c r="AL6" s="1"/>
      <c r="AM6" s="1">
        <v>10.43</v>
      </c>
      <c r="AN6" s="1">
        <v>15.35</v>
      </c>
      <c r="AO6" s="1">
        <v>21.84</v>
      </c>
      <c r="AP6" s="1">
        <v>11.81</v>
      </c>
      <c r="AQ6" s="1"/>
      <c r="AR6" s="1"/>
      <c r="AS6" s="1"/>
      <c r="AT6" s="1"/>
      <c r="AU6" s="1">
        <v>14.81</v>
      </c>
      <c r="AV6" s="1">
        <v>21.96</v>
      </c>
      <c r="AW6" s="1">
        <v>2.67</v>
      </c>
      <c r="AX6" s="1">
        <v>1.44</v>
      </c>
      <c r="AY6" s="1"/>
      <c r="AZ6" s="1"/>
      <c r="BA6" s="1"/>
      <c r="BB6" s="1"/>
    </row>
    <row r="7" spans="2:54">
      <c r="B7" s="1">
        <v>1.6989700000000001</v>
      </c>
      <c r="C7" s="1">
        <v>36.729999999999997</v>
      </c>
      <c r="D7" s="1">
        <v>62.49</v>
      </c>
      <c r="E7" s="1">
        <v>38.659999999999997</v>
      </c>
      <c r="F7" s="1">
        <v>21.2</v>
      </c>
      <c r="G7" s="1">
        <v>33</v>
      </c>
      <c r="H7" s="1">
        <v>24.5</v>
      </c>
      <c r="I7" s="1">
        <v>15.42</v>
      </c>
      <c r="J7" s="1">
        <v>16.68</v>
      </c>
      <c r="K7" s="1">
        <v>15.88</v>
      </c>
      <c r="L7" s="1">
        <v>23.7</v>
      </c>
      <c r="M7" s="1">
        <v>2.86</v>
      </c>
      <c r="N7" s="1">
        <v>1.6</v>
      </c>
      <c r="O7" s="1">
        <v>21.06</v>
      </c>
      <c r="P7" s="1">
        <v>30.93</v>
      </c>
      <c r="Q7" s="1">
        <v>24</v>
      </c>
      <c r="R7" s="1">
        <v>-4.6399999999999997</v>
      </c>
      <c r="S7" s="1">
        <v>10.199999999999999</v>
      </c>
      <c r="T7" s="1">
        <v>31.91</v>
      </c>
      <c r="U7" s="1">
        <v>13.67</v>
      </c>
      <c r="V7" s="1">
        <v>12.64</v>
      </c>
      <c r="W7" s="1">
        <v>27.34</v>
      </c>
      <c r="X7" s="1">
        <v>25.26</v>
      </c>
      <c r="Y7" s="1">
        <v>23.11</v>
      </c>
      <c r="Z7" s="1">
        <v>22.45</v>
      </c>
      <c r="AA7" s="1">
        <v>-1.62</v>
      </c>
      <c r="AB7" s="1">
        <v>-1.4</v>
      </c>
      <c r="AC7" s="1">
        <v>-2.4900000000000002</v>
      </c>
      <c r="AD7" s="1">
        <v>0.56999999999999995</v>
      </c>
      <c r="AE7" s="1">
        <v>23.35</v>
      </c>
      <c r="AF7" s="1">
        <v>29.53</v>
      </c>
      <c r="AG7" s="1">
        <v>8.85</v>
      </c>
      <c r="AH7" s="1">
        <v>-4.5999999999999996</v>
      </c>
      <c r="AI7" s="1"/>
      <c r="AJ7" s="1"/>
      <c r="AK7" s="1"/>
      <c r="AL7" s="1"/>
      <c r="AM7" s="1">
        <v>18.88</v>
      </c>
      <c r="AN7" s="1">
        <v>23.09</v>
      </c>
      <c r="AO7" s="1">
        <v>30.28</v>
      </c>
      <c r="AP7" s="1">
        <v>20.38</v>
      </c>
      <c r="AQ7" s="1"/>
      <c r="AR7" s="1"/>
      <c r="AS7" s="1"/>
      <c r="AT7" s="1"/>
      <c r="AU7" s="1">
        <v>26.58</v>
      </c>
      <c r="AV7" s="1">
        <v>28.12</v>
      </c>
      <c r="AW7" s="1">
        <v>5.8</v>
      </c>
      <c r="AX7" s="1">
        <v>-2.37</v>
      </c>
      <c r="AY7" s="1"/>
      <c r="AZ7" s="1"/>
      <c r="BA7" s="1"/>
      <c r="BB7" s="1"/>
    </row>
    <row r="8" spans="2:54">
      <c r="B8" s="1">
        <v>1.39794</v>
      </c>
      <c r="C8" s="1">
        <v>64.03</v>
      </c>
      <c r="D8" s="1">
        <v>64.28</v>
      </c>
      <c r="E8" s="1">
        <v>55.9</v>
      </c>
      <c r="F8" s="1">
        <v>50.55</v>
      </c>
      <c r="G8" s="1">
        <v>58.64</v>
      </c>
      <c r="H8" s="1">
        <v>30.09</v>
      </c>
      <c r="I8" s="1">
        <v>21.82</v>
      </c>
      <c r="J8" s="1">
        <v>26</v>
      </c>
      <c r="K8" s="1">
        <v>12.14</v>
      </c>
      <c r="L8" s="1">
        <v>38.67</v>
      </c>
      <c r="M8" s="1">
        <v>19</v>
      </c>
      <c r="N8" s="1">
        <v>1.52</v>
      </c>
      <c r="O8" s="1">
        <v>31.86</v>
      </c>
      <c r="P8" s="1">
        <v>54.26</v>
      </c>
      <c r="Q8" s="1">
        <v>27.02</v>
      </c>
      <c r="R8" s="1">
        <v>32.799999999999997</v>
      </c>
      <c r="S8" s="1">
        <v>21.06</v>
      </c>
      <c r="T8" s="1">
        <v>30.93</v>
      </c>
      <c r="U8" s="1">
        <v>24</v>
      </c>
      <c r="V8" s="1">
        <v>-4.6399999999999997</v>
      </c>
      <c r="W8" s="1">
        <v>34.53</v>
      </c>
      <c r="X8" s="1">
        <v>30.88</v>
      </c>
      <c r="Y8" s="1">
        <v>37.22</v>
      </c>
      <c r="Z8" s="1">
        <v>29.68</v>
      </c>
      <c r="AA8" s="1">
        <v>11.36</v>
      </c>
      <c r="AB8" s="1">
        <v>12.62</v>
      </c>
      <c r="AC8" s="1">
        <v>11.22</v>
      </c>
      <c r="AD8" s="1">
        <v>13.69</v>
      </c>
      <c r="AE8" s="1">
        <v>34.43</v>
      </c>
      <c r="AF8" s="1">
        <v>48.97</v>
      </c>
      <c r="AG8" s="1">
        <v>23</v>
      </c>
      <c r="AH8" s="1">
        <v>28.66</v>
      </c>
      <c r="AI8" s="1">
        <v>2.25</v>
      </c>
      <c r="AJ8" s="1">
        <v>18.3</v>
      </c>
      <c r="AK8" s="1">
        <v>-2.0499999999999998</v>
      </c>
      <c r="AL8" s="1">
        <v>-2.2799999999999998</v>
      </c>
      <c r="AM8" s="1">
        <v>22.67</v>
      </c>
      <c r="AN8" s="1">
        <v>29.11</v>
      </c>
      <c r="AO8" s="1">
        <v>34.119999999999997</v>
      </c>
      <c r="AP8" s="1">
        <v>31.57</v>
      </c>
      <c r="AQ8" s="1"/>
      <c r="AR8" s="1"/>
      <c r="AS8" s="1"/>
      <c r="AT8" s="1"/>
      <c r="AU8" s="1">
        <v>33.18</v>
      </c>
      <c r="AV8" s="1">
        <v>51.29</v>
      </c>
      <c r="AW8" s="1">
        <v>38.74</v>
      </c>
      <c r="AX8" s="1">
        <v>12</v>
      </c>
      <c r="AY8" s="1"/>
      <c r="AZ8" s="1"/>
      <c r="BA8" s="1"/>
      <c r="BB8" s="1"/>
    </row>
    <row r="9" spans="2:54">
      <c r="B9" s="1">
        <v>1.0969100000000001</v>
      </c>
      <c r="C9" s="1">
        <v>74.03</v>
      </c>
      <c r="D9" s="1">
        <v>70.28</v>
      </c>
      <c r="E9" s="1">
        <v>60.9</v>
      </c>
      <c r="F9" s="1">
        <v>60.55</v>
      </c>
      <c r="G9" s="1">
        <v>63.74</v>
      </c>
      <c r="H9" s="1">
        <v>38.35</v>
      </c>
      <c r="I9" s="1">
        <v>26.96</v>
      </c>
      <c r="J9" s="1">
        <v>36</v>
      </c>
      <c r="K9" s="1">
        <v>25.74</v>
      </c>
      <c r="L9" s="1">
        <v>38.35</v>
      </c>
      <c r="M9" s="1">
        <v>27</v>
      </c>
      <c r="N9" s="1">
        <v>4.58</v>
      </c>
      <c r="O9" s="1">
        <v>37.53</v>
      </c>
      <c r="P9" s="1">
        <v>48.2</v>
      </c>
      <c r="Q9" s="1">
        <v>21.78</v>
      </c>
      <c r="R9" s="1">
        <v>6.44</v>
      </c>
      <c r="S9" s="1">
        <v>31.86</v>
      </c>
      <c r="T9" s="1">
        <v>54.26</v>
      </c>
      <c r="U9" s="1">
        <v>27.02</v>
      </c>
      <c r="V9" s="1">
        <v>32.799999999999997</v>
      </c>
      <c r="W9" s="1">
        <v>42.1</v>
      </c>
      <c r="X9" s="1">
        <v>44.02</v>
      </c>
      <c r="Y9" s="1">
        <v>45.41</v>
      </c>
      <c r="Z9" s="1">
        <v>35.53</v>
      </c>
      <c r="AA9" s="1">
        <v>27.34</v>
      </c>
      <c r="AB9" s="1">
        <v>25.26</v>
      </c>
      <c r="AC9" s="1">
        <v>23.11</v>
      </c>
      <c r="AD9" s="1">
        <v>22.45</v>
      </c>
      <c r="AE9" s="1">
        <v>45.92</v>
      </c>
      <c r="AF9" s="1">
        <v>44.97</v>
      </c>
      <c r="AG9" s="1">
        <v>45</v>
      </c>
      <c r="AH9" s="1">
        <v>35.99</v>
      </c>
      <c r="AI9" s="1">
        <v>19</v>
      </c>
      <c r="AJ9" s="1">
        <v>25</v>
      </c>
      <c r="AK9" s="1">
        <v>5.41</v>
      </c>
      <c r="AL9" s="1">
        <v>1.48</v>
      </c>
      <c r="AM9" s="1">
        <v>29.67</v>
      </c>
      <c r="AN9" s="1">
        <v>35.28</v>
      </c>
      <c r="AO9" s="1">
        <v>47.16</v>
      </c>
      <c r="AP9" s="1">
        <v>41.87</v>
      </c>
      <c r="AQ9" s="1">
        <v>-1.62</v>
      </c>
      <c r="AR9" s="1">
        <v>-1.97</v>
      </c>
      <c r="AS9" s="1">
        <v>-1.47</v>
      </c>
      <c r="AT9" s="1">
        <v>-1.41</v>
      </c>
      <c r="AU9" s="1">
        <v>47.75</v>
      </c>
      <c r="AV9" s="1">
        <v>48.26</v>
      </c>
      <c r="AW9" s="1">
        <v>47.8</v>
      </c>
      <c r="AX9" s="1">
        <v>32</v>
      </c>
      <c r="AY9" s="1"/>
      <c r="AZ9" s="1"/>
      <c r="BA9" s="1"/>
      <c r="BB9" s="1"/>
    </row>
    <row r="10" spans="2:54">
      <c r="B10" s="1">
        <v>0.79588000000000003</v>
      </c>
      <c r="C10" s="1">
        <v>75.95</v>
      </c>
      <c r="D10" s="1">
        <v>76.23</v>
      </c>
      <c r="E10" s="1">
        <v>72.13</v>
      </c>
      <c r="F10" s="1">
        <v>61.91</v>
      </c>
      <c r="G10" s="1">
        <v>64.39</v>
      </c>
      <c r="H10" s="1">
        <v>42.63</v>
      </c>
      <c r="I10" s="1">
        <v>29.5</v>
      </c>
      <c r="J10" s="1">
        <v>45.48</v>
      </c>
      <c r="K10" s="1">
        <v>34.76</v>
      </c>
      <c r="L10" s="1">
        <v>45.65</v>
      </c>
      <c r="M10" s="1">
        <v>35</v>
      </c>
      <c r="N10" s="1">
        <v>21.34</v>
      </c>
      <c r="O10" s="1">
        <v>56.68</v>
      </c>
      <c r="P10" s="1">
        <v>62.93</v>
      </c>
      <c r="Q10" s="1">
        <v>51.93</v>
      </c>
      <c r="R10" s="1">
        <v>40.799999999999997</v>
      </c>
      <c r="S10" s="1">
        <v>37.53</v>
      </c>
      <c r="T10" s="1">
        <v>48.2</v>
      </c>
      <c r="U10" s="1">
        <v>21.78</v>
      </c>
      <c r="V10" s="1">
        <v>6.44</v>
      </c>
      <c r="W10" s="1">
        <v>50.74</v>
      </c>
      <c r="X10" s="1">
        <v>52.58</v>
      </c>
      <c r="Y10" s="1">
        <v>49.25</v>
      </c>
      <c r="Z10" s="1">
        <v>47.29</v>
      </c>
      <c r="AA10" s="1">
        <v>34.53</v>
      </c>
      <c r="AB10" s="1">
        <v>30.88</v>
      </c>
      <c r="AC10" s="1">
        <v>37.22</v>
      </c>
      <c r="AD10" s="1">
        <v>29.68</v>
      </c>
      <c r="AE10" s="1">
        <v>51.16</v>
      </c>
      <c r="AF10" s="1">
        <v>62.56</v>
      </c>
      <c r="AG10" s="1">
        <v>37</v>
      </c>
      <c r="AH10" s="1">
        <v>41.22</v>
      </c>
      <c r="AI10" s="1">
        <v>23.35</v>
      </c>
      <c r="AJ10" s="1">
        <v>29.53</v>
      </c>
      <c r="AK10" s="1">
        <v>8.85</v>
      </c>
      <c r="AL10" s="1">
        <v>-4.5999999999999996</v>
      </c>
      <c r="AM10" s="1">
        <v>41</v>
      </c>
      <c r="AN10" s="1">
        <v>42.71</v>
      </c>
      <c r="AO10" s="1">
        <v>52.5</v>
      </c>
      <c r="AP10" s="1">
        <v>56.54</v>
      </c>
      <c r="AQ10" s="1">
        <v>10.43</v>
      </c>
      <c r="AR10" s="1">
        <v>15.35</v>
      </c>
      <c r="AS10" s="1">
        <v>21.84</v>
      </c>
      <c r="AT10" s="1">
        <v>11.81</v>
      </c>
      <c r="AU10" s="1">
        <v>55.55</v>
      </c>
      <c r="AV10" s="1">
        <v>57.25</v>
      </c>
      <c r="AW10" s="1">
        <v>44.18</v>
      </c>
      <c r="AX10" s="1">
        <v>37.54</v>
      </c>
      <c r="AY10" s="1"/>
      <c r="AZ10" s="1"/>
      <c r="BA10" s="1"/>
      <c r="BB10" s="1"/>
    </row>
    <row r="11" spans="2:54">
      <c r="B11" s="1">
        <v>0.49485000000000001</v>
      </c>
      <c r="C11" s="1">
        <v>80.52</v>
      </c>
      <c r="D11" s="1">
        <v>87.42</v>
      </c>
      <c r="E11" s="1">
        <v>77.84</v>
      </c>
      <c r="F11" s="1">
        <v>64.55</v>
      </c>
      <c r="G11" s="1">
        <v>73.3</v>
      </c>
      <c r="H11" s="1">
        <v>66.989999999999995</v>
      </c>
      <c r="I11" s="1">
        <v>57.57</v>
      </c>
      <c r="J11" s="1">
        <v>52.69</v>
      </c>
      <c r="K11" s="1">
        <v>44.86</v>
      </c>
      <c r="L11" s="1">
        <v>62.84</v>
      </c>
      <c r="M11" s="1">
        <v>38</v>
      </c>
      <c r="N11" s="1">
        <v>24.82</v>
      </c>
      <c r="O11" s="1">
        <v>75.97</v>
      </c>
      <c r="P11" s="1">
        <v>71.260000000000005</v>
      </c>
      <c r="Q11" s="1">
        <v>59.98</v>
      </c>
      <c r="R11" s="1">
        <v>15.22</v>
      </c>
      <c r="S11" s="1">
        <v>56.68</v>
      </c>
      <c r="T11" s="1">
        <v>62.93</v>
      </c>
      <c r="U11" s="1">
        <v>51.93</v>
      </c>
      <c r="V11" s="1">
        <v>40.799999999999997</v>
      </c>
      <c r="W11" s="1">
        <v>62.82</v>
      </c>
      <c r="X11" s="1">
        <v>64.09</v>
      </c>
      <c r="Y11" s="1">
        <v>56.26</v>
      </c>
      <c r="Z11" s="1">
        <v>57.26</v>
      </c>
      <c r="AA11" s="1">
        <v>42.1</v>
      </c>
      <c r="AB11" s="1">
        <v>44.02</v>
      </c>
      <c r="AC11" s="1">
        <v>45.41</v>
      </c>
      <c r="AD11" s="1">
        <v>35.53</v>
      </c>
      <c r="AE11" s="1">
        <v>65.739999999999995</v>
      </c>
      <c r="AF11" s="1">
        <v>68.260000000000005</v>
      </c>
      <c r="AG11" s="1">
        <v>50</v>
      </c>
      <c r="AH11" s="1">
        <v>56.06</v>
      </c>
      <c r="AI11" s="1">
        <v>34.43</v>
      </c>
      <c r="AJ11" s="1">
        <v>48.97</v>
      </c>
      <c r="AK11" s="1">
        <v>23</v>
      </c>
      <c r="AL11" s="1">
        <v>28.66</v>
      </c>
      <c r="AM11" s="1">
        <v>54</v>
      </c>
      <c r="AN11" s="1">
        <v>52.74</v>
      </c>
      <c r="AO11" s="1">
        <v>56.89</v>
      </c>
      <c r="AP11" s="1">
        <v>62.49</v>
      </c>
      <c r="AQ11" s="1">
        <v>18.88</v>
      </c>
      <c r="AR11" s="1">
        <v>23.09</v>
      </c>
      <c r="AS11" s="1">
        <v>30.28</v>
      </c>
      <c r="AT11" s="1">
        <v>20.38</v>
      </c>
      <c r="AU11" s="1">
        <v>64.03</v>
      </c>
      <c r="AV11" s="1">
        <v>63.6</v>
      </c>
      <c r="AW11" s="1">
        <v>45.06</v>
      </c>
      <c r="AX11" s="1">
        <v>40.340000000000003</v>
      </c>
      <c r="AY11" s="1"/>
      <c r="AZ11" s="1"/>
      <c r="BA11" s="1"/>
      <c r="BB11" s="1"/>
    </row>
    <row r="12" spans="2:54">
      <c r="B12" s="1">
        <v>0.19381999999999999</v>
      </c>
      <c r="C12" s="1">
        <v>84.12</v>
      </c>
      <c r="D12" s="1">
        <v>98.6</v>
      </c>
      <c r="E12" s="1">
        <v>95.57</v>
      </c>
      <c r="F12" s="1">
        <v>71.87</v>
      </c>
      <c r="G12" s="1">
        <v>95.59</v>
      </c>
      <c r="H12" s="1">
        <v>79.64</v>
      </c>
      <c r="I12" s="1">
        <v>58.87</v>
      </c>
      <c r="J12" s="1">
        <v>55.31</v>
      </c>
      <c r="K12" s="1">
        <v>51.17</v>
      </c>
      <c r="L12" s="1">
        <v>71.069999999999993</v>
      </c>
      <c r="M12" s="1">
        <v>48</v>
      </c>
      <c r="N12" s="1">
        <v>23</v>
      </c>
      <c r="O12" s="1">
        <v>88.37</v>
      </c>
      <c r="P12" s="1">
        <v>82.97</v>
      </c>
      <c r="Q12" s="1">
        <v>84.97</v>
      </c>
      <c r="R12" s="1">
        <v>55.82</v>
      </c>
      <c r="S12" s="1">
        <v>75.97</v>
      </c>
      <c r="T12" s="1">
        <v>71.260000000000005</v>
      </c>
      <c r="U12" s="1">
        <v>59.98</v>
      </c>
      <c r="V12" s="1">
        <v>15.22</v>
      </c>
      <c r="W12" s="1">
        <v>66</v>
      </c>
      <c r="X12" s="1">
        <v>69.08</v>
      </c>
      <c r="Y12" s="1">
        <v>66.38</v>
      </c>
      <c r="Z12" s="1">
        <v>62.76</v>
      </c>
      <c r="AA12" s="1">
        <v>50.74</v>
      </c>
      <c r="AB12" s="1">
        <v>52.58</v>
      </c>
      <c r="AC12" s="1">
        <v>49.25</v>
      </c>
      <c r="AD12" s="1">
        <v>47.29</v>
      </c>
      <c r="AE12" s="1">
        <v>71.430000000000007</v>
      </c>
      <c r="AF12" s="1">
        <v>84.84</v>
      </c>
      <c r="AG12" s="1">
        <v>86.98</v>
      </c>
      <c r="AH12" s="1">
        <v>61.55</v>
      </c>
      <c r="AI12" s="1">
        <v>45.92</v>
      </c>
      <c r="AJ12" s="1">
        <v>44.97</v>
      </c>
      <c r="AK12" s="1">
        <v>45</v>
      </c>
      <c r="AL12" s="1">
        <v>35.99</v>
      </c>
      <c r="AM12" s="1">
        <v>61.48</v>
      </c>
      <c r="AN12" s="1">
        <v>77.09</v>
      </c>
      <c r="AO12" s="1">
        <v>68.64</v>
      </c>
      <c r="AP12" s="1">
        <v>65.31</v>
      </c>
      <c r="AQ12" s="1">
        <v>22.67</v>
      </c>
      <c r="AR12" s="1">
        <v>29.11</v>
      </c>
      <c r="AS12" s="1">
        <v>34.119999999999997</v>
      </c>
      <c r="AT12" s="1">
        <v>31.57</v>
      </c>
      <c r="AU12" s="1">
        <v>75.63</v>
      </c>
      <c r="AV12" s="1">
        <v>72.3</v>
      </c>
      <c r="AW12" s="1">
        <v>61.83</v>
      </c>
      <c r="AX12" s="1">
        <v>54.28</v>
      </c>
      <c r="AY12" s="1"/>
      <c r="AZ12" s="1"/>
      <c r="BA12" s="1"/>
      <c r="BB12" s="1"/>
    </row>
    <row r="13" spans="2:54">
      <c r="B13" s="1">
        <v>-0.10721</v>
      </c>
      <c r="C13" s="1">
        <v>88.62</v>
      </c>
      <c r="D13" s="1">
        <v>100.58</v>
      </c>
      <c r="E13" s="1">
        <v>97.61</v>
      </c>
      <c r="F13" s="1">
        <v>98.48</v>
      </c>
      <c r="G13" s="1">
        <v>94.19</v>
      </c>
      <c r="H13" s="1">
        <v>73.64</v>
      </c>
      <c r="I13" s="1">
        <v>59.36</v>
      </c>
      <c r="J13" s="1">
        <v>71.150000000000006</v>
      </c>
      <c r="K13" s="1">
        <v>66.180000000000007</v>
      </c>
      <c r="L13" s="1">
        <v>78.84</v>
      </c>
      <c r="M13" s="1">
        <v>84</v>
      </c>
      <c r="N13" s="1">
        <v>42</v>
      </c>
      <c r="O13" s="1">
        <v>88.48</v>
      </c>
      <c r="P13" s="1">
        <v>88.2</v>
      </c>
      <c r="Q13" s="1">
        <v>50.69</v>
      </c>
      <c r="R13" s="1">
        <v>26.44</v>
      </c>
      <c r="S13" s="1">
        <v>88.37</v>
      </c>
      <c r="T13" s="1">
        <v>82.97</v>
      </c>
      <c r="U13" s="1">
        <v>84.97</v>
      </c>
      <c r="V13" s="1">
        <v>55.82</v>
      </c>
      <c r="W13" s="1">
        <v>74</v>
      </c>
      <c r="X13" s="1">
        <v>72.680000000000007</v>
      </c>
      <c r="Y13" s="1">
        <v>72.37</v>
      </c>
      <c r="Z13" s="1">
        <v>78.959999999999994</v>
      </c>
      <c r="AA13" s="1">
        <v>62.82</v>
      </c>
      <c r="AB13" s="1">
        <v>64.09</v>
      </c>
      <c r="AC13" s="1">
        <v>56.26</v>
      </c>
      <c r="AD13" s="1">
        <v>57.26</v>
      </c>
      <c r="AE13" s="1">
        <v>84.74</v>
      </c>
      <c r="AF13" s="1">
        <v>83.08</v>
      </c>
      <c r="AG13" s="1">
        <v>89.13</v>
      </c>
      <c r="AH13" s="1">
        <v>76.89</v>
      </c>
      <c r="AI13" s="1">
        <v>51.16</v>
      </c>
      <c r="AJ13" s="1">
        <v>62.56</v>
      </c>
      <c r="AK13" s="1">
        <v>37</v>
      </c>
      <c r="AL13" s="1">
        <v>41.22</v>
      </c>
      <c r="AM13" s="1">
        <v>65.05</v>
      </c>
      <c r="AN13" s="1">
        <v>81.47</v>
      </c>
      <c r="AO13" s="1">
        <v>78.81</v>
      </c>
      <c r="AP13" s="1">
        <v>75.39</v>
      </c>
      <c r="AQ13" s="1">
        <v>29.67</v>
      </c>
      <c r="AR13" s="1">
        <v>35.28</v>
      </c>
      <c r="AS13" s="1">
        <v>47.16</v>
      </c>
      <c r="AT13" s="1">
        <v>41.87</v>
      </c>
      <c r="AU13" s="1">
        <v>79.7</v>
      </c>
      <c r="AV13" s="1">
        <v>75.430000000000007</v>
      </c>
      <c r="AW13" s="1">
        <v>46.28</v>
      </c>
      <c r="AX13" s="1">
        <v>64.62</v>
      </c>
      <c r="AY13" s="1"/>
      <c r="AZ13" s="1"/>
      <c r="BA13" s="1"/>
      <c r="BB13" s="1"/>
    </row>
    <row r="14" spans="2:54">
      <c r="B14" s="1">
        <v>-0.40823999999999999</v>
      </c>
      <c r="C14" s="1">
        <v>100.71</v>
      </c>
      <c r="D14" s="1">
        <v>98.64</v>
      </c>
      <c r="E14" s="1">
        <v>98.48</v>
      </c>
      <c r="F14" s="1">
        <v>98.86</v>
      </c>
      <c r="G14" s="1">
        <v>99.95</v>
      </c>
      <c r="H14" s="1">
        <v>80.59</v>
      </c>
      <c r="I14" s="1">
        <v>73.91</v>
      </c>
      <c r="J14" s="1">
        <v>96.65</v>
      </c>
      <c r="K14" s="1">
        <v>82.55</v>
      </c>
      <c r="L14" s="1">
        <v>83.8</v>
      </c>
      <c r="M14" s="1">
        <v>70.11</v>
      </c>
      <c r="N14" s="1">
        <v>58.23</v>
      </c>
      <c r="O14" s="1">
        <v>99.19</v>
      </c>
      <c r="P14" s="1">
        <v>90.91</v>
      </c>
      <c r="Q14" s="1">
        <v>78.150000000000006</v>
      </c>
      <c r="R14" s="1">
        <v>64.930000000000007</v>
      </c>
      <c r="S14" s="1">
        <v>88.48</v>
      </c>
      <c r="T14" s="1">
        <v>88.2</v>
      </c>
      <c r="U14" s="1">
        <v>50.69</v>
      </c>
      <c r="V14" s="1">
        <v>26.44</v>
      </c>
      <c r="W14" s="1">
        <v>87.25</v>
      </c>
      <c r="X14" s="1">
        <v>84.88</v>
      </c>
      <c r="Y14" s="1">
        <v>83.43</v>
      </c>
      <c r="Z14" s="1">
        <v>86.08</v>
      </c>
      <c r="AA14" s="1">
        <v>66</v>
      </c>
      <c r="AB14" s="1">
        <v>69.08</v>
      </c>
      <c r="AC14" s="1">
        <v>66.38</v>
      </c>
      <c r="AD14" s="1">
        <v>62.76</v>
      </c>
      <c r="AE14" s="1">
        <v>90.43</v>
      </c>
      <c r="AF14" s="1">
        <v>89.98</v>
      </c>
      <c r="AG14" s="1">
        <v>88.37</v>
      </c>
      <c r="AH14" s="1">
        <v>80.16</v>
      </c>
      <c r="AI14" s="1">
        <v>65.739999999999995</v>
      </c>
      <c r="AJ14" s="1">
        <v>68.260000000000005</v>
      </c>
      <c r="AK14" s="1">
        <v>50</v>
      </c>
      <c r="AL14" s="1">
        <v>56.06</v>
      </c>
      <c r="AM14" s="1">
        <v>89.84</v>
      </c>
      <c r="AN14" s="1">
        <v>92.66</v>
      </c>
      <c r="AO14" s="1">
        <v>85.11</v>
      </c>
      <c r="AP14" s="1">
        <v>86.02</v>
      </c>
      <c r="AQ14" s="1">
        <v>41</v>
      </c>
      <c r="AR14" s="1">
        <v>42.71</v>
      </c>
      <c r="AS14" s="1">
        <v>52.5</v>
      </c>
      <c r="AT14" s="1">
        <v>56.54</v>
      </c>
      <c r="AU14" s="1">
        <v>92.84</v>
      </c>
      <c r="AV14" s="1">
        <v>86.4</v>
      </c>
      <c r="AW14" s="1">
        <v>93.87</v>
      </c>
      <c r="AX14" s="1">
        <v>57.91</v>
      </c>
      <c r="AY14" s="1"/>
      <c r="AZ14" s="1"/>
      <c r="BA14" s="1"/>
      <c r="BB14" s="1"/>
    </row>
    <row r="15" spans="2:54">
      <c r="B15" s="1">
        <v>-0.70926999999999996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>
        <v>99.19</v>
      </c>
      <c r="T15" s="1">
        <v>90.91</v>
      </c>
      <c r="U15" s="1">
        <v>78.150000000000006</v>
      </c>
      <c r="V15" s="1">
        <v>64.930000000000007</v>
      </c>
      <c r="W15" s="1"/>
      <c r="X15" s="1"/>
      <c r="Y15" s="1"/>
      <c r="Z15" s="1"/>
      <c r="AA15" s="1">
        <v>74</v>
      </c>
      <c r="AB15" s="1">
        <v>72.680000000000007</v>
      </c>
      <c r="AC15" s="1">
        <v>72.37</v>
      </c>
      <c r="AD15" s="1">
        <v>78.959999999999994</v>
      </c>
      <c r="AE15" s="1"/>
      <c r="AF15" s="1"/>
      <c r="AG15" s="1"/>
      <c r="AH15" s="1"/>
      <c r="AI15" s="1">
        <v>71.430000000000007</v>
      </c>
      <c r="AJ15" s="1">
        <v>84.84</v>
      </c>
      <c r="AK15" s="1">
        <v>86.98</v>
      </c>
      <c r="AL15" s="1">
        <v>61.55</v>
      </c>
      <c r="AM15" s="1"/>
      <c r="AN15" s="1"/>
      <c r="AO15" s="1"/>
      <c r="AP15" s="1"/>
      <c r="AQ15" s="1">
        <v>54</v>
      </c>
      <c r="AR15" s="1">
        <v>52.74</v>
      </c>
      <c r="AS15" s="1">
        <v>56.89</v>
      </c>
      <c r="AT15" s="1">
        <v>62.49</v>
      </c>
      <c r="AU15" s="1"/>
      <c r="AV15" s="1"/>
      <c r="AW15" s="1"/>
      <c r="AX15" s="1"/>
      <c r="AY15" s="1"/>
      <c r="AZ15" s="1"/>
      <c r="BA15" s="1"/>
      <c r="BB15" s="1"/>
    </row>
    <row r="16" spans="2:54">
      <c r="B16" s="1">
        <v>-1.0103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>
        <v>87.25</v>
      </c>
      <c r="AB16" s="1">
        <v>84.88</v>
      </c>
      <c r="AC16" s="1">
        <v>83.43</v>
      </c>
      <c r="AD16" s="1">
        <v>86.08</v>
      </c>
      <c r="AE16" s="1"/>
      <c r="AF16" s="1"/>
      <c r="AG16" s="1"/>
      <c r="AH16" s="1"/>
      <c r="AI16" s="1">
        <v>84.74</v>
      </c>
      <c r="AJ16" s="1">
        <v>83.08</v>
      </c>
      <c r="AK16" s="1">
        <v>89.13</v>
      </c>
      <c r="AL16" s="1">
        <v>76.89</v>
      </c>
      <c r="AM16" s="1"/>
      <c r="AN16" s="1"/>
      <c r="AO16" s="1"/>
      <c r="AP16" s="1"/>
      <c r="AQ16" s="1">
        <v>61.48</v>
      </c>
      <c r="AR16" s="1">
        <v>77.09</v>
      </c>
      <c r="AS16" s="1">
        <v>68.64</v>
      </c>
      <c r="AT16" s="1">
        <v>65.31</v>
      </c>
      <c r="AU16" s="1"/>
      <c r="AV16" s="1"/>
      <c r="AW16" s="1"/>
      <c r="AX16" s="1"/>
      <c r="AY16" s="1"/>
      <c r="AZ16" s="1"/>
      <c r="BA16" s="1"/>
      <c r="BB16" s="1"/>
    </row>
    <row r="17" spans="2:54">
      <c r="B17" s="1">
        <v>-1.3113300000000001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>
        <v>90.43</v>
      </c>
      <c r="AJ17" s="1">
        <v>89.98</v>
      </c>
      <c r="AK17" s="1">
        <v>88.37</v>
      </c>
      <c r="AL17" s="1">
        <v>80.16</v>
      </c>
      <c r="AM17" s="1"/>
      <c r="AN17" s="1"/>
      <c r="AO17" s="1"/>
      <c r="AP17" s="1"/>
      <c r="AQ17" s="1">
        <v>65.05</v>
      </c>
      <c r="AR17" s="1">
        <v>81.47</v>
      </c>
      <c r="AS17" s="1">
        <v>78.81</v>
      </c>
      <c r="AT17" s="1">
        <v>75.39</v>
      </c>
      <c r="AU17" s="1"/>
      <c r="AV17" s="1"/>
      <c r="AW17" s="1"/>
      <c r="AX17" s="1"/>
      <c r="AY17" s="1"/>
      <c r="AZ17" s="1"/>
      <c r="BA17" s="1"/>
      <c r="BB17" s="1"/>
    </row>
    <row r="18" spans="2:54">
      <c r="B18" s="1">
        <v>-1.61236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v>89.84</v>
      </c>
      <c r="AR18" s="1">
        <v>92.66</v>
      </c>
      <c r="AS18" s="1">
        <v>85.11</v>
      </c>
      <c r="AT18" s="1">
        <v>86.02</v>
      </c>
      <c r="AU18" s="1"/>
      <c r="AV18" s="1"/>
      <c r="AW18" s="1"/>
      <c r="AX18" s="1"/>
      <c r="AY18" s="1"/>
      <c r="AZ18" s="1"/>
      <c r="BA18" s="1"/>
      <c r="BB18" s="1"/>
    </row>
    <row r="19" spans="2:54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2:54">
      <c r="B20" s="1">
        <v>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>
        <v>2.4300000000000002</v>
      </c>
      <c r="AZ20" s="1">
        <v>1.47</v>
      </c>
      <c r="BA20" s="1">
        <v>-4.37</v>
      </c>
      <c r="BB20" s="1">
        <v>-3.65</v>
      </c>
    </row>
    <row r="21" spans="2:54">
      <c r="B21" s="1">
        <v>0.69896999999999998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>
        <v>14.81</v>
      </c>
      <c r="AZ21" s="1">
        <v>21.96</v>
      </c>
      <c r="BA21" s="1">
        <v>2.67</v>
      </c>
      <c r="BB21" s="1">
        <v>1.44</v>
      </c>
    </row>
    <row r="22" spans="2:54">
      <c r="B22" s="1">
        <v>0.39794000000000002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>
        <v>26.58</v>
      </c>
      <c r="AZ22" s="1">
        <v>28.12</v>
      </c>
      <c r="BA22" s="1">
        <v>5.8</v>
      </c>
      <c r="BB22" s="1">
        <v>-2.37</v>
      </c>
    </row>
    <row r="23" spans="2:54">
      <c r="B23" s="1">
        <v>9.6909999999999996E-2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>
        <v>33.18</v>
      </c>
      <c r="AZ23" s="1">
        <v>51.29</v>
      </c>
      <c r="BA23" s="1">
        <v>38.74</v>
      </c>
      <c r="BB23" s="1">
        <v>12</v>
      </c>
    </row>
    <row r="24" spans="2:54">
      <c r="B24" s="1">
        <v>-0.20412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>
        <v>47.75</v>
      </c>
      <c r="AZ24" s="1">
        <v>48.26</v>
      </c>
      <c r="BA24" s="1">
        <v>47.8</v>
      </c>
      <c r="BB24" s="1">
        <v>32</v>
      </c>
    </row>
    <row r="25" spans="2:54">
      <c r="B25" s="1">
        <v>-0.50514999999999999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>
        <v>55.55</v>
      </c>
      <c r="AZ25" s="1">
        <v>57.25</v>
      </c>
      <c r="BA25" s="1">
        <v>44.18</v>
      </c>
      <c r="BB25" s="1">
        <v>37.54</v>
      </c>
    </row>
    <row r="26" spans="2:54">
      <c r="B26" s="1">
        <v>-0.80618000000000001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>
        <v>64.03</v>
      </c>
      <c r="AZ26" s="1">
        <v>63.6</v>
      </c>
      <c r="BA26" s="1">
        <v>45.06</v>
      </c>
      <c r="BB26" s="1">
        <v>40.340000000000003</v>
      </c>
    </row>
    <row r="27" spans="2:54">
      <c r="B27" s="1">
        <v>-1.10721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>
        <v>75.63</v>
      </c>
      <c r="AZ27" s="1">
        <v>72.3</v>
      </c>
      <c r="BA27" s="1">
        <v>61.83</v>
      </c>
      <c r="BB27" s="1">
        <v>54.28</v>
      </c>
    </row>
    <row r="28" spans="2:54">
      <c r="B28" s="1">
        <v>-1.4082399999999999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>
        <v>79.7</v>
      </c>
      <c r="AZ28" s="1">
        <v>75.430000000000007</v>
      </c>
      <c r="BA28" s="1">
        <v>46.28</v>
      </c>
      <c r="BB28" s="1">
        <v>64.62</v>
      </c>
    </row>
    <row r="29" spans="2:54">
      <c r="B29" s="1">
        <v>-1.7092700000000001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>
        <v>92.84</v>
      </c>
      <c r="AZ29" s="1">
        <v>86.4</v>
      </c>
      <c r="BA29" s="1">
        <v>93.87</v>
      </c>
      <c r="BB29" s="1">
        <v>57.91</v>
      </c>
    </row>
    <row r="37" spans="2:50">
      <c r="B37" s="2" t="s">
        <v>62</v>
      </c>
      <c r="C37" s="39" t="s">
        <v>76</v>
      </c>
      <c r="D37" s="39"/>
      <c r="E37" s="39"/>
      <c r="F37" s="39"/>
      <c r="G37" s="39" t="s">
        <v>77</v>
      </c>
      <c r="H37" s="39"/>
      <c r="I37" s="39"/>
      <c r="J37" s="39"/>
      <c r="K37" s="39" t="s">
        <v>78</v>
      </c>
      <c r="L37" s="39"/>
      <c r="M37" s="39"/>
      <c r="N37" s="39"/>
      <c r="O37" s="39" t="s">
        <v>79</v>
      </c>
      <c r="P37" s="39"/>
      <c r="Q37" s="39"/>
      <c r="R37" s="39"/>
      <c r="S37" s="39" t="s">
        <v>80</v>
      </c>
      <c r="T37" s="39"/>
      <c r="U37" s="39"/>
      <c r="V37" s="39"/>
      <c r="W37" s="39" t="s">
        <v>81</v>
      </c>
      <c r="X37" s="39"/>
      <c r="Y37" s="39"/>
      <c r="Z37" s="39"/>
      <c r="AA37" s="39" t="s">
        <v>82</v>
      </c>
      <c r="AB37" s="39"/>
      <c r="AC37" s="39"/>
      <c r="AD37" s="39"/>
      <c r="AE37" s="39" t="s">
        <v>83</v>
      </c>
      <c r="AF37" s="39"/>
      <c r="AG37" s="39"/>
      <c r="AH37" s="39"/>
      <c r="AI37" s="39" t="s">
        <v>84</v>
      </c>
      <c r="AJ37" s="39"/>
      <c r="AK37" s="39"/>
      <c r="AL37" s="39"/>
      <c r="AM37" s="39" t="s">
        <v>85</v>
      </c>
      <c r="AN37" s="39"/>
      <c r="AO37" s="39"/>
      <c r="AP37" s="39"/>
      <c r="AQ37" s="39" t="s">
        <v>86</v>
      </c>
      <c r="AR37" s="39"/>
      <c r="AS37" s="39"/>
      <c r="AT37" s="39"/>
      <c r="AU37" s="39" t="s">
        <v>87</v>
      </c>
      <c r="AV37" s="39"/>
      <c r="AW37" s="39"/>
      <c r="AX37" s="39"/>
    </row>
    <row r="38" spans="2:50">
      <c r="B38" s="1">
        <v>2.3010299999999999</v>
      </c>
      <c r="C38" s="1">
        <v>10.32</v>
      </c>
      <c r="D38" s="1">
        <v>24.35</v>
      </c>
      <c r="E38" s="1">
        <v>23.21</v>
      </c>
      <c r="F38" s="1">
        <v>10.86</v>
      </c>
      <c r="G38" s="1">
        <v>-0.25</v>
      </c>
      <c r="H38" s="1">
        <v>6.01</v>
      </c>
      <c r="I38" s="1">
        <v>1.82</v>
      </c>
      <c r="J38" s="1">
        <v>3.97</v>
      </c>
      <c r="K38" s="1">
        <v>-1.57</v>
      </c>
      <c r="L38" s="1">
        <v>1.1499999999999999</v>
      </c>
      <c r="M38" s="1">
        <v>-1.1299999999999999</v>
      </c>
      <c r="N38" s="1">
        <v>-2.77</v>
      </c>
      <c r="O38" s="1"/>
      <c r="P38" s="1"/>
      <c r="Q38" s="1"/>
      <c r="R38" s="1"/>
      <c r="S38" s="1">
        <v>8.3000000000000007</v>
      </c>
      <c r="T38" s="1">
        <v>4.58</v>
      </c>
      <c r="U38" s="1">
        <v>10.210000000000001</v>
      </c>
      <c r="V38" s="1">
        <v>7.8</v>
      </c>
      <c r="W38" s="1"/>
      <c r="X38" s="1"/>
      <c r="Y38" s="1"/>
      <c r="Z38" s="1"/>
      <c r="AA38" s="1">
        <v>-1.28</v>
      </c>
      <c r="AB38" s="1">
        <v>3.81</v>
      </c>
      <c r="AC38" s="1">
        <v>0.43</v>
      </c>
      <c r="AD38" s="1">
        <v>1.1000000000000001</v>
      </c>
      <c r="AE38" s="1"/>
      <c r="AF38" s="1"/>
      <c r="AG38" s="1"/>
      <c r="AH38" s="1"/>
      <c r="AI38" s="1">
        <v>14.93</v>
      </c>
      <c r="AJ38" s="1">
        <v>18.309999999999999</v>
      </c>
      <c r="AK38" s="1">
        <v>16.18</v>
      </c>
      <c r="AL38" s="1">
        <v>7.7</v>
      </c>
      <c r="AM38" s="1"/>
      <c r="AN38" s="1"/>
      <c r="AO38" s="1"/>
      <c r="AP38" s="1"/>
      <c r="AQ38" s="1">
        <v>0.21</v>
      </c>
      <c r="AR38" s="1">
        <v>6.9</v>
      </c>
      <c r="AS38" s="1">
        <v>6.55</v>
      </c>
      <c r="AT38" s="1">
        <v>4.3499999999999996</v>
      </c>
      <c r="AU38" s="1"/>
      <c r="AV38" s="1"/>
      <c r="AW38" s="1"/>
      <c r="AX38" s="1"/>
    </row>
    <row r="39" spans="2:50">
      <c r="B39" s="1">
        <v>2</v>
      </c>
      <c r="C39" s="1">
        <v>29.34</v>
      </c>
      <c r="D39" s="1">
        <v>43.85</v>
      </c>
      <c r="E39" s="1">
        <v>35.43</v>
      </c>
      <c r="F39" s="1">
        <v>15.61</v>
      </c>
      <c r="G39" s="1">
        <v>12</v>
      </c>
      <c r="H39" s="1">
        <v>8.1</v>
      </c>
      <c r="I39" s="1">
        <v>3.18</v>
      </c>
      <c r="J39" s="1">
        <v>6.96</v>
      </c>
      <c r="K39" s="1">
        <v>-1.59</v>
      </c>
      <c r="L39" s="1">
        <v>-1.74</v>
      </c>
      <c r="M39" s="1">
        <v>-3.81</v>
      </c>
      <c r="N39" s="1">
        <v>0.54</v>
      </c>
      <c r="O39" s="1">
        <v>-1.57</v>
      </c>
      <c r="P39" s="1">
        <v>1.1499999999999999</v>
      </c>
      <c r="Q39" s="1">
        <v>-1.1299999999999999</v>
      </c>
      <c r="R39" s="1">
        <v>-2.77</v>
      </c>
      <c r="S39" s="1">
        <v>10.51</v>
      </c>
      <c r="T39" s="1">
        <v>21.51</v>
      </c>
      <c r="U39" s="1">
        <v>16.559999999999999</v>
      </c>
      <c r="V39" s="1">
        <v>9.64</v>
      </c>
      <c r="W39" s="1"/>
      <c r="X39" s="1"/>
      <c r="Y39" s="1"/>
      <c r="Z39" s="1"/>
      <c r="AA39" s="1">
        <v>-0.4</v>
      </c>
      <c r="AB39" s="1">
        <v>2.2400000000000002</v>
      </c>
      <c r="AC39" s="1">
        <v>-3.18</v>
      </c>
      <c r="AD39" s="1">
        <v>0.61</v>
      </c>
      <c r="AE39" s="1"/>
      <c r="AF39" s="1"/>
      <c r="AG39" s="1"/>
      <c r="AH39" s="1"/>
      <c r="AI39" s="1">
        <v>54.96</v>
      </c>
      <c r="AJ39" s="1">
        <v>23.9</v>
      </c>
      <c r="AK39" s="1">
        <v>27.79</v>
      </c>
      <c r="AL39" s="1">
        <v>20.43</v>
      </c>
      <c r="AM39" s="1"/>
      <c r="AN39" s="1"/>
      <c r="AO39" s="1"/>
      <c r="AP39" s="1"/>
      <c r="AQ39" s="1">
        <v>13.19</v>
      </c>
      <c r="AR39" s="1">
        <v>18.559999999999999</v>
      </c>
      <c r="AS39" s="1">
        <v>17.649999999999999</v>
      </c>
      <c r="AT39" s="1">
        <v>18.399999999999999</v>
      </c>
      <c r="AU39" s="1"/>
      <c r="AV39" s="1"/>
      <c r="AW39" s="1"/>
      <c r="AX39" s="1"/>
    </row>
    <row r="40" spans="2:50">
      <c r="B40" s="1">
        <v>1.6989700000000001</v>
      </c>
      <c r="C40" s="1">
        <v>36.729999999999997</v>
      </c>
      <c r="D40" s="1">
        <v>62.49</v>
      </c>
      <c r="E40" s="1">
        <v>38.659999999999997</v>
      </c>
      <c r="F40" s="1">
        <v>21.2</v>
      </c>
      <c r="G40" s="1">
        <v>33</v>
      </c>
      <c r="H40" s="1">
        <v>24.5</v>
      </c>
      <c r="I40" s="1">
        <v>15.42</v>
      </c>
      <c r="J40" s="1">
        <v>16.68</v>
      </c>
      <c r="K40" s="1">
        <v>-2.93</v>
      </c>
      <c r="L40" s="1">
        <v>-1.76</v>
      </c>
      <c r="M40" s="1">
        <v>-1.78</v>
      </c>
      <c r="N40" s="1">
        <v>-1.22</v>
      </c>
      <c r="O40" s="1">
        <v>-1.59</v>
      </c>
      <c r="P40" s="1">
        <v>-1.74</v>
      </c>
      <c r="Q40" s="1">
        <v>-3.81</v>
      </c>
      <c r="R40" s="1">
        <v>0.54</v>
      </c>
      <c r="S40" s="1">
        <v>22.63</v>
      </c>
      <c r="T40" s="1">
        <v>32.39</v>
      </c>
      <c r="U40" s="1">
        <v>17.7</v>
      </c>
      <c r="V40" s="1">
        <v>9.43</v>
      </c>
      <c r="W40" s="1">
        <v>8.3000000000000007</v>
      </c>
      <c r="X40" s="1">
        <v>4.58</v>
      </c>
      <c r="Y40" s="1">
        <v>10.210000000000001</v>
      </c>
      <c r="Z40" s="1">
        <v>7.8</v>
      </c>
      <c r="AA40" s="1">
        <v>12.09</v>
      </c>
      <c r="AB40" s="1">
        <v>11.77</v>
      </c>
      <c r="AC40" s="1">
        <v>12.69</v>
      </c>
      <c r="AD40" s="1">
        <v>11.95</v>
      </c>
      <c r="AE40" s="1"/>
      <c r="AF40" s="1"/>
      <c r="AG40" s="1"/>
      <c r="AH40" s="1"/>
      <c r="AI40" s="1">
        <v>58.85</v>
      </c>
      <c r="AJ40" s="1">
        <v>36.65</v>
      </c>
      <c r="AK40" s="1">
        <v>36.35</v>
      </c>
      <c r="AL40" s="1">
        <v>37.979999999999997</v>
      </c>
      <c r="AM40" s="1"/>
      <c r="AN40" s="1"/>
      <c r="AO40" s="1"/>
      <c r="AP40" s="1"/>
      <c r="AQ40" s="1">
        <v>25.58</v>
      </c>
      <c r="AR40" s="1">
        <v>25.6</v>
      </c>
      <c r="AS40" s="1">
        <v>29.49</v>
      </c>
      <c r="AT40" s="1">
        <v>26.99</v>
      </c>
      <c r="AU40" s="1"/>
      <c r="AV40" s="1"/>
      <c r="AW40" s="1"/>
      <c r="AX40" s="1"/>
    </row>
    <row r="41" spans="2:50">
      <c r="B41" s="1">
        <v>1.39794</v>
      </c>
      <c r="C41" s="1">
        <v>64.03</v>
      </c>
      <c r="D41" s="1">
        <v>64.28</v>
      </c>
      <c r="E41" s="1">
        <v>55.9</v>
      </c>
      <c r="F41" s="1">
        <v>50.55</v>
      </c>
      <c r="G41" s="1">
        <v>58.64</v>
      </c>
      <c r="H41" s="1">
        <v>30.09</v>
      </c>
      <c r="I41" s="1">
        <v>21.82</v>
      </c>
      <c r="J41" s="1">
        <v>26</v>
      </c>
      <c r="K41" s="1">
        <v>1.92</v>
      </c>
      <c r="L41" s="1">
        <v>-1.82</v>
      </c>
      <c r="M41" s="1">
        <v>-1.49</v>
      </c>
      <c r="N41" s="1">
        <v>3.33</v>
      </c>
      <c r="O41" s="1">
        <v>-2.93</v>
      </c>
      <c r="P41" s="1">
        <v>-1.76</v>
      </c>
      <c r="Q41" s="1">
        <v>-1.78</v>
      </c>
      <c r="R41" s="1">
        <v>-1.22</v>
      </c>
      <c r="S41" s="1">
        <v>30.92</v>
      </c>
      <c r="T41" s="1">
        <v>56.54</v>
      </c>
      <c r="U41" s="1">
        <v>24</v>
      </c>
      <c r="V41" s="1">
        <v>5.65</v>
      </c>
      <c r="W41" s="1">
        <v>10.51</v>
      </c>
      <c r="X41" s="1">
        <v>21.51</v>
      </c>
      <c r="Y41" s="1">
        <v>16.559999999999999</v>
      </c>
      <c r="Z41" s="1">
        <v>9.64</v>
      </c>
      <c r="AA41" s="1">
        <v>25.2</v>
      </c>
      <c r="AB41" s="1">
        <v>26.18</v>
      </c>
      <c r="AC41" s="1">
        <v>22.24</v>
      </c>
      <c r="AD41" s="1">
        <v>22.26</v>
      </c>
      <c r="AE41" s="1">
        <v>-1.28</v>
      </c>
      <c r="AF41" s="1">
        <v>3.81</v>
      </c>
      <c r="AG41" s="1">
        <v>0.43</v>
      </c>
      <c r="AH41" s="1">
        <v>1.1000000000000001</v>
      </c>
      <c r="AI41" s="1">
        <v>64.94</v>
      </c>
      <c r="AJ41" s="1">
        <v>47.02</v>
      </c>
      <c r="AK41" s="1">
        <v>39.69</v>
      </c>
      <c r="AL41" s="1">
        <v>39.47</v>
      </c>
      <c r="AM41" s="1"/>
      <c r="AN41" s="1"/>
      <c r="AO41" s="1"/>
      <c r="AP41" s="1"/>
      <c r="AQ41" s="1">
        <v>33.68</v>
      </c>
      <c r="AR41" s="1">
        <v>36.51</v>
      </c>
      <c r="AS41" s="1">
        <v>30.33</v>
      </c>
      <c r="AT41" s="1">
        <v>29.19</v>
      </c>
      <c r="AU41" s="1"/>
      <c r="AV41" s="1"/>
      <c r="AW41" s="1"/>
      <c r="AX41" s="1"/>
    </row>
    <row r="42" spans="2:50">
      <c r="B42" s="1">
        <v>1.0969100000000001</v>
      </c>
      <c r="C42" s="1">
        <v>74.03</v>
      </c>
      <c r="D42" s="1">
        <v>70.28</v>
      </c>
      <c r="E42" s="1">
        <v>60.9</v>
      </c>
      <c r="F42" s="1">
        <v>60.55</v>
      </c>
      <c r="G42" s="1">
        <v>63.74</v>
      </c>
      <c r="H42" s="1">
        <v>38.35</v>
      </c>
      <c r="I42" s="1">
        <v>26.96</v>
      </c>
      <c r="J42" s="1">
        <v>36</v>
      </c>
      <c r="K42" s="1">
        <v>-3.01</v>
      </c>
      <c r="L42" s="1">
        <v>0.59</v>
      </c>
      <c r="M42" s="1">
        <v>-2.4900000000000002</v>
      </c>
      <c r="N42" s="1">
        <v>-1.46</v>
      </c>
      <c r="O42" s="1">
        <v>1.92</v>
      </c>
      <c r="P42" s="1">
        <v>-1.82</v>
      </c>
      <c r="Q42" s="1">
        <v>-1.49</v>
      </c>
      <c r="R42" s="1">
        <v>3.33</v>
      </c>
      <c r="S42" s="1">
        <v>40.270000000000003</v>
      </c>
      <c r="T42" s="1">
        <v>51.41</v>
      </c>
      <c r="U42" s="1">
        <v>46</v>
      </c>
      <c r="V42" s="1">
        <v>31</v>
      </c>
      <c r="W42" s="1">
        <v>22.63</v>
      </c>
      <c r="X42" s="1">
        <v>32.39</v>
      </c>
      <c r="Y42" s="1">
        <v>17.7</v>
      </c>
      <c r="Z42" s="1">
        <v>9.43</v>
      </c>
      <c r="AA42" s="1">
        <v>44.1</v>
      </c>
      <c r="AB42" s="1">
        <v>36.409999999999997</v>
      </c>
      <c r="AC42" s="1">
        <v>30.77</v>
      </c>
      <c r="AD42" s="1">
        <v>31.59</v>
      </c>
      <c r="AE42" s="1">
        <v>-0.4</v>
      </c>
      <c r="AF42" s="1">
        <v>2.2400000000000002</v>
      </c>
      <c r="AG42" s="1">
        <v>-3.18</v>
      </c>
      <c r="AH42" s="1">
        <v>0.61</v>
      </c>
      <c r="AI42" s="1">
        <v>71.05</v>
      </c>
      <c r="AJ42" s="1">
        <v>45.44</v>
      </c>
      <c r="AK42" s="1">
        <v>47.77</v>
      </c>
      <c r="AL42" s="1">
        <v>41.22</v>
      </c>
      <c r="AM42" s="1">
        <v>14.93</v>
      </c>
      <c r="AN42" s="1">
        <v>18.309999999999999</v>
      </c>
      <c r="AO42" s="1">
        <v>16.18</v>
      </c>
      <c r="AP42" s="1">
        <v>7.7</v>
      </c>
      <c r="AQ42" s="1">
        <v>37.54</v>
      </c>
      <c r="AR42" s="1">
        <v>49.61</v>
      </c>
      <c r="AS42" s="1">
        <v>42.35</v>
      </c>
      <c r="AT42" s="1">
        <v>41.21</v>
      </c>
      <c r="AU42" s="1"/>
      <c r="AV42" s="1"/>
      <c r="AW42" s="1"/>
      <c r="AX42" s="1"/>
    </row>
    <row r="43" spans="2:50">
      <c r="B43" s="1">
        <v>0.79588000000000003</v>
      </c>
      <c r="C43" s="1">
        <v>75.95</v>
      </c>
      <c r="D43" s="1">
        <v>76.23</v>
      </c>
      <c r="E43" s="1">
        <v>72.13</v>
      </c>
      <c r="F43" s="1">
        <v>61.91</v>
      </c>
      <c r="G43" s="1">
        <v>64.39</v>
      </c>
      <c r="H43" s="1">
        <v>42.63</v>
      </c>
      <c r="I43" s="1">
        <v>29.5</v>
      </c>
      <c r="J43" s="1">
        <v>45.48</v>
      </c>
      <c r="K43" s="1">
        <v>7.56</v>
      </c>
      <c r="L43" s="1">
        <v>10</v>
      </c>
      <c r="M43" s="1">
        <v>-4.78</v>
      </c>
      <c r="N43" s="1">
        <v>-1.85</v>
      </c>
      <c r="O43" s="1">
        <v>-3.01</v>
      </c>
      <c r="P43" s="1">
        <v>0.59</v>
      </c>
      <c r="Q43" s="1">
        <v>-2.4900000000000002</v>
      </c>
      <c r="R43" s="1">
        <v>-1.46</v>
      </c>
      <c r="S43" s="1">
        <v>47.92</v>
      </c>
      <c r="T43" s="1">
        <v>67.44</v>
      </c>
      <c r="U43" s="1">
        <v>38</v>
      </c>
      <c r="V43" s="1">
        <v>38.4</v>
      </c>
      <c r="W43" s="1">
        <v>30.92</v>
      </c>
      <c r="X43" s="1">
        <v>56.54</v>
      </c>
      <c r="Y43" s="1">
        <v>24</v>
      </c>
      <c r="Z43" s="1">
        <v>5.65</v>
      </c>
      <c r="AA43" s="1">
        <v>66.77</v>
      </c>
      <c r="AB43" s="1">
        <v>61.31</v>
      </c>
      <c r="AC43" s="1">
        <v>51.5</v>
      </c>
      <c r="AD43" s="1">
        <v>51.32</v>
      </c>
      <c r="AE43" s="1">
        <v>12.09</v>
      </c>
      <c r="AF43" s="1">
        <v>11.77</v>
      </c>
      <c r="AG43" s="1">
        <v>12.69</v>
      </c>
      <c r="AH43" s="1">
        <v>11.95</v>
      </c>
      <c r="AI43" s="1">
        <v>81.180000000000007</v>
      </c>
      <c r="AJ43" s="1">
        <v>57.46</v>
      </c>
      <c r="AK43" s="1">
        <v>55.13</v>
      </c>
      <c r="AL43" s="1">
        <v>48.08</v>
      </c>
      <c r="AM43" s="1">
        <v>54.96</v>
      </c>
      <c r="AN43" s="1">
        <v>23.9</v>
      </c>
      <c r="AO43" s="1">
        <v>27.79</v>
      </c>
      <c r="AP43" s="1">
        <v>20.43</v>
      </c>
      <c r="AQ43" s="1">
        <v>39.979999999999997</v>
      </c>
      <c r="AR43" s="1">
        <v>50.83</v>
      </c>
      <c r="AS43" s="1">
        <v>54.63</v>
      </c>
      <c r="AT43" s="1">
        <v>47.62</v>
      </c>
      <c r="AU43" s="1"/>
      <c r="AV43" s="1"/>
      <c r="AW43" s="1"/>
      <c r="AX43" s="1"/>
    </row>
    <row r="44" spans="2:50">
      <c r="B44" s="1">
        <v>0.49485000000000001</v>
      </c>
      <c r="C44" s="1">
        <v>80.52</v>
      </c>
      <c r="D44" s="1">
        <v>87.42</v>
      </c>
      <c r="E44" s="1">
        <v>77.84</v>
      </c>
      <c r="F44" s="1">
        <v>64.55</v>
      </c>
      <c r="G44" s="1">
        <v>73.3</v>
      </c>
      <c r="H44" s="1">
        <v>66.989999999999995</v>
      </c>
      <c r="I44" s="1">
        <v>57.57</v>
      </c>
      <c r="J44" s="1">
        <v>52.69</v>
      </c>
      <c r="K44" s="1">
        <v>28</v>
      </c>
      <c r="L44" s="1">
        <v>32.42</v>
      </c>
      <c r="M44" s="1">
        <v>24.15</v>
      </c>
      <c r="N44" s="1">
        <v>20.29</v>
      </c>
      <c r="O44" s="1">
        <v>7.56</v>
      </c>
      <c r="P44" s="1">
        <v>10</v>
      </c>
      <c r="Q44" s="1">
        <v>-4.78</v>
      </c>
      <c r="R44" s="1">
        <v>-1.85</v>
      </c>
      <c r="S44" s="1">
        <v>57.12</v>
      </c>
      <c r="T44" s="1">
        <v>74.08</v>
      </c>
      <c r="U44" s="1">
        <v>54</v>
      </c>
      <c r="V44" s="1">
        <v>59.48</v>
      </c>
      <c r="W44" s="1">
        <v>40.270000000000003</v>
      </c>
      <c r="X44" s="1">
        <v>51.41</v>
      </c>
      <c r="Y44" s="1">
        <v>46</v>
      </c>
      <c r="Z44" s="1">
        <v>31</v>
      </c>
      <c r="AA44" s="1">
        <v>70.78</v>
      </c>
      <c r="AB44" s="1">
        <v>73.819999999999993</v>
      </c>
      <c r="AC44" s="1">
        <v>56.66</v>
      </c>
      <c r="AD44" s="1">
        <v>53.58</v>
      </c>
      <c r="AE44" s="1">
        <v>25.2</v>
      </c>
      <c r="AF44" s="1">
        <v>26.18</v>
      </c>
      <c r="AG44" s="1">
        <v>22.24</v>
      </c>
      <c r="AH44" s="1">
        <v>22.26</v>
      </c>
      <c r="AI44" s="1">
        <v>87.35</v>
      </c>
      <c r="AJ44" s="1">
        <v>65.75</v>
      </c>
      <c r="AK44" s="1">
        <v>67.84</v>
      </c>
      <c r="AL44" s="1">
        <v>55.69</v>
      </c>
      <c r="AM44" s="1">
        <v>58.85</v>
      </c>
      <c r="AN44" s="1">
        <v>36.65</v>
      </c>
      <c r="AO44" s="1">
        <v>36.35</v>
      </c>
      <c r="AP44" s="1">
        <v>37.979999999999997</v>
      </c>
      <c r="AQ44" s="1">
        <v>49.93</v>
      </c>
      <c r="AR44" s="1">
        <v>57.61</v>
      </c>
      <c r="AS44" s="1">
        <v>62.59</v>
      </c>
      <c r="AT44" s="1">
        <v>61.43</v>
      </c>
      <c r="AU44" s="1"/>
      <c r="AV44" s="1"/>
      <c r="AW44" s="1"/>
      <c r="AX44" s="1"/>
    </row>
    <row r="45" spans="2:50">
      <c r="B45" s="1">
        <v>0.19381999999999999</v>
      </c>
      <c r="C45" s="1">
        <v>84.12</v>
      </c>
      <c r="D45" s="1">
        <v>98.6</v>
      </c>
      <c r="E45" s="1">
        <v>95.57</v>
      </c>
      <c r="F45" s="1">
        <v>71.87</v>
      </c>
      <c r="G45" s="1">
        <v>95.59</v>
      </c>
      <c r="H45" s="1">
        <v>79.64</v>
      </c>
      <c r="I45" s="1">
        <v>58.87</v>
      </c>
      <c r="J45" s="1">
        <v>55.31</v>
      </c>
      <c r="K45" s="1">
        <v>33</v>
      </c>
      <c r="L45" s="1">
        <v>47.99</v>
      </c>
      <c r="M45" s="1">
        <v>30.02</v>
      </c>
      <c r="N45" s="1">
        <v>56.25</v>
      </c>
      <c r="O45" s="1">
        <v>28</v>
      </c>
      <c r="P45" s="1">
        <v>32.42</v>
      </c>
      <c r="Q45" s="1">
        <v>24.15</v>
      </c>
      <c r="R45" s="1">
        <v>20.29</v>
      </c>
      <c r="S45" s="1">
        <v>78.2</v>
      </c>
      <c r="T45" s="1">
        <v>88.82</v>
      </c>
      <c r="U45" s="1">
        <v>90.43</v>
      </c>
      <c r="V45" s="1">
        <v>64.77</v>
      </c>
      <c r="W45" s="1">
        <v>47.92</v>
      </c>
      <c r="X45" s="1">
        <v>67.44</v>
      </c>
      <c r="Y45" s="1">
        <v>38</v>
      </c>
      <c r="Z45" s="1">
        <v>38.4</v>
      </c>
      <c r="AA45" s="1">
        <v>78.819999999999993</v>
      </c>
      <c r="AB45" s="1">
        <v>78.680000000000007</v>
      </c>
      <c r="AC45" s="1">
        <v>63.54</v>
      </c>
      <c r="AD45" s="1">
        <v>66.959999999999994</v>
      </c>
      <c r="AE45" s="1">
        <v>44.1</v>
      </c>
      <c r="AF45" s="1">
        <v>36.409999999999997</v>
      </c>
      <c r="AG45" s="1">
        <v>30.77</v>
      </c>
      <c r="AH45" s="1">
        <v>31.59</v>
      </c>
      <c r="AI45" s="1">
        <v>95.47</v>
      </c>
      <c r="AJ45" s="1">
        <v>68.819999999999993</v>
      </c>
      <c r="AK45" s="1">
        <v>71.16</v>
      </c>
      <c r="AL45" s="1">
        <v>60.15</v>
      </c>
      <c r="AM45" s="1">
        <v>64.94</v>
      </c>
      <c r="AN45" s="1">
        <v>47.02</v>
      </c>
      <c r="AO45" s="1">
        <v>39.69</v>
      </c>
      <c r="AP45" s="1">
        <v>39.47</v>
      </c>
      <c r="AQ45" s="1">
        <v>55.7</v>
      </c>
      <c r="AR45" s="1">
        <v>67.25</v>
      </c>
      <c r="AS45" s="1">
        <v>71.180000000000007</v>
      </c>
      <c r="AT45" s="1">
        <v>70.44</v>
      </c>
      <c r="AU45" s="1"/>
      <c r="AV45" s="1"/>
      <c r="AW45" s="1"/>
      <c r="AX45" s="1"/>
    </row>
    <row r="46" spans="2:50">
      <c r="B46" s="1">
        <v>-0.10721</v>
      </c>
      <c r="C46" s="1">
        <v>88.62</v>
      </c>
      <c r="D46" s="1">
        <v>100.58</v>
      </c>
      <c r="E46" s="1">
        <v>97.61</v>
      </c>
      <c r="F46" s="1">
        <v>98.48</v>
      </c>
      <c r="G46" s="1">
        <v>94.19</v>
      </c>
      <c r="H46" s="1">
        <v>73.64</v>
      </c>
      <c r="I46" s="1">
        <v>59.36</v>
      </c>
      <c r="J46" s="1">
        <v>71.150000000000006</v>
      </c>
      <c r="K46" s="1">
        <v>88</v>
      </c>
      <c r="L46" s="1">
        <v>69.78</v>
      </c>
      <c r="M46" s="1">
        <v>45.89</v>
      </c>
      <c r="N46" s="1">
        <v>72.95</v>
      </c>
      <c r="O46" s="1">
        <v>33</v>
      </c>
      <c r="P46" s="1">
        <v>47.99</v>
      </c>
      <c r="Q46" s="1">
        <v>30.02</v>
      </c>
      <c r="R46" s="1">
        <v>56.25</v>
      </c>
      <c r="S46" s="1">
        <v>81.94</v>
      </c>
      <c r="T46" s="1">
        <v>91.95</v>
      </c>
      <c r="U46" s="1">
        <v>85.19</v>
      </c>
      <c r="V46" s="1">
        <v>75.39</v>
      </c>
      <c r="W46" s="1">
        <v>57.12</v>
      </c>
      <c r="X46" s="1">
        <v>74.08</v>
      </c>
      <c r="Y46" s="1">
        <v>54</v>
      </c>
      <c r="Z46" s="1">
        <v>59.48</v>
      </c>
      <c r="AA46" s="1">
        <v>89.42</v>
      </c>
      <c r="AB46" s="1">
        <v>80.650000000000006</v>
      </c>
      <c r="AC46" s="1">
        <v>68.650000000000006</v>
      </c>
      <c r="AD46" s="1">
        <v>73.790000000000006</v>
      </c>
      <c r="AE46" s="1">
        <v>66.77</v>
      </c>
      <c r="AF46" s="1">
        <v>61.31</v>
      </c>
      <c r="AG46" s="1">
        <v>51.5</v>
      </c>
      <c r="AH46" s="1">
        <v>51.32</v>
      </c>
      <c r="AI46" s="1">
        <v>98.93</v>
      </c>
      <c r="AJ46" s="1">
        <v>72.7</v>
      </c>
      <c r="AK46" s="1">
        <v>85.22</v>
      </c>
      <c r="AL46" s="1">
        <v>74.56</v>
      </c>
      <c r="AM46" s="1">
        <v>71.05</v>
      </c>
      <c r="AN46" s="1">
        <v>45.44</v>
      </c>
      <c r="AO46" s="1">
        <v>47.77</v>
      </c>
      <c r="AP46" s="1">
        <v>41.22</v>
      </c>
      <c r="AQ46" s="1">
        <v>59.42</v>
      </c>
      <c r="AR46" s="1">
        <v>72.94</v>
      </c>
      <c r="AS46" s="1">
        <v>83.13</v>
      </c>
      <c r="AT46" s="1">
        <v>83.01</v>
      </c>
      <c r="AU46" s="1"/>
      <c r="AV46" s="1"/>
      <c r="AW46" s="1"/>
      <c r="AX46" s="1"/>
    </row>
    <row r="47" spans="2:50">
      <c r="B47" s="1">
        <v>-0.40823999999999999</v>
      </c>
      <c r="C47" s="1">
        <v>100.71</v>
      </c>
      <c r="D47" s="1">
        <v>98.64</v>
      </c>
      <c r="E47" s="1">
        <v>98.48</v>
      </c>
      <c r="F47" s="1">
        <v>98.86</v>
      </c>
      <c r="G47" s="1">
        <v>99.95</v>
      </c>
      <c r="H47" s="1">
        <v>80.59</v>
      </c>
      <c r="I47" s="1">
        <v>73.91</v>
      </c>
      <c r="J47" s="1">
        <v>96.65</v>
      </c>
      <c r="K47" s="1">
        <v>98.55</v>
      </c>
      <c r="L47" s="1">
        <v>78.09</v>
      </c>
      <c r="M47" s="1">
        <v>56.45</v>
      </c>
      <c r="N47" s="1">
        <v>84.3</v>
      </c>
      <c r="O47" s="1">
        <v>88</v>
      </c>
      <c r="P47" s="1">
        <v>69.78</v>
      </c>
      <c r="Q47" s="1">
        <v>45.89</v>
      </c>
      <c r="R47" s="1">
        <v>72.95</v>
      </c>
      <c r="S47" s="1">
        <v>99.47</v>
      </c>
      <c r="T47" s="1">
        <v>98.74</v>
      </c>
      <c r="U47" s="1">
        <v>81.02</v>
      </c>
      <c r="V47" s="1">
        <v>89.65</v>
      </c>
      <c r="W47" s="1">
        <v>78.2</v>
      </c>
      <c r="X47" s="1">
        <v>88.82</v>
      </c>
      <c r="Y47" s="1">
        <v>90.43</v>
      </c>
      <c r="Z47" s="1">
        <v>64.77</v>
      </c>
      <c r="AA47" s="1">
        <v>100.21</v>
      </c>
      <c r="AB47" s="1">
        <v>91.42</v>
      </c>
      <c r="AC47" s="1">
        <v>78.25</v>
      </c>
      <c r="AD47" s="1">
        <v>83.8</v>
      </c>
      <c r="AE47" s="1">
        <v>70.78</v>
      </c>
      <c r="AF47" s="1">
        <v>73.819999999999993</v>
      </c>
      <c r="AG47" s="1">
        <v>56.66</v>
      </c>
      <c r="AH47" s="1">
        <v>53.58</v>
      </c>
      <c r="AI47" s="1">
        <v>99.86</v>
      </c>
      <c r="AJ47" s="1">
        <v>85.51</v>
      </c>
      <c r="AK47" s="1">
        <v>95.35</v>
      </c>
      <c r="AL47" s="1">
        <v>84.08</v>
      </c>
      <c r="AM47" s="1">
        <v>81.180000000000007</v>
      </c>
      <c r="AN47" s="1">
        <v>57.46</v>
      </c>
      <c r="AO47" s="1">
        <v>55.13</v>
      </c>
      <c r="AP47" s="1">
        <v>48.08</v>
      </c>
      <c r="AQ47" s="1">
        <v>70.09</v>
      </c>
      <c r="AR47" s="1">
        <v>79.12</v>
      </c>
      <c r="AS47" s="1">
        <v>94.21</v>
      </c>
      <c r="AT47" s="1">
        <v>86.53</v>
      </c>
      <c r="AU47" s="1"/>
      <c r="AV47" s="1"/>
      <c r="AW47" s="1"/>
      <c r="AX47" s="1"/>
    </row>
    <row r="48" spans="2:50">
      <c r="B48" s="1">
        <v>-0.70926999999999996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>
        <v>98.55</v>
      </c>
      <c r="P48" s="1">
        <v>78.09</v>
      </c>
      <c r="Q48" s="1">
        <v>56.45</v>
      </c>
      <c r="R48" s="1">
        <v>84.3</v>
      </c>
      <c r="S48" s="1"/>
      <c r="T48" s="1"/>
      <c r="U48" s="1"/>
      <c r="V48" s="1"/>
      <c r="W48" s="1">
        <v>81.94</v>
      </c>
      <c r="X48" s="1">
        <v>91.95</v>
      </c>
      <c r="Y48" s="1">
        <v>85.19</v>
      </c>
      <c r="Z48" s="1">
        <v>75.39</v>
      </c>
      <c r="AA48" s="1"/>
      <c r="AB48" s="1"/>
      <c r="AC48" s="1"/>
      <c r="AD48" s="1"/>
      <c r="AE48" s="1">
        <v>78.819999999999993</v>
      </c>
      <c r="AF48" s="1">
        <v>78.680000000000007</v>
      </c>
      <c r="AG48" s="1">
        <v>63.54</v>
      </c>
      <c r="AH48" s="1">
        <v>66.959999999999994</v>
      </c>
      <c r="AI48" s="1"/>
      <c r="AJ48" s="1"/>
      <c r="AK48" s="1"/>
      <c r="AL48" s="1"/>
      <c r="AM48" s="1">
        <v>87.35</v>
      </c>
      <c r="AN48" s="1">
        <v>65.75</v>
      </c>
      <c r="AO48" s="1">
        <v>67.84</v>
      </c>
      <c r="AP48" s="1">
        <v>55.69</v>
      </c>
      <c r="AQ48" s="1"/>
      <c r="AR48" s="1"/>
      <c r="AS48" s="1"/>
      <c r="AT48" s="1"/>
      <c r="AU48" s="1"/>
      <c r="AV48" s="1"/>
      <c r="AW48" s="1"/>
      <c r="AX48" s="1"/>
    </row>
    <row r="49" spans="2:50">
      <c r="B49" s="1">
        <v>-1.0103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>
        <v>99.47</v>
      </c>
      <c r="X49" s="1">
        <v>98.74</v>
      </c>
      <c r="Y49" s="1">
        <v>81.02</v>
      </c>
      <c r="Z49" s="1">
        <v>89.65</v>
      </c>
      <c r="AA49" s="1"/>
      <c r="AB49" s="1"/>
      <c r="AC49" s="1"/>
      <c r="AD49" s="1"/>
      <c r="AE49" s="1">
        <v>89.42</v>
      </c>
      <c r="AF49" s="1">
        <v>80.650000000000006</v>
      </c>
      <c r="AG49" s="1">
        <v>68.650000000000006</v>
      </c>
      <c r="AH49" s="1">
        <v>73.790000000000006</v>
      </c>
      <c r="AI49" s="1"/>
      <c r="AJ49" s="1"/>
      <c r="AK49" s="1"/>
      <c r="AL49" s="1"/>
      <c r="AM49" s="1">
        <v>95.47</v>
      </c>
      <c r="AN49" s="1">
        <v>68.819999999999993</v>
      </c>
      <c r="AO49" s="1">
        <v>71.16</v>
      </c>
      <c r="AP49" s="1">
        <v>60.15</v>
      </c>
      <c r="AQ49" s="1"/>
      <c r="AR49" s="1"/>
      <c r="AS49" s="1"/>
      <c r="AT49" s="1"/>
      <c r="AU49" s="1"/>
      <c r="AV49" s="1"/>
      <c r="AW49" s="1"/>
      <c r="AX49" s="1"/>
    </row>
    <row r="50" spans="2:50">
      <c r="B50" s="1">
        <v>-1.3113300000000001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>
        <v>100.21</v>
      </c>
      <c r="AF50" s="1">
        <v>91.42</v>
      </c>
      <c r="AG50" s="1">
        <v>78.25</v>
      </c>
      <c r="AH50" s="1">
        <v>83.8</v>
      </c>
      <c r="AI50" s="1"/>
      <c r="AJ50" s="1"/>
      <c r="AK50" s="1"/>
      <c r="AL50" s="1"/>
      <c r="AM50" s="1">
        <v>98.93</v>
      </c>
      <c r="AN50" s="1">
        <v>72.7</v>
      </c>
      <c r="AO50" s="1">
        <v>85.22</v>
      </c>
      <c r="AP50" s="1">
        <v>74.56</v>
      </c>
      <c r="AQ50" s="1"/>
      <c r="AR50" s="1"/>
      <c r="AS50" s="1"/>
      <c r="AT50" s="1"/>
      <c r="AU50" s="1"/>
      <c r="AV50" s="1"/>
      <c r="AW50" s="1"/>
      <c r="AX50" s="1"/>
    </row>
    <row r="51" spans="2:50">
      <c r="B51" s="1">
        <v>-1.61236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>
        <v>99.86</v>
      </c>
      <c r="AN51" s="1">
        <v>85.51</v>
      </c>
      <c r="AO51" s="1">
        <v>95.35</v>
      </c>
      <c r="AP51" s="1">
        <v>84.08</v>
      </c>
      <c r="AQ51" s="1"/>
      <c r="AR51" s="1"/>
      <c r="AS51" s="1"/>
      <c r="AT51" s="1"/>
      <c r="AU51" s="1"/>
      <c r="AV51" s="1"/>
      <c r="AW51" s="1"/>
      <c r="AX51" s="1"/>
    </row>
    <row r="52" spans="2:50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2:50">
      <c r="B53" s="1">
        <v>1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>
        <v>0.21</v>
      </c>
      <c r="AV53" s="1">
        <v>6.9</v>
      </c>
      <c r="AW53" s="1">
        <v>6.55</v>
      </c>
      <c r="AX53" s="1">
        <v>4.3499999999999996</v>
      </c>
    </row>
    <row r="54" spans="2:50">
      <c r="B54" s="1">
        <v>0.69896999999999998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>
        <v>13.19</v>
      </c>
      <c r="AV54" s="1">
        <v>18.559999999999999</v>
      </c>
      <c r="AW54" s="1">
        <v>17.649999999999999</v>
      </c>
      <c r="AX54" s="1">
        <v>18.399999999999999</v>
      </c>
    </row>
    <row r="55" spans="2:50">
      <c r="B55" s="1">
        <v>0.39794000000000002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>
        <v>25.58</v>
      </c>
      <c r="AV55" s="1">
        <v>25.6</v>
      </c>
      <c r="AW55" s="1">
        <v>29.49</v>
      </c>
      <c r="AX55" s="1">
        <v>26.99</v>
      </c>
    </row>
    <row r="56" spans="2:50">
      <c r="B56" s="1">
        <v>9.6909999999999996E-2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>
        <v>33.68</v>
      </c>
      <c r="AV56" s="1">
        <v>36.51</v>
      </c>
      <c r="AW56" s="1">
        <v>30.33</v>
      </c>
      <c r="AX56" s="1">
        <v>29.19</v>
      </c>
    </row>
    <row r="57" spans="2:50">
      <c r="B57" s="1">
        <v>-0.20412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>
        <v>37.54</v>
      </c>
      <c r="AV57" s="1">
        <v>49.61</v>
      </c>
      <c r="AW57" s="1">
        <v>42.35</v>
      </c>
      <c r="AX57" s="1">
        <v>41.21</v>
      </c>
    </row>
    <row r="58" spans="2:50">
      <c r="B58" s="1">
        <v>-0.50514999999999999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>
        <v>39.979999999999997</v>
      </c>
      <c r="AV58" s="1">
        <v>50.83</v>
      </c>
      <c r="AW58" s="1">
        <v>54.63</v>
      </c>
      <c r="AX58" s="1">
        <v>47.62</v>
      </c>
    </row>
    <row r="59" spans="2:50">
      <c r="B59" s="1">
        <v>-0.80618000000000001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>
        <v>49.93</v>
      </c>
      <c r="AV59" s="1">
        <v>57.61</v>
      </c>
      <c r="AW59" s="1">
        <v>62.59</v>
      </c>
      <c r="AX59" s="1">
        <v>61.43</v>
      </c>
    </row>
    <row r="60" spans="2:50">
      <c r="B60" s="1">
        <v>-1.10721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>
        <v>55.7</v>
      </c>
      <c r="AV60" s="1">
        <v>67.25</v>
      </c>
      <c r="AW60" s="1">
        <v>71.180000000000007</v>
      </c>
      <c r="AX60" s="1">
        <v>70.44</v>
      </c>
    </row>
    <row r="61" spans="2:50">
      <c r="B61" s="1">
        <v>-1.4082399999999999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>
        <v>59.42</v>
      </c>
      <c r="AV61" s="1">
        <v>72.94</v>
      </c>
      <c r="AW61" s="1">
        <v>83.13</v>
      </c>
      <c r="AX61" s="1">
        <v>83.01</v>
      </c>
    </row>
    <row r="62" spans="2:50">
      <c r="B62" s="1">
        <v>-1.7092700000000001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>
        <v>70.09</v>
      </c>
      <c r="AV62" s="1">
        <v>79.12</v>
      </c>
      <c r="AW62" s="1">
        <v>94.21</v>
      </c>
      <c r="AX62" s="1">
        <v>86.53</v>
      </c>
    </row>
  </sheetData>
  <mergeCells count="25">
    <mergeCell ref="AM4:AP4"/>
    <mergeCell ref="AQ4:AT4"/>
    <mergeCell ref="AU4:AX4"/>
    <mergeCell ref="C4:F4"/>
    <mergeCell ref="G4:J4"/>
    <mergeCell ref="K4:N4"/>
    <mergeCell ref="O4:R4"/>
    <mergeCell ref="S4:V4"/>
    <mergeCell ref="W4:Z4"/>
    <mergeCell ref="AM37:AP37"/>
    <mergeCell ref="AQ37:AT37"/>
    <mergeCell ref="AU37:AX37"/>
    <mergeCell ref="AY4:BB4"/>
    <mergeCell ref="C37:F37"/>
    <mergeCell ref="G37:J37"/>
    <mergeCell ref="K37:N37"/>
    <mergeCell ref="O37:R37"/>
    <mergeCell ref="S37:V37"/>
    <mergeCell ref="W37:Z37"/>
    <mergeCell ref="AA37:AD37"/>
    <mergeCell ref="AE37:AH37"/>
    <mergeCell ref="AI37:AL37"/>
    <mergeCell ref="AA4:AD4"/>
    <mergeCell ref="AE4:AH4"/>
    <mergeCell ref="AI4:AL4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5F49-DD93-4F7E-92CA-E1A27A4EECCA}">
  <dimension ref="D4:G73"/>
  <sheetViews>
    <sheetView topLeftCell="A46" workbookViewId="0">
      <selection activeCell="H12" sqref="H12"/>
    </sheetView>
  </sheetViews>
  <sheetFormatPr defaultRowHeight="14.4"/>
  <cols>
    <col min="4" max="4" width="13.15625" customWidth="1"/>
    <col min="5" max="6" width="32.1015625" customWidth="1"/>
    <col min="7" max="7" width="29.5234375" customWidth="1"/>
  </cols>
  <sheetData>
    <row r="4" spans="4:7">
      <c r="D4" s="2" t="s">
        <v>50</v>
      </c>
      <c r="E4" s="2" t="s">
        <v>258</v>
      </c>
      <c r="F4" s="2" t="s">
        <v>88</v>
      </c>
      <c r="G4" s="2" t="s">
        <v>259</v>
      </c>
    </row>
    <row r="5" spans="4:7">
      <c r="D5" s="1">
        <v>0.4</v>
      </c>
      <c r="E5" s="1">
        <v>0</v>
      </c>
      <c r="F5" s="1">
        <v>0</v>
      </c>
      <c r="G5" s="1">
        <v>0</v>
      </c>
    </row>
    <row r="6" spans="4:7">
      <c r="D6" s="1">
        <v>0.46300000000000002</v>
      </c>
      <c r="E6" s="1">
        <v>0</v>
      </c>
      <c r="F6" s="1">
        <v>0</v>
      </c>
      <c r="G6" s="1">
        <v>0</v>
      </c>
    </row>
    <row r="7" spans="4:7">
      <c r="D7" s="1">
        <v>0.53600000000000003</v>
      </c>
      <c r="E7" s="1">
        <v>0</v>
      </c>
      <c r="F7" s="1">
        <v>0</v>
      </c>
      <c r="G7" s="1">
        <v>0</v>
      </c>
    </row>
    <row r="8" spans="4:7">
      <c r="D8" s="1">
        <v>0.621</v>
      </c>
      <c r="E8" s="1">
        <v>0</v>
      </c>
      <c r="F8" s="1">
        <v>0</v>
      </c>
      <c r="G8" s="1">
        <v>0</v>
      </c>
    </row>
    <row r="9" spans="4:7">
      <c r="D9" s="1">
        <v>0.71899999999999997</v>
      </c>
      <c r="E9" s="1">
        <v>0</v>
      </c>
      <c r="F9" s="1">
        <v>0</v>
      </c>
      <c r="G9" s="1">
        <v>0</v>
      </c>
    </row>
    <row r="10" spans="4:7">
      <c r="D10" s="1">
        <v>0.83299999999999996</v>
      </c>
      <c r="E10" s="1">
        <v>0</v>
      </c>
      <c r="F10" s="1">
        <v>0</v>
      </c>
      <c r="G10" s="1">
        <v>0</v>
      </c>
    </row>
    <row r="11" spans="4:7">
      <c r="D11" s="1">
        <v>0.96499999999999997</v>
      </c>
      <c r="E11" s="1">
        <v>0</v>
      </c>
      <c r="F11" s="1">
        <v>0</v>
      </c>
      <c r="G11" s="1">
        <v>0</v>
      </c>
    </row>
    <row r="12" spans="4:7">
      <c r="D12" s="1">
        <v>1.1200000000000001</v>
      </c>
      <c r="E12" s="1">
        <v>0</v>
      </c>
      <c r="F12" s="1">
        <v>0</v>
      </c>
      <c r="G12" s="1">
        <v>0</v>
      </c>
    </row>
    <row r="13" spans="4:7">
      <c r="D13" s="1">
        <v>1.29</v>
      </c>
      <c r="E13" s="1">
        <v>0</v>
      </c>
      <c r="F13" s="1">
        <v>0</v>
      </c>
      <c r="G13" s="1">
        <v>0</v>
      </c>
    </row>
    <row r="14" spans="4:7">
      <c r="D14" s="1">
        <v>1.5</v>
      </c>
      <c r="E14" s="1">
        <v>0</v>
      </c>
      <c r="F14" s="1">
        <v>0</v>
      </c>
      <c r="G14" s="1">
        <v>0</v>
      </c>
    </row>
    <row r="15" spans="4:7">
      <c r="D15" s="1">
        <v>1.74</v>
      </c>
      <c r="E15" s="1">
        <v>0</v>
      </c>
      <c r="F15" s="1">
        <v>0</v>
      </c>
      <c r="G15" s="1">
        <v>0</v>
      </c>
    </row>
    <row r="16" spans="4:7">
      <c r="D16" s="1">
        <v>2.0099999999999998</v>
      </c>
      <c r="E16" s="1">
        <v>0</v>
      </c>
      <c r="F16" s="1">
        <v>0</v>
      </c>
      <c r="G16" s="1">
        <v>0</v>
      </c>
    </row>
    <row r="17" spans="4:7">
      <c r="D17" s="1">
        <v>2.33</v>
      </c>
      <c r="E17" s="1">
        <v>0</v>
      </c>
      <c r="F17" s="1">
        <v>0</v>
      </c>
      <c r="G17" s="1">
        <v>0</v>
      </c>
    </row>
    <row r="18" spans="4:7">
      <c r="D18" s="1">
        <v>2.7</v>
      </c>
      <c r="E18" s="1">
        <v>0</v>
      </c>
      <c r="F18" s="1">
        <v>0</v>
      </c>
      <c r="G18" s="1">
        <v>0</v>
      </c>
    </row>
    <row r="19" spans="4:7">
      <c r="D19" s="1">
        <v>3.12</v>
      </c>
      <c r="E19" s="1">
        <v>0</v>
      </c>
      <c r="F19" s="1">
        <v>0</v>
      </c>
      <c r="G19" s="1">
        <v>0</v>
      </c>
    </row>
    <row r="20" spans="4:7">
      <c r="D20" s="1">
        <v>3.62</v>
      </c>
      <c r="E20" s="1">
        <v>0</v>
      </c>
      <c r="F20" s="1">
        <v>0</v>
      </c>
      <c r="G20" s="1">
        <v>0</v>
      </c>
    </row>
    <row r="21" spans="4:7">
      <c r="D21" s="1">
        <v>4.1900000000000004</v>
      </c>
      <c r="E21" s="1">
        <v>0</v>
      </c>
      <c r="F21" s="1">
        <v>0</v>
      </c>
      <c r="G21" s="1">
        <v>0</v>
      </c>
    </row>
    <row r="22" spans="4:7">
      <c r="D22" s="1">
        <v>4.8499999999999996</v>
      </c>
      <c r="E22" s="1">
        <v>0</v>
      </c>
      <c r="F22" s="1">
        <v>0</v>
      </c>
      <c r="G22" s="1">
        <v>0</v>
      </c>
    </row>
    <row r="23" spans="4:7">
      <c r="D23" s="1">
        <v>5.61</v>
      </c>
      <c r="E23" s="1">
        <v>0</v>
      </c>
      <c r="F23" s="1">
        <v>0</v>
      </c>
      <c r="G23" s="1">
        <v>0</v>
      </c>
    </row>
    <row r="24" spans="4:7">
      <c r="D24" s="1">
        <v>6.5</v>
      </c>
      <c r="E24" s="1">
        <v>0</v>
      </c>
      <c r="F24" s="1">
        <v>0</v>
      </c>
      <c r="G24" s="1">
        <v>0</v>
      </c>
    </row>
    <row r="25" spans="4:7">
      <c r="D25" s="1">
        <v>7.53</v>
      </c>
      <c r="E25" s="1">
        <v>0</v>
      </c>
      <c r="F25" s="1">
        <v>0</v>
      </c>
      <c r="G25" s="1">
        <v>0</v>
      </c>
    </row>
    <row r="26" spans="4:7">
      <c r="D26" s="1">
        <v>8.7200000000000006</v>
      </c>
      <c r="E26" s="1">
        <v>0</v>
      </c>
      <c r="F26" s="1">
        <v>0</v>
      </c>
      <c r="G26" s="1">
        <v>0</v>
      </c>
    </row>
    <row r="27" spans="4:7">
      <c r="D27" s="1">
        <v>10.1</v>
      </c>
      <c r="E27" s="1">
        <v>0</v>
      </c>
      <c r="F27" s="1">
        <v>0</v>
      </c>
      <c r="G27" s="1">
        <v>0</v>
      </c>
    </row>
    <row r="28" spans="4:7">
      <c r="D28" s="1">
        <v>11.7</v>
      </c>
      <c r="E28" s="1">
        <v>0</v>
      </c>
      <c r="F28" s="1">
        <v>0</v>
      </c>
      <c r="G28" s="1">
        <v>0</v>
      </c>
    </row>
    <row r="29" spans="4:7">
      <c r="D29" s="1">
        <v>13.5</v>
      </c>
      <c r="E29" s="1">
        <v>0</v>
      </c>
      <c r="F29" s="1">
        <v>0</v>
      </c>
      <c r="G29" s="1">
        <v>0</v>
      </c>
    </row>
    <row r="30" spans="4:7">
      <c r="D30" s="1">
        <v>15.7</v>
      </c>
      <c r="E30" s="1">
        <v>0</v>
      </c>
      <c r="F30" s="1">
        <v>0</v>
      </c>
      <c r="G30" s="1">
        <v>0</v>
      </c>
    </row>
    <row r="31" spans="4:7">
      <c r="D31" s="1">
        <v>18.2</v>
      </c>
      <c r="E31" s="1">
        <v>0</v>
      </c>
      <c r="F31" s="1">
        <v>0</v>
      </c>
      <c r="G31" s="1">
        <v>0</v>
      </c>
    </row>
    <row r="32" spans="4:7">
      <c r="D32" s="1">
        <v>21</v>
      </c>
      <c r="E32" s="1">
        <v>0</v>
      </c>
      <c r="F32" s="1">
        <v>0</v>
      </c>
      <c r="G32" s="1">
        <v>0</v>
      </c>
    </row>
    <row r="33" spans="4:7">
      <c r="D33" s="1">
        <v>24.4</v>
      </c>
      <c r="E33" s="1">
        <v>0</v>
      </c>
      <c r="F33" s="1">
        <v>0</v>
      </c>
      <c r="G33" s="1">
        <v>0</v>
      </c>
    </row>
    <row r="34" spans="4:7">
      <c r="D34" s="1">
        <v>28.2</v>
      </c>
      <c r="E34" s="1">
        <v>0</v>
      </c>
      <c r="F34" s="1">
        <v>0</v>
      </c>
      <c r="G34" s="1">
        <v>0</v>
      </c>
    </row>
    <row r="35" spans="4:7">
      <c r="D35" s="1">
        <v>32.700000000000003</v>
      </c>
      <c r="E35" s="1">
        <v>0.36599999999999999</v>
      </c>
      <c r="F35" s="1">
        <v>0</v>
      </c>
      <c r="G35" s="1">
        <v>0</v>
      </c>
    </row>
    <row r="36" spans="4:7">
      <c r="D36" s="1">
        <v>37.799999999999997</v>
      </c>
      <c r="E36" s="1">
        <v>1.64</v>
      </c>
      <c r="F36" s="1">
        <v>0.39900000000000002</v>
      </c>
      <c r="G36" s="1">
        <v>0</v>
      </c>
    </row>
    <row r="37" spans="4:7">
      <c r="D37" s="1">
        <v>43.8</v>
      </c>
      <c r="E37" s="1">
        <v>3.52</v>
      </c>
      <c r="F37" s="1">
        <v>1.41</v>
      </c>
      <c r="G37" s="1">
        <v>0</v>
      </c>
    </row>
    <row r="38" spans="4:7">
      <c r="D38" s="1">
        <v>50.7</v>
      </c>
      <c r="E38" s="1">
        <v>5.58</v>
      </c>
      <c r="F38" s="1">
        <v>2.94</v>
      </c>
      <c r="G38" s="1">
        <v>1.06</v>
      </c>
    </row>
    <row r="39" spans="4:7">
      <c r="D39" s="1">
        <v>58.8</v>
      </c>
      <c r="E39" s="1">
        <v>7.46</v>
      </c>
      <c r="F39" s="1">
        <v>4.78</v>
      </c>
      <c r="G39" s="1">
        <v>3.18</v>
      </c>
    </row>
    <row r="40" spans="4:7">
      <c r="D40" s="1">
        <v>68.099999999999994</v>
      </c>
      <c r="E40" s="1">
        <v>8.9600000000000009</v>
      </c>
      <c r="F40" s="1">
        <v>6.74</v>
      </c>
      <c r="G40" s="1">
        <v>5.86</v>
      </c>
    </row>
    <row r="41" spans="4:7">
      <c r="D41" s="1">
        <v>78.8</v>
      </c>
      <c r="E41" s="1">
        <v>10</v>
      </c>
      <c r="F41" s="1">
        <v>8.59</v>
      </c>
      <c r="G41" s="1">
        <v>8.49</v>
      </c>
    </row>
    <row r="42" spans="4:7">
      <c r="D42" s="1">
        <v>91.3</v>
      </c>
      <c r="E42" s="1">
        <v>10.5</v>
      </c>
      <c r="F42" s="1">
        <v>10.1</v>
      </c>
      <c r="G42" s="1">
        <v>10.6</v>
      </c>
    </row>
    <row r="43" spans="4:7">
      <c r="D43" s="1">
        <v>106</v>
      </c>
      <c r="E43" s="1">
        <v>10.5</v>
      </c>
      <c r="F43" s="1">
        <v>11.1</v>
      </c>
      <c r="G43" s="1">
        <v>11.8</v>
      </c>
    </row>
    <row r="44" spans="4:7">
      <c r="D44" s="1">
        <v>122</v>
      </c>
      <c r="E44" s="1">
        <v>9.99</v>
      </c>
      <c r="F44" s="1">
        <v>11.5</v>
      </c>
      <c r="G44" s="1">
        <v>12.2</v>
      </c>
    </row>
    <row r="45" spans="4:7">
      <c r="D45" s="1">
        <v>142</v>
      </c>
      <c r="E45" s="1">
        <v>9</v>
      </c>
      <c r="F45" s="1">
        <v>11.1</v>
      </c>
      <c r="G45" s="1">
        <v>11.6</v>
      </c>
    </row>
    <row r="46" spans="4:7">
      <c r="D46" s="1">
        <v>164</v>
      </c>
      <c r="E46" s="1">
        <v>7.63</v>
      </c>
      <c r="F46" s="1">
        <v>9.92</v>
      </c>
      <c r="G46" s="1">
        <v>10.3</v>
      </c>
    </row>
    <row r="47" spans="4:7">
      <c r="D47" s="1">
        <v>190</v>
      </c>
      <c r="E47" s="1">
        <v>6</v>
      </c>
      <c r="F47" s="1">
        <v>8.1999999999999993</v>
      </c>
      <c r="G47" s="1">
        <v>8.57</v>
      </c>
    </row>
    <row r="48" spans="4:7">
      <c r="D48" s="1">
        <v>220</v>
      </c>
      <c r="E48" s="1">
        <v>4.28</v>
      </c>
      <c r="F48" s="1">
        <v>6.13</v>
      </c>
      <c r="G48" s="1">
        <v>6.58</v>
      </c>
    </row>
    <row r="49" spans="4:7">
      <c r="D49" s="1">
        <v>255</v>
      </c>
      <c r="E49" s="1">
        <v>2.68</v>
      </c>
      <c r="F49" s="1">
        <v>4.01</v>
      </c>
      <c r="G49" s="1">
        <v>4.6100000000000003</v>
      </c>
    </row>
    <row r="50" spans="4:7">
      <c r="D50" s="1">
        <v>295</v>
      </c>
      <c r="E50" s="1">
        <v>1.36</v>
      </c>
      <c r="F50" s="1">
        <v>2.16</v>
      </c>
      <c r="G50" s="1">
        <v>2.87</v>
      </c>
    </row>
    <row r="51" spans="4:7">
      <c r="D51" s="1">
        <v>342</v>
      </c>
      <c r="E51" s="1">
        <v>0.46899999999999997</v>
      </c>
      <c r="F51" s="1">
        <v>0.83099999999999996</v>
      </c>
      <c r="G51" s="1">
        <v>1.5</v>
      </c>
    </row>
    <row r="52" spans="4:7">
      <c r="D52" s="1">
        <v>396</v>
      </c>
      <c r="E52" s="1">
        <v>5.21E-2</v>
      </c>
      <c r="F52" s="1">
        <v>0.14399999999999999</v>
      </c>
      <c r="G52" s="1">
        <v>0.59199999999999997</v>
      </c>
    </row>
    <row r="53" spans="4:7">
      <c r="D53" s="1">
        <v>459</v>
      </c>
      <c r="E53" s="1">
        <v>0</v>
      </c>
      <c r="F53" s="1">
        <v>0</v>
      </c>
      <c r="G53" s="1">
        <v>0.128</v>
      </c>
    </row>
    <row r="54" spans="4:7">
      <c r="D54" s="1">
        <v>531</v>
      </c>
      <c r="E54" s="1">
        <v>0</v>
      </c>
      <c r="F54" s="1">
        <v>0</v>
      </c>
      <c r="G54" s="1">
        <v>0</v>
      </c>
    </row>
    <row r="55" spans="4:7">
      <c r="D55" s="1">
        <v>615</v>
      </c>
      <c r="E55" s="1">
        <v>0</v>
      </c>
      <c r="F55" s="1">
        <v>0</v>
      </c>
      <c r="G55" s="1">
        <v>0</v>
      </c>
    </row>
    <row r="56" spans="4:7">
      <c r="D56" s="1">
        <v>712</v>
      </c>
      <c r="E56" s="1">
        <v>0</v>
      </c>
      <c r="F56" s="1">
        <v>0</v>
      </c>
      <c r="G56" s="1">
        <v>0</v>
      </c>
    </row>
    <row r="57" spans="4:7">
      <c r="D57" s="1">
        <v>825</v>
      </c>
      <c r="E57" s="1">
        <v>0</v>
      </c>
      <c r="F57" s="1">
        <v>0</v>
      </c>
      <c r="G57" s="1">
        <v>0</v>
      </c>
    </row>
    <row r="58" spans="4:7">
      <c r="D58" s="1">
        <v>955</v>
      </c>
      <c r="E58" s="1">
        <v>0</v>
      </c>
      <c r="F58" s="1">
        <v>0</v>
      </c>
      <c r="G58" s="1">
        <v>0</v>
      </c>
    </row>
    <row r="59" spans="4:7">
      <c r="D59" s="1">
        <v>1110</v>
      </c>
      <c r="E59" s="1">
        <v>0</v>
      </c>
      <c r="F59" s="1">
        <v>0</v>
      </c>
      <c r="G59" s="1">
        <v>0</v>
      </c>
    </row>
    <row r="60" spans="4:7">
      <c r="D60" s="1">
        <v>1280</v>
      </c>
      <c r="E60" s="1">
        <v>0</v>
      </c>
      <c r="F60" s="1">
        <v>0</v>
      </c>
      <c r="G60" s="1">
        <v>0</v>
      </c>
    </row>
    <row r="61" spans="4:7">
      <c r="D61" s="1">
        <v>1480</v>
      </c>
      <c r="E61" s="1">
        <v>0</v>
      </c>
      <c r="F61" s="1">
        <v>0</v>
      </c>
      <c r="G61" s="1">
        <v>0</v>
      </c>
    </row>
    <row r="62" spans="4:7">
      <c r="D62" s="1">
        <v>1720</v>
      </c>
      <c r="E62" s="1">
        <v>0</v>
      </c>
      <c r="F62" s="1">
        <v>0</v>
      </c>
      <c r="G62" s="1">
        <v>0</v>
      </c>
    </row>
    <row r="63" spans="4:7">
      <c r="D63" s="1">
        <v>1990</v>
      </c>
      <c r="E63" s="1">
        <v>0</v>
      </c>
      <c r="F63" s="1">
        <v>0</v>
      </c>
      <c r="G63" s="1">
        <v>0</v>
      </c>
    </row>
    <row r="64" spans="4:7">
      <c r="D64" s="1">
        <v>2300</v>
      </c>
      <c r="E64" s="1">
        <v>0</v>
      </c>
      <c r="F64" s="1">
        <v>0</v>
      </c>
      <c r="G64" s="1">
        <v>0</v>
      </c>
    </row>
    <row r="65" spans="4:7">
      <c r="D65" s="1">
        <v>2670</v>
      </c>
      <c r="E65" s="1">
        <v>0</v>
      </c>
      <c r="F65" s="1">
        <v>0</v>
      </c>
      <c r="G65" s="1">
        <v>0</v>
      </c>
    </row>
    <row r="66" spans="4:7">
      <c r="D66" s="1">
        <v>3090</v>
      </c>
      <c r="E66" s="1">
        <v>0</v>
      </c>
      <c r="F66" s="1">
        <v>0</v>
      </c>
      <c r="G66" s="1">
        <v>0</v>
      </c>
    </row>
    <row r="67" spans="4:7">
      <c r="D67" s="1">
        <v>3580</v>
      </c>
      <c r="E67" s="1">
        <v>0</v>
      </c>
      <c r="F67" s="1">
        <v>0</v>
      </c>
      <c r="G67" s="1">
        <v>0</v>
      </c>
    </row>
    <row r="68" spans="4:7">
      <c r="D68" s="1">
        <v>4150</v>
      </c>
      <c r="E68" s="1">
        <v>0</v>
      </c>
      <c r="F68" s="1">
        <v>0</v>
      </c>
      <c r="G68" s="1">
        <v>0</v>
      </c>
    </row>
    <row r="69" spans="4:7">
      <c r="D69" s="1">
        <v>4800</v>
      </c>
      <c r="E69" s="1">
        <v>0</v>
      </c>
      <c r="F69" s="1">
        <v>0</v>
      </c>
      <c r="G69" s="1">
        <v>0</v>
      </c>
    </row>
    <row r="70" spans="4:7">
      <c r="D70" s="1">
        <v>5560</v>
      </c>
      <c r="E70" s="1">
        <v>0</v>
      </c>
      <c r="F70" s="1">
        <v>0</v>
      </c>
      <c r="G70" s="1">
        <v>0</v>
      </c>
    </row>
    <row r="71" spans="4:7">
      <c r="D71" s="1">
        <v>6440</v>
      </c>
      <c r="E71" s="1">
        <v>0</v>
      </c>
      <c r="F71" s="1">
        <v>0</v>
      </c>
      <c r="G71" s="1">
        <v>0</v>
      </c>
    </row>
    <row r="72" spans="4:7">
      <c r="D72" s="1">
        <v>7460</v>
      </c>
      <c r="E72" s="1">
        <v>0</v>
      </c>
      <c r="F72" s="1">
        <v>0</v>
      </c>
      <c r="G72" s="1">
        <v>0</v>
      </c>
    </row>
    <row r="73" spans="4:7">
      <c r="D73" s="1">
        <v>8630</v>
      </c>
      <c r="E73" s="1">
        <v>0</v>
      </c>
      <c r="F73" s="1">
        <v>0</v>
      </c>
      <c r="G73" s="1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DD53-6A65-440F-A6BB-B6642B50245A}">
  <dimension ref="E4:N12"/>
  <sheetViews>
    <sheetView workbookViewId="0">
      <selection activeCell="N16" sqref="N16"/>
    </sheetView>
  </sheetViews>
  <sheetFormatPr defaultRowHeight="14.4"/>
  <sheetData>
    <row r="4" spans="5:14">
      <c r="E4" s="2"/>
      <c r="F4" s="39" t="s">
        <v>258</v>
      </c>
      <c r="G4" s="39"/>
      <c r="H4" s="39"/>
      <c r="I4" s="39" t="s">
        <v>28</v>
      </c>
      <c r="J4" s="39"/>
      <c r="K4" s="39"/>
      <c r="L4" s="39" t="s">
        <v>25</v>
      </c>
      <c r="M4" s="39"/>
      <c r="N4" s="39"/>
    </row>
    <row r="5" spans="5:14">
      <c r="E5" s="1">
        <v>1</v>
      </c>
      <c r="F5" s="1">
        <v>99.1</v>
      </c>
      <c r="G5" s="1">
        <v>95.8</v>
      </c>
      <c r="H5" s="1">
        <v>93.5</v>
      </c>
      <c r="I5" s="1">
        <v>101.2</v>
      </c>
      <c r="J5" s="1">
        <v>106.4</v>
      </c>
      <c r="K5" s="1">
        <v>97.3</v>
      </c>
      <c r="L5" s="1">
        <v>118.5</v>
      </c>
      <c r="M5" s="1">
        <v>123.5</v>
      </c>
      <c r="N5" s="1">
        <v>112.5</v>
      </c>
    </row>
    <row r="6" spans="5:14">
      <c r="E6" s="1">
        <v>3</v>
      </c>
      <c r="F6" s="1">
        <v>100.3</v>
      </c>
      <c r="G6" s="1">
        <v>95.4</v>
      </c>
      <c r="H6" s="1">
        <v>93.2</v>
      </c>
      <c r="I6" s="1">
        <v>100.3</v>
      </c>
      <c r="J6" s="1">
        <v>104.6</v>
      </c>
      <c r="K6" s="1">
        <v>96.8</v>
      </c>
      <c r="L6" s="1">
        <v>118.6</v>
      </c>
      <c r="M6" s="1">
        <v>121.3</v>
      </c>
      <c r="N6" s="1">
        <v>110.4</v>
      </c>
    </row>
    <row r="7" spans="5:14">
      <c r="E7" s="1">
        <v>5</v>
      </c>
      <c r="F7" s="1">
        <v>99.5</v>
      </c>
      <c r="G7" s="1">
        <v>96.3</v>
      </c>
      <c r="H7" s="1">
        <v>93.4</v>
      </c>
      <c r="I7" s="1">
        <v>99.8</v>
      </c>
      <c r="J7" s="1">
        <v>104.6</v>
      </c>
      <c r="K7" s="1">
        <v>97.5</v>
      </c>
      <c r="L7" s="1">
        <v>117.6</v>
      </c>
      <c r="M7" s="1">
        <v>120.6</v>
      </c>
      <c r="N7" s="1">
        <v>110.2</v>
      </c>
    </row>
    <row r="8" spans="5:14">
      <c r="E8" s="1">
        <v>7</v>
      </c>
      <c r="F8" s="1">
        <v>98.4</v>
      </c>
      <c r="G8" s="1">
        <v>94.7</v>
      </c>
      <c r="H8" s="1">
        <v>93.5</v>
      </c>
      <c r="I8" s="1">
        <v>101.3</v>
      </c>
      <c r="J8" s="1">
        <v>103.6</v>
      </c>
      <c r="K8" s="1">
        <v>98.4</v>
      </c>
      <c r="L8" s="1">
        <v>117.9</v>
      </c>
      <c r="M8" s="1">
        <v>120.3</v>
      </c>
      <c r="N8" s="1">
        <v>110.1</v>
      </c>
    </row>
    <row r="9" spans="5:14">
      <c r="E9" s="1">
        <v>9</v>
      </c>
      <c r="F9" s="1">
        <v>101.3</v>
      </c>
      <c r="G9" s="1">
        <v>94.8</v>
      </c>
      <c r="H9" s="1">
        <v>94.1</v>
      </c>
      <c r="I9" s="1">
        <v>100.2</v>
      </c>
      <c r="J9" s="1">
        <v>104.9</v>
      </c>
      <c r="K9" s="1">
        <v>97.8</v>
      </c>
      <c r="L9" s="1">
        <v>117.5</v>
      </c>
      <c r="M9" s="1">
        <v>119.4</v>
      </c>
      <c r="N9" s="1">
        <v>110</v>
      </c>
    </row>
    <row r="10" spans="5:14">
      <c r="E10" s="1">
        <v>11</v>
      </c>
      <c r="F10" s="1">
        <v>100.2</v>
      </c>
      <c r="G10" s="1">
        <v>96.5</v>
      </c>
      <c r="H10" s="1">
        <v>93.4</v>
      </c>
      <c r="I10" s="1">
        <v>99.4</v>
      </c>
      <c r="J10" s="1">
        <v>105.2</v>
      </c>
      <c r="K10" s="1">
        <v>96.5</v>
      </c>
      <c r="L10" s="1">
        <v>118.2</v>
      </c>
      <c r="M10" s="1">
        <v>120.1</v>
      </c>
      <c r="N10" s="1">
        <v>110.6</v>
      </c>
    </row>
    <row r="11" spans="5:14">
      <c r="E11" s="1">
        <v>13</v>
      </c>
      <c r="F11" s="1">
        <v>99.9</v>
      </c>
      <c r="G11" s="1">
        <v>94.2</v>
      </c>
      <c r="H11" s="1">
        <v>94.5</v>
      </c>
      <c r="I11" s="1">
        <v>100.2</v>
      </c>
      <c r="J11" s="1">
        <v>104.9</v>
      </c>
      <c r="K11" s="1">
        <v>98.7</v>
      </c>
      <c r="L11" s="1">
        <v>118.3</v>
      </c>
      <c r="M11" s="1">
        <v>122.3</v>
      </c>
      <c r="N11" s="1">
        <v>110.7</v>
      </c>
    </row>
    <row r="12" spans="5:14">
      <c r="E12" s="1">
        <v>15</v>
      </c>
      <c r="F12" s="1">
        <v>101.3</v>
      </c>
      <c r="G12" s="1">
        <v>95.7</v>
      </c>
      <c r="H12" s="1">
        <v>93.6</v>
      </c>
      <c r="I12" s="1">
        <v>100.6</v>
      </c>
      <c r="J12" s="1">
        <v>105.2</v>
      </c>
      <c r="K12" s="1">
        <v>96.7</v>
      </c>
      <c r="L12" s="1">
        <v>118.2</v>
      </c>
      <c r="M12" s="1">
        <v>122.1</v>
      </c>
      <c r="N12" s="1">
        <v>110.6</v>
      </c>
    </row>
  </sheetData>
  <mergeCells count="3">
    <mergeCell ref="F4:H4"/>
    <mergeCell ref="I4:K4"/>
    <mergeCell ref="L4:N4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0016-3F19-4716-A8C3-FEA5ED97C3F2}">
  <dimension ref="D3:M11"/>
  <sheetViews>
    <sheetView workbookViewId="0">
      <selection activeCell="N20" sqref="N20"/>
    </sheetView>
  </sheetViews>
  <sheetFormatPr defaultRowHeight="14.4"/>
  <sheetData>
    <row r="3" spans="4:13">
      <c r="D3" s="2"/>
      <c r="E3" s="39" t="s">
        <v>258</v>
      </c>
      <c r="F3" s="39"/>
      <c r="G3" s="39"/>
      <c r="H3" s="39" t="s">
        <v>28</v>
      </c>
      <c r="I3" s="39"/>
      <c r="J3" s="39"/>
      <c r="K3" s="39" t="s">
        <v>25</v>
      </c>
      <c r="L3" s="39"/>
      <c r="M3" s="39"/>
    </row>
    <row r="4" spans="4:13">
      <c r="D4" s="1">
        <v>1</v>
      </c>
      <c r="E4" s="1">
        <v>-19.8</v>
      </c>
      <c r="F4" s="1">
        <v>-21.6</v>
      </c>
      <c r="G4" s="1">
        <v>-17.2</v>
      </c>
      <c r="H4" s="1">
        <v>-20.3</v>
      </c>
      <c r="I4" s="1">
        <v>-22.1</v>
      </c>
      <c r="J4" s="1">
        <v>-17.2</v>
      </c>
      <c r="K4" s="1">
        <v>-13.7</v>
      </c>
      <c r="L4" s="1">
        <v>-10.36</v>
      </c>
      <c r="M4" s="1">
        <v>-18.399999999999999</v>
      </c>
    </row>
    <row r="5" spans="4:13">
      <c r="D5" s="1">
        <v>3</v>
      </c>
      <c r="E5" s="1">
        <v>-20.100000000000001</v>
      </c>
      <c r="F5" s="1">
        <v>-22.3</v>
      </c>
      <c r="G5" s="1">
        <v>-18.2</v>
      </c>
      <c r="H5" s="1">
        <v>-19.8</v>
      </c>
      <c r="I5" s="1">
        <v>-22.6</v>
      </c>
      <c r="J5" s="1">
        <v>-17.8</v>
      </c>
      <c r="K5" s="1">
        <v>-10.26</v>
      </c>
      <c r="L5" s="1">
        <v>-13.5</v>
      </c>
      <c r="M5" s="1">
        <v>-17.399999999999999</v>
      </c>
    </row>
    <row r="6" spans="4:13">
      <c r="D6" s="1">
        <v>5</v>
      </c>
      <c r="E6" s="1">
        <v>-19.600000000000001</v>
      </c>
      <c r="F6" s="1">
        <v>-22.1</v>
      </c>
      <c r="G6" s="1">
        <v>-18.7</v>
      </c>
      <c r="H6" s="1">
        <v>-20.100000000000001</v>
      </c>
      <c r="I6" s="1">
        <v>-21.5</v>
      </c>
      <c r="J6" s="1">
        <v>-17.5</v>
      </c>
      <c r="K6" s="1">
        <v>-12.6</v>
      </c>
      <c r="L6" s="1">
        <v>-12.4</v>
      </c>
      <c r="M6" s="1">
        <v>-16.399999999999999</v>
      </c>
    </row>
    <row r="7" spans="4:13">
      <c r="D7" s="1">
        <v>7</v>
      </c>
      <c r="E7" s="1">
        <v>-19.8</v>
      </c>
      <c r="F7" s="1">
        <v>-23.6</v>
      </c>
      <c r="G7" s="1">
        <v>-17.5</v>
      </c>
      <c r="H7" s="1">
        <v>-19.5</v>
      </c>
      <c r="I7" s="1">
        <v>-22.4</v>
      </c>
      <c r="J7" s="1">
        <v>-17.3</v>
      </c>
      <c r="K7" s="1">
        <v>-10.199999999999999</v>
      </c>
      <c r="L7" s="1">
        <v>-11.6</v>
      </c>
      <c r="M7" s="1">
        <v>-15.4</v>
      </c>
    </row>
    <row r="8" spans="4:13">
      <c r="D8" s="1">
        <v>9</v>
      </c>
      <c r="E8" s="1">
        <v>-20.3</v>
      </c>
      <c r="F8" s="1">
        <v>-22.6</v>
      </c>
      <c r="G8" s="1">
        <v>-16.899999999999999</v>
      </c>
      <c r="H8" s="1">
        <v>-19.600000000000001</v>
      </c>
      <c r="I8" s="1">
        <v>-22.8</v>
      </c>
      <c r="J8" s="1">
        <v>-17.399999999999999</v>
      </c>
      <c r="K8" s="1">
        <v>-11.3</v>
      </c>
      <c r="L8" s="1">
        <v>-11.6</v>
      </c>
      <c r="M8" s="1">
        <v>-16.8</v>
      </c>
    </row>
    <row r="9" spans="4:13">
      <c r="D9" s="1">
        <v>11</v>
      </c>
      <c r="E9" s="1">
        <v>-19.5</v>
      </c>
      <c r="F9" s="1">
        <v>-22.5</v>
      </c>
      <c r="G9" s="1">
        <v>-17.3</v>
      </c>
      <c r="H9" s="1">
        <v>-20.100000000000001</v>
      </c>
      <c r="I9" s="1">
        <v>-22.3</v>
      </c>
      <c r="J9" s="1">
        <v>-17.600000000000001</v>
      </c>
      <c r="K9" s="1">
        <v>-11.2</v>
      </c>
      <c r="L9" s="1">
        <v>-12.7</v>
      </c>
      <c r="M9" s="1">
        <v>-16.399999999999999</v>
      </c>
    </row>
    <row r="10" spans="4:13">
      <c r="D10" s="1">
        <v>13</v>
      </c>
      <c r="E10" s="1">
        <v>-19.5</v>
      </c>
      <c r="F10" s="1">
        <v>-21.1</v>
      </c>
      <c r="G10" s="1">
        <v>-18.5</v>
      </c>
      <c r="H10" s="1">
        <v>-19.7</v>
      </c>
      <c r="I10" s="1">
        <v>-22.5</v>
      </c>
      <c r="J10" s="1">
        <v>-17.899999999999999</v>
      </c>
      <c r="K10" s="1">
        <v>-11.6</v>
      </c>
      <c r="L10" s="1">
        <v>-12.9</v>
      </c>
      <c r="M10" s="1">
        <v>-16.899999999999999</v>
      </c>
    </row>
    <row r="11" spans="4:13">
      <c r="D11" s="1">
        <v>15</v>
      </c>
      <c r="E11" s="1">
        <v>-20</v>
      </c>
      <c r="F11" s="1">
        <v>-22.2</v>
      </c>
      <c r="G11" s="1">
        <v>-16.8</v>
      </c>
      <c r="H11" s="1">
        <v>-19.899999999999999</v>
      </c>
      <c r="I11" s="1">
        <v>-22.2</v>
      </c>
      <c r="J11" s="1">
        <v>-18.399999999999999</v>
      </c>
      <c r="K11" s="1">
        <v>-11.2</v>
      </c>
      <c r="L11" s="1">
        <v>-13.5</v>
      </c>
      <c r="M11" s="1">
        <v>-14.6</v>
      </c>
    </row>
  </sheetData>
  <mergeCells count="3">
    <mergeCell ref="E3:G3"/>
    <mergeCell ref="H3:J3"/>
    <mergeCell ref="K3:M3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84CB9-BE90-429D-AC87-331D779F8C89}">
  <dimension ref="E7:Q14"/>
  <sheetViews>
    <sheetView workbookViewId="0">
      <selection activeCell="K22" sqref="K22"/>
    </sheetView>
  </sheetViews>
  <sheetFormatPr defaultRowHeight="14.4"/>
  <sheetData>
    <row r="7" spans="5:17">
      <c r="E7" s="2" t="s">
        <v>89</v>
      </c>
      <c r="F7" s="39" t="s">
        <v>77</v>
      </c>
      <c r="G7" s="39"/>
      <c r="H7" s="39"/>
      <c r="I7" s="39" t="s">
        <v>25</v>
      </c>
      <c r="J7" s="39"/>
      <c r="K7" s="39"/>
      <c r="L7" s="39" t="s">
        <v>26</v>
      </c>
      <c r="M7" s="39"/>
      <c r="N7" s="39"/>
      <c r="O7" s="39" t="s">
        <v>88</v>
      </c>
      <c r="P7" s="39"/>
      <c r="Q7" s="39"/>
    </row>
    <row r="8" spans="5:17">
      <c r="E8" s="1">
        <v>8.3333000000000004E-2</v>
      </c>
      <c r="F8" s="1">
        <v>37</v>
      </c>
      <c r="G8" s="1">
        <v>37.68</v>
      </c>
      <c r="H8" s="1">
        <v>43.11</v>
      </c>
      <c r="I8" s="1">
        <v>95.2</v>
      </c>
      <c r="J8" s="1">
        <v>86.3</v>
      </c>
      <c r="K8" s="1">
        <v>87.6</v>
      </c>
      <c r="L8" s="1">
        <v>96.3</v>
      </c>
      <c r="M8" s="1">
        <v>90.2</v>
      </c>
      <c r="N8" s="1">
        <v>88.2</v>
      </c>
      <c r="O8" s="1">
        <v>98.46</v>
      </c>
      <c r="P8" s="1">
        <v>96.97</v>
      </c>
      <c r="Q8" s="1">
        <v>98.05</v>
      </c>
    </row>
    <row r="9" spans="5:17">
      <c r="E9" s="1">
        <v>0.3333333</v>
      </c>
      <c r="F9" s="1">
        <v>22.46</v>
      </c>
      <c r="G9" s="1">
        <v>23.41</v>
      </c>
      <c r="H9" s="1">
        <v>26.56</v>
      </c>
      <c r="I9" s="1">
        <v>61.2</v>
      </c>
      <c r="J9" s="1">
        <v>68.400000000000006</v>
      </c>
      <c r="K9" s="1">
        <v>59.6</v>
      </c>
      <c r="L9" s="1">
        <v>63.5</v>
      </c>
      <c r="M9" s="1">
        <v>67.8</v>
      </c>
      <c r="N9" s="1">
        <v>71.2</v>
      </c>
      <c r="O9" s="1">
        <v>87.41</v>
      </c>
      <c r="P9" s="1">
        <v>86.54</v>
      </c>
      <c r="Q9" s="1">
        <v>93.2</v>
      </c>
    </row>
    <row r="10" spans="5:17">
      <c r="E10" s="1">
        <v>1</v>
      </c>
      <c r="F10" s="1">
        <v>9.09</v>
      </c>
      <c r="G10" s="1">
        <v>5.15</v>
      </c>
      <c r="H10" s="1">
        <v>7.22</v>
      </c>
      <c r="I10" s="1">
        <v>32.1</v>
      </c>
      <c r="J10" s="1">
        <v>28.9</v>
      </c>
      <c r="K10" s="1">
        <v>34.299999999999997</v>
      </c>
      <c r="L10" s="1">
        <v>43.2</v>
      </c>
      <c r="M10" s="1">
        <v>31.5</v>
      </c>
      <c r="N10" s="1">
        <v>29.5</v>
      </c>
      <c r="O10" s="1">
        <v>80.52</v>
      </c>
      <c r="P10" s="1">
        <v>72.930000000000007</v>
      </c>
      <c r="Q10" s="1">
        <v>76.209999999999994</v>
      </c>
    </row>
    <row r="11" spans="5:17">
      <c r="E11" s="1">
        <v>2.5</v>
      </c>
      <c r="F11" s="1">
        <v>5.4</v>
      </c>
      <c r="G11" s="1">
        <v>4.13</v>
      </c>
      <c r="H11" s="1">
        <v>3.84</v>
      </c>
      <c r="I11" s="1">
        <v>10.26</v>
      </c>
      <c r="J11" s="1">
        <v>12.5</v>
      </c>
      <c r="K11" s="1">
        <v>14.6</v>
      </c>
      <c r="L11" s="1">
        <v>13.5</v>
      </c>
      <c r="M11" s="1">
        <v>15.4</v>
      </c>
      <c r="N11" s="1">
        <v>10.199999999999999</v>
      </c>
      <c r="O11" s="1">
        <v>61.18</v>
      </c>
      <c r="P11" s="1">
        <v>53.28</v>
      </c>
      <c r="Q11" s="1">
        <v>57.59</v>
      </c>
    </row>
    <row r="12" spans="5:17">
      <c r="E12" s="1">
        <v>8</v>
      </c>
      <c r="F12" s="1">
        <v>0.74</v>
      </c>
      <c r="G12" s="1">
        <v>0.81</v>
      </c>
      <c r="H12" s="1">
        <v>1.01</v>
      </c>
      <c r="I12" s="1">
        <v>5.2</v>
      </c>
      <c r="J12" s="1">
        <v>2.9</v>
      </c>
      <c r="K12" s="1">
        <v>1.8</v>
      </c>
      <c r="L12" s="1">
        <v>6.2</v>
      </c>
      <c r="M12" s="1">
        <v>3.2</v>
      </c>
      <c r="N12" s="1">
        <v>2.41</v>
      </c>
      <c r="O12" s="1">
        <v>33.82</v>
      </c>
      <c r="P12" s="1">
        <v>27.91</v>
      </c>
      <c r="Q12" s="1">
        <v>32.81</v>
      </c>
    </row>
    <row r="13" spans="5:17">
      <c r="E13" s="1">
        <v>12</v>
      </c>
      <c r="F13" s="1">
        <v>0.47</v>
      </c>
      <c r="G13" s="1">
        <v>0.28000000000000003</v>
      </c>
      <c r="H13" s="1">
        <v>0.4</v>
      </c>
      <c r="I13" s="1">
        <v>1.92</v>
      </c>
      <c r="J13" s="1">
        <v>0.95</v>
      </c>
      <c r="K13" s="1">
        <v>0.74</v>
      </c>
      <c r="L13" s="1">
        <v>2.23</v>
      </c>
      <c r="M13" s="1">
        <v>1.03</v>
      </c>
      <c r="N13" s="1">
        <v>1.17</v>
      </c>
      <c r="O13" s="1">
        <v>11.17</v>
      </c>
      <c r="P13" s="1">
        <v>6.28</v>
      </c>
      <c r="Q13" s="1">
        <v>7.36</v>
      </c>
    </row>
    <row r="14" spans="5:17">
      <c r="E14" s="1">
        <v>24</v>
      </c>
      <c r="F14" s="1">
        <v>0.14000000000000001</v>
      </c>
      <c r="G14" s="1">
        <v>0.11</v>
      </c>
      <c r="H14" s="1">
        <v>0.22</v>
      </c>
      <c r="I14" s="1">
        <v>0.26</v>
      </c>
      <c r="J14" s="1">
        <v>0.38</v>
      </c>
      <c r="K14" s="1">
        <v>0.49</v>
      </c>
      <c r="L14" s="1">
        <v>0.36</v>
      </c>
      <c r="M14" s="1">
        <v>0.24</v>
      </c>
      <c r="N14" s="1">
        <v>0.41</v>
      </c>
      <c r="O14" s="1">
        <v>3.31</v>
      </c>
      <c r="P14" s="1">
        <v>2.58</v>
      </c>
      <c r="Q14" s="1">
        <v>1.74</v>
      </c>
    </row>
  </sheetData>
  <mergeCells count="4">
    <mergeCell ref="F7:H7"/>
    <mergeCell ref="I7:K7"/>
    <mergeCell ref="L7:N7"/>
    <mergeCell ref="O7:Q7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E32D8-92DC-40AB-8299-1556F8C61FD1}">
  <dimension ref="E5:Q11"/>
  <sheetViews>
    <sheetView workbookViewId="0">
      <selection activeCell="D4" sqref="D4:Q11"/>
    </sheetView>
  </sheetViews>
  <sheetFormatPr defaultRowHeight="14.4"/>
  <sheetData>
    <row r="5" spans="5:17">
      <c r="E5" s="2"/>
      <c r="F5" s="39" t="s">
        <v>77</v>
      </c>
      <c r="G5" s="39"/>
      <c r="H5" s="39"/>
      <c r="I5" s="39" t="s">
        <v>25</v>
      </c>
      <c r="J5" s="39"/>
      <c r="K5" s="39"/>
      <c r="L5" s="39" t="s">
        <v>26</v>
      </c>
      <c r="M5" s="39"/>
      <c r="N5" s="39"/>
      <c r="O5" s="39" t="s">
        <v>29</v>
      </c>
      <c r="P5" s="39"/>
      <c r="Q5" s="39"/>
    </row>
    <row r="6" spans="5:17">
      <c r="E6" s="3" t="s">
        <v>0</v>
      </c>
      <c r="F6" s="1">
        <v>0.77</v>
      </c>
      <c r="G6" s="1">
        <v>0.72</v>
      </c>
      <c r="H6" s="1">
        <v>0.15</v>
      </c>
      <c r="I6" s="1">
        <v>0.64</v>
      </c>
      <c r="J6" s="1">
        <v>0.59</v>
      </c>
      <c r="K6" s="1">
        <v>0.21</v>
      </c>
      <c r="L6" s="1">
        <v>0.41</v>
      </c>
      <c r="M6" s="1">
        <v>0.36</v>
      </c>
      <c r="N6" s="1">
        <v>0.28999999999999998</v>
      </c>
      <c r="O6" s="1">
        <v>0.4</v>
      </c>
      <c r="P6" s="1">
        <v>0.34</v>
      </c>
      <c r="Q6" s="1">
        <v>0.77</v>
      </c>
    </row>
    <row r="7" spans="5:17">
      <c r="E7" s="3" t="s">
        <v>1</v>
      </c>
      <c r="F7" s="1">
        <v>37.89</v>
      </c>
      <c r="G7" s="1">
        <v>46.47</v>
      </c>
      <c r="H7" s="1">
        <v>43.59</v>
      </c>
      <c r="I7" s="1">
        <v>47.2</v>
      </c>
      <c r="J7" s="1">
        <v>44.1</v>
      </c>
      <c r="K7" s="1">
        <v>40.200000000000003</v>
      </c>
      <c r="L7" s="1">
        <v>42.3</v>
      </c>
      <c r="M7" s="1">
        <v>48.5</v>
      </c>
      <c r="N7" s="1">
        <v>44.2</v>
      </c>
      <c r="O7" s="1">
        <v>20.85</v>
      </c>
      <c r="P7" s="1">
        <v>19.579999999999998</v>
      </c>
      <c r="Q7" s="1">
        <v>19.5</v>
      </c>
    </row>
    <row r="8" spans="5:17">
      <c r="E8" s="3" t="s">
        <v>2</v>
      </c>
      <c r="F8" s="1">
        <v>4.55</v>
      </c>
      <c r="G8" s="1">
        <v>8.07</v>
      </c>
      <c r="H8" s="1">
        <v>9.0299999999999994</v>
      </c>
      <c r="I8" s="1">
        <v>5.3</v>
      </c>
      <c r="J8" s="1">
        <v>7.9</v>
      </c>
      <c r="K8" s="1">
        <v>9.6</v>
      </c>
      <c r="L8" s="1">
        <v>6.23</v>
      </c>
      <c r="M8" s="1">
        <v>5.48</v>
      </c>
      <c r="N8" s="1">
        <v>8.24</v>
      </c>
      <c r="O8" s="1">
        <v>3.59</v>
      </c>
      <c r="P8" s="1">
        <v>1.2</v>
      </c>
      <c r="Q8" s="1">
        <v>3.46</v>
      </c>
    </row>
    <row r="9" spans="5:17">
      <c r="E9" s="3" t="s">
        <v>3</v>
      </c>
      <c r="F9" s="1">
        <v>2.88</v>
      </c>
      <c r="G9" s="1">
        <v>3.88</v>
      </c>
      <c r="H9" s="1">
        <v>4.6900000000000004</v>
      </c>
      <c r="I9" s="1">
        <v>2.86</v>
      </c>
      <c r="J9" s="1">
        <v>3.59</v>
      </c>
      <c r="K9" s="1">
        <v>5.47</v>
      </c>
      <c r="L9" s="1">
        <v>3.26</v>
      </c>
      <c r="M9" s="1">
        <v>2.46</v>
      </c>
      <c r="N9" s="1">
        <v>4.12</v>
      </c>
      <c r="O9" s="1">
        <v>0.33</v>
      </c>
      <c r="P9" s="1">
        <v>0.72</v>
      </c>
      <c r="Q9" s="1">
        <v>0.31</v>
      </c>
    </row>
    <row r="10" spans="5:17">
      <c r="E10" s="3" t="s">
        <v>4</v>
      </c>
      <c r="F10" s="1">
        <v>1.43</v>
      </c>
      <c r="G10" s="1">
        <v>1.56</v>
      </c>
      <c r="H10" s="1">
        <v>2.5099999999999998</v>
      </c>
      <c r="I10" s="1">
        <v>2.12</v>
      </c>
      <c r="J10" s="1">
        <v>3.26</v>
      </c>
      <c r="K10" s="1">
        <v>2.46</v>
      </c>
      <c r="L10" s="1">
        <v>2.59</v>
      </c>
      <c r="M10" s="1">
        <v>3.1</v>
      </c>
      <c r="N10" s="1">
        <v>2.4700000000000002</v>
      </c>
      <c r="O10" s="1">
        <v>0.97</v>
      </c>
      <c r="P10" s="1">
        <v>0.85</v>
      </c>
      <c r="Q10" s="1">
        <v>0.74</v>
      </c>
    </row>
    <row r="11" spans="5:17">
      <c r="E11" s="3" t="s">
        <v>5</v>
      </c>
      <c r="F11" s="1">
        <v>0.15</v>
      </c>
      <c r="G11" s="1">
        <v>0.19</v>
      </c>
      <c r="H11" s="1">
        <v>0.28999999999999998</v>
      </c>
      <c r="I11" s="1">
        <v>0.54</v>
      </c>
      <c r="J11" s="1">
        <v>0.36</v>
      </c>
      <c r="K11" s="1">
        <v>0.49</v>
      </c>
      <c r="L11" s="1">
        <v>0.42</v>
      </c>
      <c r="M11" s="1">
        <v>0.54</v>
      </c>
      <c r="N11" s="1">
        <v>0.69</v>
      </c>
      <c r="O11" s="1">
        <v>7.83</v>
      </c>
      <c r="P11" s="1">
        <v>7.3</v>
      </c>
      <c r="Q11" s="1">
        <v>6.09</v>
      </c>
    </row>
  </sheetData>
  <mergeCells count="4">
    <mergeCell ref="F5:H5"/>
    <mergeCell ref="I5:K5"/>
    <mergeCell ref="L5:N5"/>
    <mergeCell ref="O5:Q5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E9B9F-4B33-48AF-BB4B-5E62999C2D2B}">
  <dimension ref="E6:N13"/>
  <sheetViews>
    <sheetView workbookViewId="0">
      <selection activeCell="G21" sqref="G21"/>
    </sheetView>
  </sheetViews>
  <sheetFormatPr defaultRowHeight="14.4"/>
  <sheetData>
    <row r="6" spans="5:14">
      <c r="E6" s="2" t="s">
        <v>89</v>
      </c>
      <c r="F6" s="39" t="s">
        <v>14</v>
      </c>
      <c r="G6" s="39"/>
      <c r="H6" s="39"/>
      <c r="I6" s="39" t="s">
        <v>26</v>
      </c>
      <c r="J6" s="39"/>
      <c r="K6" s="39"/>
      <c r="L6" s="39" t="s">
        <v>28</v>
      </c>
      <c r="M6" s="39"/>
      <c r="N6" s="39"/>
    </row>
    <row r="7" spans="5:14">
      <c r="E7" s="1">
        <v>8.3333000000000004E-2</v>
      </c>
      <c r="F7" s="1">
        <v>77.349999999999994</v>
      </c>
      <c r="G7" s="1">
        <v>71.97</v>
      </c>
      <c r="H7" s="1">
        <v>75.67</v>
      </c>
      <c r="I7" s="1">
        <v>78.3</v>
      </c>
      <c r="J7" s="1">
        <v>82.4</v>
      </c>
      <c r="K7" s="1">
        <v>86.7</v>
      </c>
      <c r="L7" s="1">
        <v>103.36</v>
      </c>
      <c r="M7" s="1">
        <v>96.27</v>
      </c>
      <c r="N7" s="1">
        <v>98.67</v>
      </c>
    </row>
    <row r="8" spans="5:14">
      <c r="E8" s="1">
        <v>0.3333333</v>
      </c>
      <c r="F8" s="1">
        <v>40.42</v>
      </c>
      <c r="G8" s="1">
        <v>50.83</v>
      </c>
      <c r="H8" s="1">
        <v>49.74</v>
      </c>
      <c r="I8" s="1">
        <v>46.3</v>
      </c>
      <c r="J8" s="1">
        <v>50.12</v>
      </c>
      <c r="K8" s="1">
        <v>53.6</v>
      </c>
      <c r="L8" s="1">
        <v>95.18</v>
      </c>
      <c r="M8" s="1">
        <v>89.89</v>
      </c>
      <c r="N8" s="1">
        <v>94.33</v>
      </c>
    </row>
    <row r="9" spans="5:14">
      <c r="E9" s="1">
        <v>1</v>
      </c>
      <c r="F9" s="1">
        <v>31.28</v>
      </c>
      <c r="G9" s="1">
        <v>47.61</v>
      </c>
      <c r="H9" s="1">
        <v>43.55</v>
      </c>
      <c r="I9" s="1">
        <v>35.4</v>
      </c>
      <c r="J9" s="1">
        <v>33.1</v>
      </c>
      <c r="K9" s="1">
        <v>41.2</v>
      </c>
      <c r="L9" s="1">
        <v>78.89</v>
      </c>
      <c r="M9" s="1">
        <v>88.28</v>
      </c>
      <c r="N9" s="1">
        <v>74.709999999999994</v>
      </c>
    </row>
    <row r="10" spans="5:14">
      <c r="E10" s="1">
        <v>2.5</v>
      </c>
      <c r="F10" s="1">
        <v>2.08</v>
      </c>
      <c r="G10" s="1">
        <v>6.32</v>
      </c>
      <c r="H10" s="1">
        <v>12.71</v>
      </c>
      <c r="I10" s="1">
        <v>6.2</v>
      </c>
      <c r="J10" s="1">
        <v>8.4</v>
      </c>
      <c r="K10" s="1">
        <v>5.0999999999999996</v>
      </c>
      <c r="L10" s="1">
        <v>62.51</v>
      </c>
      <c r="M10" s="1">
        <v>65.81</v>
      </c>
      <c r="N10" s="1">
        <v>58.39</v>
      </c>
    </row>
    <row r="11" spans="5:14">
      <c r="E11" s="1">
        <v>8</v>
      </c>
      <c r="F11" s="1">
        <v>0.74</v>
      </c>
      <c r="G11" s="1">
        <v>0.44</v>
      </c>
      <c r="H11" s="1">
        <v>0.56000000000000005</v>
      </c>
      <c r="I11" s="1">
        <v>0.83</v>
      </c>
      <c r="J11" s="1">
        <v>0.97</v>
      </c>
      <c r="K11" s="1">
        <v>0.23</v>
      </c>
      <c r="L11" s="1">
        <v>46.97</v>
      </c>
      <c r="M11" s="1">
        <v>38.659999999999997</v>
      </c>
      <c r="N11" s="1">
        <v>34.299999999999997</v>
      </c>
    </row>
    <row r="12" spans="5:14">
      <c r="E12" s="1">
        <v>12</v>
      </c>
      <c r="F12" s="1">
        <v>0.25</v>
      </c>
      <c r="G12" s="1">
        <v>0.26</v>
      </c>
      <c r="H12" s="1">
        <v>0.51</v>
      </c>
      <c r="I12" s="1">
        <v>0.18</v>
      </c>
      <c r="J12" s="1">
        <v>0.36</v>
      </c>
      <c r="K12" s="1">
        <v>0.1</v>
      </c>
      <c r="L12" s="1">
        <v>15.93</v>
      </c>
      <c r="M12" s="1">
        <v>11.41</v>
      </c>
      <c r="N12" s="1">
        <v>16.579999999999998</v>
      </c>
    </row>
    <row r="13" spans="5:14">
      <c r="E13" s="1">
        <v>24</v>
      </c>
      <c r="F13" s="1">
        <v>0.04</v>
      </c>
      <c r="G13" s="1">
        <v>0.06</v>
      </c>
      <c r="H13" s="1">
        <v>0.14000000000000001</v>
      </c>
      <c r="I13" s="1">
        <v>0.09</v>
      </c>
      <c r="J13" s="1">
        <v>0.11</v>
      </c>
      <c r="K13" s="1">
        <v>0.04</v>
      </c>
      <c r="L13" s="1">
        <v>5.58</v>
      </c>
      <c r="M13" s="1">
        <v>5.74</v>
      </c>
      <c r="N13" s="1">
        <v>10.94</v>
      </c>
    </row>
  </sheetData>
  <mergeCells count="3">
    <mergeCell ref="F6:H6"/>
    <mergeCell ref="L6:N6"/>
    <mergeCell ref="I6:K6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EF3F-A61E-4BD1-BCEE-107B99ED74D5}">
  <dimension ref="E5:N11"/>
  <sheetViews>
    <sheetView workbookViewId="0">
      <selection activeCell="K13" sqref="K13"/>
    </sheetView>
  </sheetViews>
  <sheetFormatPr defaultRowHeight="14.4"/>
  <sheetData>
    <row r="5" spans="5:14">
      <c r="E5" s="2"/>
      <c r="F5" s="39" t="s">
        <v>14</v>
      </c>
      <c r="G5" s="39"/>
      <c r="H5" s="39"/>
      <c r="I5" s="39" t="s">
        <v>26</v>
      </c>
      <c r="J5" s="39"/>
      <c r="K5" s="39"/>
      <c r="L5" s="39" t="s">
        <v>29</v>
      </c>
      <c r="M5" s="39"/>
      <c r="N5" s="39"/>
    </row>
    <row r="6" spans="5:14">
      <c r="E6" s="3" t="s">
        <v>0</v>
      </c>
      <c r="F6" s="1">
        <v>0.04</v>
      </c>
      <c r="G6" s="1">
        <v>0.05</v>
      </c>
      <c r="H6" s="1">
        <v>0.1</v>
      </c>
      <c r="I6" s="1">
        <v>0.08</v>
      </c>
      <c r="J6" s="1">
        <v>0.04</v>
      </c>
      <c r="K6" s="1">
        <v>0.03</v>
      </c>
      <c r="L6" s="1">
        <v>0.1</v>
      </c>
      <c r="M6" s="1">
        <v>0.05</v>
      </c>
      <c r="N6" s="1">
        <v>7.0000000000000007E-2</v>
      </c>
    </row>
    <row r="7" spans="5:14">
      <c r="E7" s="3" t="s">
        <v>1</v>
      </c>
      <c r="F7" s="1">
        <v>43.12</v>
      </c>
      <c r="G7" s="1">
        <v>40.06</v>
      </c>
      <c r="H7" s="1">
        <v>42.3</v>
      </c>
      <c r="I7" s="1">
        <v>45.2</v>
      </c>
      <c r="J7" s="1">
        <v>39.5</v>
      </c>
      <c r="K7" s="1">
        <v>47.5</v>
      </c>
      <c r="L7" s="1">
        <v>16.8</v>
      </c>
      <c r="M7" s="1">
        <v>19.36</v>
      </c>
      <c r="N7" s="1">
        <v>20.399999999999999</v>
      </c>
    </row>
    <row r="8" spans="5:14">
      <c r="E8" s="3" t="s">
        <v>2</v>
      </c>
      <c r="F8" s="1">
        <v>16.09</v>
      </c>
      <c r="G8" s="1">
        <v>18.760000000000002</v>
      </c>
      <c r="H8" s="1">
        <v>13.71</v>
      </c>
      <c r="I8" s="1">
        <v>23.1</v>
      </c>
      <c r="J8" s="1">
        <v>17.600000000000001</v>
      </c>
      <c r="K8" s="1">
        <v>18.2</v>
      </c>
      <c r="L8" s="1">
        <v>9.4499999999999993</v>
      </c>
      <c r="M8" s="1">
        <v>8.94</v>
      </c>
      <c r="N8" s="1">
        <v>7.59</v>
      </c>
    </row>
    <row r="9" spans="5:14">
      <c r="E9" s="3" t="s">
        <v>3</v>
      </c>
      <c r="F9" s="1">
        <v>5.13</v>
      </c>
      <c r="G9" s="1">
        <v>3.37</v>
      </c>
      <c r="H9" s="1">
        <v>4.9000000000000004</v>
      </c>
      <c r="I9" s="1">
        <v>5.26</v>
      </c>
      <c r="J9" s="1">
        <v>4.2300000000000004</v>
      </c>
      <c r="K9" s="1">
        <v>3.89</v>
      </c>
      <c r="L9" s="1">
        <v>0.59</v>
      </c>
      <c r="M9" s="1">
        <v>0.35</v>
      </c>
      <c r="N9" s="1">
        <v>2.75</v>
      </c>
    </row>
    <row r="10" spans="5:14">
      <c r="E10" s="3" t="s">
        <v>4</v>
      </c>
      <c r="F10" s="1">
        <v>1.35</v>
      </c>
      <c r="G10" s="1">
        <v>2.59</v>
      </c>
      <c r="H10" s="1">
        <v>2.76</v>
      </c>
      <c r="I10" s="1">
        <v>2.16</v>
      </c>
      <c r="J10" s="1">
        <v>2.89</v>
      </c>
      <c r="K10" s="1">
        <v>1.73</v>
      </c>
      <c r="L10" s="1">
        <v>0.39</v>
      </c>
      <c r="M10" s="1">
        <v>0.24</v>
      </c>
      <c r="N10" s="1">
        <v>0.87</v>
      </c>
    </row>
    <row r="11" spans="5:14">
      <c r="E11" s="3" t="s">
        <v>5</v>
      </c>
      <c r="F11" s="1">
        <v>0.48</v>
      </c>
      <c r="G11" s="1">
        <v>0.53</v>
      </c>
      <c r="H11" s="1">
        <v>0.41</v>
      </c>
      <c r="I11" s="1">
        <v>0.56000000000000005</v>
      </c>
      <c r="J11" s="1">
        <v>0.41</v>
      </c>
      <c r="K11" s="1">
        <v>0.38</v>
      </c>
      <c r="L11" s="1">
        <v>7.73</v>
      </c>
      <c r="M11" s="1">
        <v>7.09</v>
      </c>
      <c r="N11" s="1">
        <v>6.47</v>
      </c>
    </row>
  </sheetData>
  <mergeCells count="3">
    <mergeCell ref="F5:H5"/>
    <mergeCell ref="I5:K5"/>
    <mergeCell ref="L5:N5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E892F-5247-438F-9537-E8D97ECC2DD7}">
  <dimension ref="D4:AM8"/>
  <sheetViews>
    <sheetView workbookViewId="0">
      <selection activeCell="F12" sqref="F12"/>
    </sheetView>
  </sheetViews>
  <sheetFormatPr defaultRowHeight="14.4"/>
  <sheetData>
    <row r="4" spans="4:39">
      <c r="D4" s="2" t="s">
        <v>36</v>
      </c>
      <c r="E4" s="39" t="s">
        <v>6</v>
      </c>
      <c r="F4" s="39"/>
      <c r="G4" s="39"/>
      <c r="H4" s="39"/>
      <c r="I4" s="39"/>
      <c r="J4" s="39" t="s">
        <v>25</v>
      </c>
      <c r="K4" s="39"/>
      <c r="L4" s="39"/>
      <c r="M4" s="39"/>
      <c r="N4" s="39"/>
      <c r="O4" s="39" t="s">
        <v>14</v>
      </c>
      <c r="P4" s="39"/>
      <c r="Q4" s="39"/>
      <c r="R4" s="39"/>
      <c r="S4" s="39"/>
      <c r="T4" s="39" t="s">
        <v>26</v>
      </c>
      <c r="U4" s="39"/>
      <c r="V4" s="39"/>
      <c r="W4" s="39"/>
      <c r="X4" s="39"/>
      <c r="Y4" s="39" t="s">
        <v>21</v>
      </c>
      <c r="Z4" s="39"/>
      <c r="AA4" s="39"/>
      <c r="AB4" s="39"/>
      <c r="AC4" s="39"/>
      <c r="AD4" s="39" t="s">
        <v>27</v>
      </c>
      <c r="AE4" s="39"/>
      <c r="AF4" s="39"/>
      <c r="AG4" s="39"/>
      <c r="AH4" s="39"/>
      <c r="AI4" s="39" t="s">
        <v>28</v>
      </c>
      <c r="AJ4" s="39"/>
      <c r="AK4" s="39"/>
      <c r="AL4" s="39"/>
      <c r="AM4" s="39"/>
    </row>
    <row r="5" spans="4:39"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</row>
    <row r="6" spans="4:39">
      <c r="D6" s="1">
        <v>11</v>
      </c>
      <c r="E6" s="1">
        <v>0.85</v>
      </c>
      <c r="F6" s="1">
        <v>0.83</v>
      </c>
      <c r="G6" s="1">
        <v>1.21</v>
      </c>
      <c r="H6" s="1">
        <v>1.1100000000000001</v>
      </c>
      <c r="I6" s="1">
        <v>1</v>
      </c>
      <c r="J6" s="1">
        <v>0.89</v>
      </c>
      <c r="K6" s="1">
        <v>0.96</v>
      </c>
      <c r="L6" s="1">
        <v>1.41</v>
      </c>
      <c r="M6" s="1">
        <v>1.04</v>
      </c>
      <c r="N6" s="1">
        <v>0.7</v>
      </c>
      <c r="O6" s="1">
        <v>0.99</v>
      </c>
      <c r="P6" s="1">
        <v>0.83</v>
      </c>
      <c r="Q6" s="1">
        <v>1.21</v>
      </c>
      <c r="R6" s="1">
        <v>1.35</v>
      </c>
      <c r="S6" s="1">
        <v>0.68</v>
      </c>
      <c r="T6" s="1">
        <v>1.21</v>
      </c>
      <c r="U6" s="1">
        <v>0.95</v>
      </c>
      <c r="V6" s="1">
        <v>0.84</v>
      </c>
      <c r="W6" s="1">
        <v>1.21</v>
      </c>
      <c r="X6" s="1">
        <v>1.1499999999999999</v>
      </c>
      <c r="Y6" s="1">
        <v>1.26</v>
      </c>
      <c r="Z6" s="1">
        <v>0.85</v>
      </c>
      <c r="AA6" s="1">
        <v>1.03</v>
      </c>
      <c r="AB6" s="1">
        <v>0.98</v>
      </c>
      <c r="AC6" s="1">
        <v>1.32</v>
      </c>
      <c r="AD6" s="1">
        <v>1.03</v>
      </c>
      <c r="AE6" s="1">
        <v>0.98</v>
      </c>
      <c r="AF6" s="1">
        <v>1.1200000000000001</v>
      </c>
      <c r="AG6" s="1">
        <v>1.26</v>
      </c>
      <c r="AH6" s="1">
        <v>0.87</v>
      </c>
      <c r="AI6" s="1">
        <v>1.21</v>
      </c>
      <c r="AJ6" s="1">
        <v>0.89</v>
      </c>
      <c r="AK6" s="1">
        <v>1.23</v>
      </c>
      <c r="AL6" s="1">
        <v>1.1000000000000001</v>
      </c>
      <c r="AM6" s="1">
        <v>0.81</v>
      </c>
    </row>
    <row r="7" spans="4:39">
      <c r="D7" s="1">
        <v>18</v>
      </c>
      <c r="E7" s="1">
        <v>19.309999999999999</v>
      </c>
      <c r="F7" s="1">
        <v>18.34</v>
      </c>
      <c r="G7" s="1">
        <v>16.87</v>
      </c>
      <c r="H7" s="1">
        <v>22.35</v>
      </c>
      <c r="I7" s="1">
        <v>25.47</v>
      </c>
      <c r="J7" s="1">
        <v>13.9</v>
      </c>
      <c r="K7" s="1">
        <v>18.13</v>
      </c>
      <c r="L7" s="1">
        <v>15.8</v>
      </c>
      <c r="M7" s="1">
        <v>21.6</v>
      </c>
      <c r="N7" s="1">
        <v>17.600000000000001</v>
      </c>
      <c r="O7" s="1">
        <v>9.98</v>
      </c>
      <c r="P7" s="1">
        <v>8.94</v>
      </c>
      <c r="Q7" s="1">
        <v>16.850000000000001</v>
      </c>
      <c r="R7" s="1">
        <v>11.6</v>
      </c>
      <c r="S7" s="1">
        <v>7.4</v>
      </c>
      <c r="T7" s="1">
        <v>10.210000000000001</v>
      </c>
      <c r="U7" s="1">
        <v>8.42</v>
      </c>
      <c r="V7" s="1">
        <v>6.59</v>
      </c>
      <c r="W7" s="1">
        <v>15.6</v>
      </c>
      <c r="X7" s="1">
        <v>8.99</v>
      </c>
      <c r="Y7" s="1">
        <v>2.0299999999999998</v>
      </c>
      <c r="Z7" s="1">
        <v>2.4500000000000002</v>
      </c>
      <c r="AA7" s="1">
        <v>2.87</v>
      </c>
      <c r="AB7" s="1">
        <v>1.98</v>
      </c>
      <c r="AC7" s="1">
        <v>2.31</v>
      </c>
      <c r="AD7" s="1">
        <v>2.2599999999999998</v>
      </c>
      <c r="AE7" s="1">
        <v>1.95</v>
      </c>
      <c r="AF7" s="1">
        <v>2.56</v>
      </c>
      <c r="AG7" s="1">
        <v>2.34</v>
      </c>
      <c r="AH7" s="1">
        <v>2.4500000000000002</v>
      </c>
      <c r="AI7" s="1">
        <v>1.02</v>
      </c>
      <c r="AJ7" s="1">
        <v>1.03</v>
      </c>
      <c r="AK7" s="1">
        <v>0.95</v>
      </c>
      <c r="AL7" s="1">
        <v>0.85</v>
      </c>
      <c r="AM7" s="1">
        <v>0.78</v>
      </c>
    </row>
    <row r="8" spans="4:39">
      <c r="D8" s="1">
        <v>25</v>
      </c>
      <c r="E8" s="1">
        <v>30.25</v>
      </c>
      <c r="F8" s="1">
        <v>44.1</v>
      </c>
      <c r="G8" s="1">
        <v>35.6</v>
      </c>
      <c r="H8" s="1"/>
      <c r="I8" s="1">
        <v>38.9</v>
      </c>
      <c r="J8" s="1">
        <v>28.9</v>
      </c>
      <c r="K8" s="1">
        <v>36.9</v>
      </c>
      <c r="L8" s="1">
        <v>36.5</v>
      </c>
      <c r="M8" s="1">
        <v>40.6</v>
      </c>
      <c r="N8" s="1">
        <v>30.2</v>
      </c>
      <c r="O8" s="1">
        <v>25.6</v>
      </c>
      <c r="P8" s="1">
        <v>22.8</v>
      </c>
      <c r="Q8" s="1">
        <v>26.3</v>
      </c>
      <c r="R8" s="1">
        <v>29.5</v>
      </c>
      <c r="S8" s="1">
        <v>18.600000000000001</v>
      </c>
      <c r="T8" s="1">
        <v>23.6</v>
      </c>
      <c r="U8" s="1">
        <v>21.3</v>
      </c>
      <c r="V8" s="1">
        <v>28.7</v>
      </c>
      <c r="W8" s="1">
        <v>22.1</v>
      </c>
      <c r="X8" s="1">
        <v>19.8</v>
      </c>
      <c r="Y8" s="1">
        <v>3.06</v>
      </c>
      <c r="Z8" s="1">
        <v>3.54</v>
      </c>
      <c r="AA8" s="1">
        <v>3.02</v>
      </c>
      <c r="AB8" s="1">
        <v>2.4900000000000002</v>
      </c>
      <c r="AC8" s="1">
        <v>2.48</v>
      </c>
      <c r="AD8" s="1">
        <v>3.26</v>
      </c>
      <c r="AE8" s="1">
        <v>3.14</v>
      </c>
      <c r="AF8" s="1">
        <v>2.89</v>
      </c>
      <c r="AG8" s="1">
        <v>3.01</v>
      </c>
      <c r="AH8" s="1">
        <v>2.48</v>
      </c>
      <c r="AI8" s="1">
        <v>0.45</v>
      </c>
      <c r="AJ8" s="1">
        <v>0.68</v>
      </c>
      <c r="AK8" s="1">
        <v>0.48</v>
      </c>
      <c r="AL8" s="1">
        <v>0.54</v>
      </c>
      <c r="AM8" s="1">
        <v>0.43</v>
      </c>
    </row>
  </sheetData>
  <mergeCells count="7">
    <mergeCell ref="AI4:AM4"/>
    <mergeCell ref="E4:I4"/>
    <mergeCell ref="J4:N4"/>
    <mergeCell ref="O4:S4"/>
    <mergeCell ref="T4:X4"/>
    <mergeCell ref="Y4:AC4"/>
    <mergeCell ref="AD4:AH4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7EAEE-D56D-497A-87C3-684991E1A001}">
  <dimension ref="C5:AL16"/>
  <sheetViews>
    <sheetView workbookViewId="0">
      <selection activeCell="G21" sqref="G21"/>
    </sheetView>
  </sheetViews>
  <sheetFormatPr defaultRowHeight="14.4"/>
  <sheetData>
    <row r="5" spans="3:38">
      <c r="C5" s="2"/>
      <c r="D5" s="39" t="s">
        <v>6</v>
      </c>
      <c r="E5" s="39"/>
      <c r="F5" s="39"/>
      <c r="G5" s="39"/>
      <c r="H5" s="39"/>
      <c r="I5" s="39" t="s">
        <v>25</v>
      </c>
      <c r="J5" s="39"/>
      <c r="K5" s="39"/>
      <c r="L5" s="39"/>
      <c r="M5" s="39"/>
      <c r="N5" s="39" t="s">
        <v>14</v>
      </c>
      <c r="O5" s="39"/>
      <c r="P5" s="39"/>
      <c r="Q5" s="39"/>
      <c r="R5" s="39"/>
      <c r="S5" s="39" t="s">
        <v>26</v>
      </c>
      <c r="T5" s="39"/>
      <c r="U5" s="39"/>
      <c r="V5" s="39"/>
      <c r="W5" s="39"/>
      <c r="X5" s="39" t="s">
        <v>21</v>
      </c>
      <c r="Y5" s="39"/>
      <c r="Z5" s="39"/>
      <c r="AA5" s="39"/>
      <c r="AB5" s="39"/>
      <c r="AC5" s="39" t="s">
        <v>27</v>
      </c>
      <c r="AD5" s="39"/>
      <c r="AE5" s="39"/>
      <c r="AF5" s="39"/>
      <c r="AG5" s="39"/>
      <c r="AH5" s="39" t="s">
        <v>28</v>
      </c>
      <c r="AI5" s="39"/>
      <c r="AJ5" s="39"/>
      <c r="AK5" s="39"/>
      <c r="AL5" s="39"/>
    </row>
    <row r="6" spans="3:38">
      <c r="C6" s="3" t="s">
        <v>1</v>
      </c>
      <c r="D6" s="1">
        <v>0.112371</v>
      </c>
      <c r="E6" s="1">
        <v>0.134325</v>
      </c>
      <c r="F6" s="1">
        <v>0.32199</v>
      </c>
      <c r="G6" s="1">
        <v>3.4313129999999998</v>
      </c>
      <c r="H6" s="1"/>
      <c r="I6" s="1">
        <v>0.43582599999999999</v>
      </c>
      <c r="J6" s="1">
        <v>2.8784000000000001E-2</v>
      </c>
      <c r="K6" s="1">
        <v>0.21953900000000001</v>
      </c>
      <c r="L6" s="1">
        <v>0.196772</v>
      </c>
      <c r="M6" s="1">
        <v>1.3676000000000001E-2</v>
      </c>
      <c r="N6" s="1">
        <v>2.2117000000000001E-2</v>
      </c>
      <c r="O6" s="1">
        <v>3.15E-5</v>
      </c>
      <c r="P6" s="1">
        <v>1.8700999999999999E-2</v>
      </c>
      <c r="Q6" s="1">
        <v>0.147172</v>
      </c>
      <c r="R6" s="1">
        <v>0.73992800000000003</v>
      </c>
      <c r="S6" s="1">
        <v>0.36752400000000002</v>
      </c>
      <c r="T6" s="1">
        <v>3.0734999999999998E-2</v>
      </c>
      <c r="U6" s="1">
        <v>1.6913000000000001E-2</v>
      </c>
      <c r="V6" s="1">
        <v>2.8133999999999999E-2</v>
      </c>
      <c r="W6" s="1">
        <v>3.0569999999999998E-3</v>
      </c>
      <c r="X6" s="1">
        <v>4.2606999999999999E-2</v>
      </c>
      <c r="Y6" s="1">
        <v>0.36102000000000001</v>
      </c>
      <c r="Z6" s="1">
        <v>2.1302999999999999E-2</v>
      </c>
      <c r="AA6" s="1">
        <v>7.92E-3</v>
      </c>
      <c r="AB6" s="1">
        <v>4.6835000000000002E-2</v>
      </c>
      <c r="AC6" s="1">
        <v>2.6200000000000003E-4</v>
      </c>
      <c r="AD6" s="1">
        <v>2.5690000000000001E-3</v>
      </c>
      <c r="AE6" s="1">
        <v>1.2149999999999999E-3</v>
      </c>
      <c r="AF6" s="1">
        <v>8.7980000000000003E-3</v>
      </c>
      <c r="AG6" s="1">
        <v>3.0899999999999999E-3</v>
      </c>
      <c r="AH6" s="1">
        <v>2.5900000000000001E-4</v>
      </c>
      <c r="AI6" s="1">
        <v>3.1199999999999999E-5</v>
      </c>
      <c r="AJ6" s="1">
        <v>4.6000000000000001E-4</v>
      </c>
      <c r="AK6" s="1">
        <v>4.8099999999999998E-4</v>
      </c>
      <c r="AL6" s="1">
        <v>3.1700000000000001E-4</v>
      </c>
    </row>
    <row r="7" spans="3:38">
      <c r="C7" s="3" t="s">
        <v>2</v>
      </c>
      <c r="D7" s="1">
        <v>0.96759799999999996</v>
      </c>
      <c r="E7" s="1">
        <v>0.715534</v>
      </c>
      <c r="F7" s="1">
        <v>0.390291</v>
      </c>
      <c r="G7" s="1">
        <v>0.52038899999999999</v>
      </c>
      <c r="H7" s="1"/>
      <c r="I7" s="1">
        <v>0.89604399999999995</v>
      </c>
      <c r="J7" s="1">
        <v>0.45371400000000001</v>
      </c>
      <c r="K7" s="1">
        <v>0.333374</v>
      </c>
      <c r="L7" s="1">
        <v>0.83099599999999996</v>
      </c>
      <c r="M7" s="1">
        <v>0.213034</v>
      </c>
      <c r="N7" s="1">
        <v>0.52851999999999999</v>
      </c>
      <c r="O7" s="1">
        <v>0.148148</v>
      </c>
      <c r="P7" s="1">
        <v>0.24393200000000001</v>
      </c>
      <c r="Q7" s="1">
        <v>0.13952899999999999</v>
      </c>
      <c r="R7" s="1">
        <v>5.6429999999999996E-3</v>
      </c>
      <c r="S7" s="1">
        <v>9.6921999999999994E-2</v>
      </c>
      <c r="T7" s="1">
        <v>0.68463600000000002</v>
      </c>
      <c r="U7" s="1">
        <v>0.30410199999999998</v>
      </c>
      <c r="V7" s="1">
        <v>7.0578000000000002E-2</v>
      </c>
      <c r="W7" s="1">
        <v>1.7238E-2</v>
      </c>
      <c r="X7" s="1">
        <v>4.7322999999999997E-2</v>
      </c>
      <c r="Y7" s="1">
        <v>2.9600000000000001E-5</v>
      </c>
      <c r="Z7" s="1">
        <v>8.8303000000000006E-2</v>
      </c>
      <c r="AA7" s="1">
        <v>1.2945E-2</v>
      </c>
      <c r="AB7" s="1">
        <v>0.19026699999999999</v>
      </c>
      <c r="AC7" s="1">
        <v>4.3600000000000003E-4</v>
      </c>
      <c r="AD7" s="1">
        <v>2.7999999999999998E-4</v>
      </c>
      <c r="AE7" s="1">
        <v>4.4559999999999999E-3</v>
      </c>
      <c r="AF7" s="1">
        <v>7.4968000000000007E-2</v>
      </c>
      <c r="AG7" s="1">
        <v>1.529E-3</v>
      </c>
      <c r="AH7" s="1">
        <v>2.7500000000000002E-4</v>
      </c>
      <c r="AI7" s="1">
        <v>2.3900000000000001E-4</v>
      </c>
      <c r="AJ7" s="1">
        <v>1.273E-3</v>
      </c>
      <c r="AK7" s="1">
        <v>4.3090000000000003E-3</v>
      </c>
      <c r="AL7" s="1">
        <v>1.7900000000000001E-5</v>
      </c>
    </row>
    <row r="8" spans="3:38">
      <c r="C8" s="3" t="s">
        <v>3</v>
      </c>
      <c r="D8" s="1">
        <v>1.3887999999999999E-2</v>
      </c>
      <c r="E8" s="1">
        <v>9.8060000000000005E-3</v>
      </c>
      <c r="F8" s="1">
        <v>9.1070000000000005E-3</v>
      </c>
      <c r="G8" s="1">
        <v>9.6109E-2</v>
      </c>
      <c r="H8" s="1"/>
      <c r="I8" s="1">
        <v>1.7075E-2</v>
      </c>
      <c r="J8" s="1">
        <v>4.7320000000000001E-3</v>
      </c>
      <c r="K8" s="1">
        <v>2.1949999999999999E-3</v>
      </c>
      <c r="L8" s="1">
        <v>1.1172E-2</v>
      </c>
      <c r="M8" s="1">
        <v>3.7569999999999999E-3</v>
      </c>
      <c r="N8" s="1">
        <v>5.7409999999999996E-3</v>
      </c>
      <c r="O8" s="1">
        <v>7.3300000000000004E-4</v>
      </c>
      <c r="P8" s="1">
        <v>1.691E-3</v>
      </c>
      <c r="Q8" s="1">
        <v>8.34E-4</v>
      </c>
      <c r="R8" s="1">
        <v>2.846E-3</v>
      </c>
      <c r="S8" s="1">
        <v>2.4230999999999999E-2</v>
      </c>
      <c r="T8" s="1">
        <v>2.7160000000000001E-3</v>
      </c>
      <c r="U8" s="1">
        <v>2.846E-3</v>
      </c>
      <c r="V8" s="1">
        <v>1.9350000000000001E-3</v>
      </c>
      <c r="W8" s="1">
        <v>5.5290000000000001E-3</v>
      </c>
      <c r="X8" s="1">
        <v>7.3829999999999998E-3</v>
      </c>
      <c r="Y8" s="1">
        <v>9.221E-3</v>
      </c>
      <c r="Z8" s="1">
        <v>2.1299999999999999E-3</v>
      </c>
      <c r="AA8" s="1">
        <v>9.6919999999999992E-3</v>
      </c>
      <c r="AB8" s="1">
        <v>3.9189999999999997E-3</v>
      </c>
      <c r="AC8" s="1">
        <v>4.6500000000000003E-4</v>
      </c>
      <c r="AD8" s="1">
        <v>9.4300000000000004E-4</v>
      </c>
      <c r="AE8" s="1">
        <v>1.6100000000000001E-4</v>
      </c>
      <c r="AF8" s="1">
        <v>9.0700000000000004E-4</v>
      </c>
      <c r="AG8" s="1">
        <v>2.813E-3</v>
      </c>
      <c r="AH8" s="1">
        <v>2.33E-4</v>
      </c>
      <c r="AI8" s="1">
        <v>3.2499999999999997E-5</v>
      </c>
      <c r="AJ8" s="1">
        <v>2.8299999999999999E-4</v>
      </c>
      <c r="AK8" s="1">
        <v>1.145E-3</v>
      </c>
      <c r="AL8" s="1">
        <v>2.8299999999999999E-4</v>
      </c>
    </row>
    <row r="9" spans="3:38">
      <c r="C9" s="3" t="s">
        <v>4</v>
      </c>
      <c r="D9" s="1">
        <v>0.28458800000000001</v>
      </c>
      <c r="E9" s="1">
        <v>0.25206299999999998</v>
      </c>
      <c r="F9" s="1">
        <v>0.245558</v>
      </c>
      <c r="G9" s="1">
        <v>0.273204</v>
      </c>
      <c r="H9" s="1"/>
      <c r="I9" s="1">
        <v>0.37565599999999999</v>
      </c>
      <c r="J9" s="1">
        <v>3.2036000000000002E-2</v>
      </c>
      <c r="K9" s="1">
        <v>1.005E-2</v>
      </c>
      <c r="L9" s="1">
        <v>0.13741500000000001</v>
      </c>
      <c r="M9" s="1">
        <v>2.03E-4</v>
      </c>
      <c r="N9" s="1">
        <v>1.3302E-2</v>
      </c>
      <c r="O9" s="1">
        <v>3.594E-3</v>
      </c>
      <c r="P9" s="1">
        <v>6.9601999999999997E-2</v>
      </c>
      <c r="Q9" s="1">
        <v>9.4000000000000004E-3</v>
      </c>
      <c r="R9" s="1">
        <v>2.163E-3</v>
      </c>
      <c r="S9" s="1">
        <v>7.9685000000000006E-2</v>
      </c>
      <c r="T9" s="1">
        <v>1.273E-3</v>
      </c>
      <c r="U9" s="1">
        <v>4.6350000000000002E-3</v>
      </c>
      <c r="V9" s="1">
        <v>2.2439999999999999E-3</v>
      </c>
      <c r="W9" s="1">
        <v>1.4311000000000001E-2</v>
      </c>
      <c r="X9" s="1">
        <v>3.0409999999999999E-3</v>
      </c>
      <c r="Y9" s="1">
        <v>0.188641</v>
      </c>
      <c r="Z9" s="1">
        <v>1.64E-4</v>
      </c>
      <c r="AA9" s="1">
        <v>1.2847000000000001E-2</v>
      </c>
      <c r="AB9" s="1">
        <v>1.176E-3</v>
      </c>
      <c r="AC9" s="1">
        <v>2.9919999999999999E-3</v>
      </c>
      <c r="AD9" s="1">
        <v>3.5609999999999999E-3</v>
      </c>
      <c r="AE9" s="1">
        <v>9.3300000000000005E-5</v>
      </c>
      <c r="AF9" s="1">
        <v>2E-3</v>
      </c>
      <c r="AG9" s="1">
        <v>1.7100000000000001E-4</v>
      </c>
      <c r="AH9" s="1">
        <v>3.5E-4</v>
      </c>
      <c r="AI9" s="1">
        <v>4.3100000000000001E-4</v>
      </c>
      <c r="AJ9" s="1">
        <v>5.8200000000000005E-4</v>
      </c>
      <c r="AK9" s="1">
        <v>3.3199999999999999E-4</v>
      </c>
      <c r="AL9" s="1">
        <v>1.299E-3</v>
      </c>
    </row>
    <row r="10" spans="3:38">
      <c r="C10" s="3" t="s">
        <v>5</v>
      </c>
      <c r="D10" s="1">
        <v>3.6101960000000002</v>
      </c>
      <c r="E10" s="1">
        <v>3.2524289999999998</v>
      </c>
      <c r="F10" s="1">
        <v>3.0898080000000001</v>
      </c>
      <c r="G10" s="1">
        <v>3.0410210000000002</v>
      </c>
      <c r="H10" s="1"/>
      <c r="I10" s="1">
        <v>1.935195</v>
      </c>
      <c r="J10" s="1">
        <v>2.0327679999999999</v>
      </c>
      <c r="K10" s="1">
        <v>2.097817</v>
      </c>
      <c r="L10" s="1">
        <v>2.5043700000000002</v>
      </c>
      <c r="M10" s="1">
        <v>2.0002439999999999</v>
      </c>
      <c r="N10" s="1">
        <v>1.037525</v>
      </c>
      <c r="O10" s="1">
        <v>1.395292</v>
      </c>
      <c r="P10" s="1">
        <v>1.083059</v>
      </c>
      <c r="Q10" s="1">
        <v>1.19852</v>
      </c>
      <c r="R10" s="1">
        <v>1.658739</v>
      </c>
      <c r="S10" s="1">
        <v>0.96434500000000001</v>
      </c>
      <c r="T10" s="1">
        <v>0.73667499999999997</v>
      </c>
      <c r="U10" s="1">
        <v>1.4001710000000001</v>
      </c>
      <c r="V10" s="1">
        <v>1.0619179999999999</v>
      </c>
      <c r="W10" s="1">
        <v>1.294467</v>
      </c>
      <c r="X10" s="1">
        <v>0.38216</v>
      </c>
      <c r="Y10" s="1">
        <v>0.58218499999999995</v>
      </c>
      <c r="Z10" s="1">
        <v>0.48298600000000003</v>
      </c>
      <c r="AA10" s="1">
        <v>0.41468500000000003</v>
      </c>
      <c r="AB10" s="1">
        <v>0.40492699999999998</v>
      </c>
      <c r="AC10" s="1">
        <v>0.43745200000000001</v>
      </c>
      <c r="AD10" s="1">
        <v>0.28296100000000002</v>
      </c>
      <c r="AE10" s="1">
        <v>0.26832499999999998</v>
      </c>
      <c r="AF10" s="1">
        <v>0.29922300000000002</v>
      </c>
      <c r="AG10" s="1">
        <v>0.25206299999999998</v>
      </c>
      <c r="AH10" s="1">
        <v>0.11838799999999999</v>
      </c>
      <c r="AI10" s="1">
        <v>2.6019E-2</v>
      </c>
      <c r="AJ10" s="1">
        <v>2.5044E-2</v>
      </c>
      <c r="AK10" s="1">
        <v>7.7408000000000005E-2</v>
      </c>
      <c r="AL10" s="1">
        <v>2.2279E-2</v>
      </c>
    </row>
    <row r="11" spans="3:38">
      <c r="C11" s="3" t="s">
        <v>7</v>
      </c>
      <c r="D11" s="1">
        <v>0.46834999999999999</v>
      </c>
      <c r="E11" s="1">
        <v>2.61</v>
      </c>
      <c r="F11" s="1">
        <v>0.91881100000000004</v>
      </c>
      <c r="G11" s="1">
        <v>1.5692969999999999</v>
      </c>
      <c r="H11" s="1"/>
      <c r="I11" s="1">
        <v>4.4070000000000003E-3</v>
      </c>
      <c r="J11" s="1">
        <v>1.4798549999999999</v>
      </c>
      <c r="K11" s="1">
        <v>0.96759799999999996</v>
      </c>
      <c r="L11" s="1">
        <v>0.14310700000000001</v>
      </c>
      <c r="M11" s="1">
        <v>1.54E-2</v>
      </c>
      <c r="N11" s="1">
        <v>0.32</v>
      </c>
      <c r="O11" s="1">
        <v>6.6670000000000002E-3</v>
      </c>
      <c r="P11" s="1">
        <v>0.469976</v>
      </c>
      <c r="Q11" s="1">
        <v>0.29109200000000002</v>
      </c>
      <c r="R11" s="1">
        <v>0.60007299999999997</v>
      </c>
      <c r="S11" s="1">
        <v>1.096069</v>
      </c>
      <c r="T11" s="1">
        <v>0.20327700000000001</v>
      </c>
      <c r="U11" s="1">
        <v>1.1789999999999999E-3</v>
      </c>
      <c r="V11" s="1">
        <v>3.2198999999999998E-2</v>
      </c>
      <c r="W11" s="1">
        <v>7.8379999999999995E-3</v>
      </c>
      <c r="X11" s="1">
        <v>0.38053399999999998</v>
      </c>
      <c r="Y11" s="1">
        <v>0.22767000000000001</v>
      </c>
      <c r="Z11" s="1">
        <v>0.23905399999999999</v>
      </c>
      <c r="AA11" s="1">
        <v>0.26832499999999998</v>
      </c>
      <c r="AB11" s="1">
        <v>0.333374</v>
      </c>
      <c r="AC11" s="1">
        <v>3.7891000000000001E-2</v>
      </c>
      <c r="AD11" s="1">
        <v>3.0085000000000001E-2</v>
      </c>
      <c r="AE11" s="1">
        <v>0.11903900000000001</v>
      </c>
      <c r="AF11" s="1">
        <v>1.1169999999999999E-3</v>
      </c>
      <c r="AG11" s="1">
        <v>0.118876</v>
      </c>
      <c r="AH11" s="1">
        <v>8.4900000000000004E-4</v>
      </c>
      <c r="AI11" s="1">
        <v>6.9399999999999996E-4</v>
      </c>
      <c r="AJ11" s="1">
        <v>1.2160000000000001E-3</v>
      </c>
      <c r="AK11" s="1">
        <v>5.22E-4</v>
      </c>
      <c r="AL11" s="1">
        <v>1.5839999999999999E-3</v>
      </c>
    </row>
    <row r="12" spans="3:38">
      <c r="C12" s="3" t="s">
        <v>8</v>
      </c>
      <c r="D12" s="1">
        <v>0.21953900000000001</v>
      </c>
      <c r="E12" s="1">
        <v>0.86026800000000003</v>
      </c>
      <c r="F12" s="1">
        <v>0.59519500000000003</v>
      </c>
      <c r="G12" s="1">
        <v>3.7240000000000002E-2</v>
      </c>
      <c r="H12" s="1"/>
      <c r="I12" s="1">
        <v>0.84725799999999996</v>
      </c>
      <c r="J12" s="1">
        <v>1.8863999999999999E-2</v>
      </c>
      <c r="K12" s="1">
        <v>0.169126</v>
      </c>
      <c r="L12" s="1">
        <v>0.27808300000000002</v>
      </c>
      <c r="M12" s="1">
        <v>2.0978E-2</v>
      </c>
      <c r="N12" s="1">
        <v>0.313859</v>
      </c>
      <c r="O12" s="1">
        <v>1.205E-2</v>
      </c>
      <c r="P12" s="1">
        <v>1.6750000000000001E-2</v>
      </c>
      <c r="Q12" s="1">
        <v>2.8947000000000001E-2</v>
      </c>
      <c r="R12" s="1">
        <v>5.1875999999999999E-2</v>
      </c>
      <c r="S12" s="1">
        <v>0.32036399999999998</v>
      </c>
      <c r="T12" s="1">
        <v>7.9033999999999993E-2</v>
      </c>
      <c r="U12" s="1">
        <v>1.0163999999999999E-2</v>
      </c>
      <c r="V12" s="1">
        <v>1.2586999999999999E-2</v>
      </c>
      <c r="W12" s="1">
        <v>1.5368E-2</v>
      </c>
      <c r="X12" s="1">
        <v>5.2199999999999998E-3</v>
      </c>
      <c r="Y12" s="1">
        <v>0.43745200000000001</v>
      </c>
      <c r="Z12" s="1">
        <v>8.6510000000000007E-3</v>
      </c>
      <c r="AA12" s="1">
        <v>4.0000000000000001E-3</v>
      </c>
      <c r="AB12" s="1">
        <v>6.0980000000000001E-3</v>
      </c>
      <c r="AC12" s="1">
        <v>9.92E-3</v>
      </c>
      <c r="AD12" s="1">
        <v>9.6109999999999998E-3</v>
      </c>
      <c r="AE12" s="1">
        <v>8.8950000000000001E-3</v>
      </c>
      <c r="AF12" s="1">
        <v>6.4559999999999999E-3</v>
      </c>
      <c r="AG12" s="1">
        <v>3.48E-3</v>
      </c>
      <c r="AH12" s="1">
        <v>1.6199999999999999E-3</v>
      </c>
      <c r="AI12" s="1">
        <v>1.8900000000000001E-4</v>
      </c>
      <c r="AJ12" s="1">
        <v>2.2599999999999999E-3</v>
      </c>
      <c r="AK12" s="1">
        <v>7.1199999999999996E-4</v>
      </c>
      <c r="AL12" s="1">
        <v>1.451E-3</v>
      </c>
    </row>
    <row r="13" spans="3:38">
      <c r="C13" s="3" t="s">
        <v>9</v>
      </c>
      <c r="D13" s="1">
        <v>7.4968000000000007E-2</v>
      </c>
      <c r="E13" s="1">
        <v>2.2116500000000001</v>
      </c>
      <c r="F13" s="1">
        <v>0.119202</v>
      </c>
      <c r="G13" s="1">
        <v>2.7483E-2</v>
      </c>
      <c r="H13" s="1"/>
      <c r="I13" s="1">
        <v>1.4392</v>
      </c>
      <c r="J13" s="1">
        <v>2.1302999999999999E-2</v>
      </c>
      <c r="K13" s="1">
        <v>6.8789000000000003E-2</v>
      </c>
      <c r="L13" s="1">
        <v>0.13058500000000001</v>
      </c>
      <c r="M13" s="1">
        <v>1.9840000000000001E-3</v>
      </c>
      <c r="N13" s="1">
        <v>0.22604399999999999</v>
      </c>
      <c r="O13" s="1">
        <v>3.1199999999999999E-4</v>
      </c>
      <c r="P13" s="1">
        <v>1.3351E-2</v>
      </c>
      <c r="Q13" s="1">
        <v>1.4652E-2</v>
      </c>
      <c r="R13" s="1">
        <v>0.48949100000000001</v>
      </c>
      <c r="S13" s="1">
        <v>5.1388000000000003E-2</v>
      </c>
      <c r="T13" s="1">
        <v>2.065E-3</v>
      </c>
      <c r="U13" s="1">
        <v>3.7079999999999999E-3</v>
      </c>
      <c r="V13" s="1">
        <v>1.01E-3</v>
      </c>
      <c r="W13" s="1">
        <v>4.5859999999999998E-3</v>
      </c>
      <c r="X13" s="1">
        <v>5.1710000000000002E-3</v>
      </c>
      <c r="Y13" s="1">
        <v>0.02</v>
      </c>
      <c r="Z13" s="1">
        <v>9.0743000000000004E-2</v>
      </c>
      <c r="AA13" s="1">
        <v>1.0083E-2</v>
      </c>
      <c r="AB13" s="1">
        <v>1.4180999999999999E-2</v>
      </c>
      <c r="AC13" s="1">
        <v>7.5299999999999998E-4</v>
      </c>
      <c r="AD13" s="1">
        <v>4.2770000000000004E-3</v>
      </c>
      <c r="AE13" s="1">
        <v>3.3660000000000001E-3</v>
      </c>
      <c r="AF13" s="1">
        <v>1.2539999999999999E-3</v>
      </c>
      <c r="AG13" s="1">
        <v>0.17888399999999999</v>
      </c>
      <c r="AH13" s="1">
        <v>7.9800000000000002E-5</v>
      </c>
      <c r="AI13" s="1">
        <v>3.3699999999999999E-5</v>
      </c>
      <c r="AJ13" s="1">
        <v>9.7700000000000003E-5</v>
      </c>
      <c r="AK13" s="1">
        <v>7.1599999999999995E-4</v>
      </c>
      <c r="AL13" s="1">
        <v>3.3E-4</v>
      </c>
    </row>
    <row r="14" spans="3:38">
      <c r="C14" s="3" t="s">
        <v>10</v>
      </c>
      <c r="D14" s="1">
        <v>1.951E-3</v>
      </c>
      <c r="E14" s="1">
        <v>2.3743E-2</v>
      </c>
      <c r="F14" s="1">
        <v>2.6180000000000001E-3</v>
      </c>
      <c r="G14" s="1">
        <v>3.2520000000000001E-3</v>
      </c>
      <c r="H14" s="1"/>
      <c r="I14" s="1">
        <v>1.6750000000000001E-2</v>
      </c>
      <c r="J14" s="1">
        <v>3.8539999999999998E-3</v>
      </c>
      <c r="K14" s="1">
        <v>1.1416000000000001E-2</v>
      </c>
      <c r="L14" s="1">
        <v>7.0089999999999996E-3</v>
      </c>
      <c r="M14" s="1">
        <v>3.2200000000000002E-3</v>
      </c>
      <c r="N14" s="1">
        <v>2.4393000000000001E-2</v>
      </c>
      <c r="O14" s="1">
        <v>2.9600000000000001E-5</v>
      </c>
      <c r="P14" s="1">
        <v>4.9399999999999997E-4</v>
      </c>
      <c r="Q14" s="1">
        <v>6.1469999999999997E-3</v>
      </c>
      <c r="R14" s="1">
        <v>1.1594999999999999E-2</v>
      </c>
      <c r="S14" s="1">
        <v>1.4636E-2</v>
      </c>
      <c r="T14" s="1">
        <v>4.55E-4</v>
      </c>
      <c r="U14" s="1">
        <v>3.5130000000000001E-3</v>
      </c>
      <c r="V14" s="1">
        <v>4.261E-3</v>
      </c>
      <c r="W14" s="1">
        <v>7.9000000000000001E-4</v>
      </c>
      <c r="X14" s="1">
        <v>1.353E-3</v>
      </c>
      <c r="Y14" s="1">
        <v>3.0739999999999999E-3</v>
      </c>
      <c r="Z14" s="1">
        <v>1.0847000000000001E-2</v>
      </c>
      <c r="AA14" s="1">
        <v>2.2599999999999999E-4</v>
      </c>
      <c r="AB14" s="1">
        <v>6.6670000000000002E-3</v>
      </c>
      <c r="AC14" s="1">
        <v>3.8700000000000002E-3</v>
      </c>
      <c r="AD14" s="1">
        <v>2.098E-3</v>
      </c>
      <c r="AE14" s="1">
        <v>4.0169999999999997E-3</v>
      </c>
      <c r="AF14" s="1">
        <v>1.0066E-2</v>
      </c>
      <c r="AG14" s="1">
        <v>8.5380000000000005E-3</v>
      </c>
      <c r="AH14" s="1">
        <v>1.2960000000000001E-3</v>
      </c>
      <c r="AI14" s="1">
        <v>5.3000000000000001E-5</v>
      </c>
      <c r="AJ14" s="1">
        <v>1.84E-5</v>
      </c>
      <c r="AK14" s="1">
        <v>7.8200000000000003E-5</v>
      </c>
      <c r="AL14" s="1">
        <v>7.5500000000000003E-4</v>
      </c>
    </row>
    <row r="15" spans="3:38">
      <c r="C15" s="3" t="s">
        <v>11</v>
      </c>
      <c r="D15" s="1">
        <v>8.6399999999999997E-4</v>
      </c>
      <c r="E15" s="1">
        <v>2.2279999999999999E-3</v>
      </c>
      <c r="F15" s="1">
        <v>1.8860000000000001E-3</v>
      </c>
      <c r="G15" s="1">
        <v>1.3221E-2</v>
      </c>
      <c r="H15" s="1"/>
      <c r="I15" s="1">
        <v>1.6147999999999999E-2</v>
      </c>
      <c r="J15" s="1">
        <v>3.0249999999999999E-3</v>
      </c>
      <c r="K15" s="1">
        <v>8.1599999999999999E-4</v>
      </c>
      <c r="L15" s="1">
        <v>5.1710000000000002E-3</v>
      </c>
      <c r="M15" s="1">
        <v>1.854E-3</v>
      </c>
      <c r="N15" s="1">
        <v>2.8459000000000002E-2</v>
      </c>
      <c r="O15" s="1">
        <v>3.97E-4</v>
      </c>
      <c r="P15" s="1">
        <v>1.64E-4</v>
      </c>
      <c r="Q15" s="1">
        <v>2.5690000000000001E-3</v>
      </c>
      <c r="R15" s="1">
        <v>2.7320000000000001E-2</v>
      </c>
      <c r="S15" s="1">
        <v>2.212E-3</v>
      </c>
      <c r="T15" s="1">
        <v>3.3825000000000001E-2</v>
      </c>
      <c r="U15" s="1">
        <v>1.854E-3</v>
      </c>
      <c r="V15" s="1">
        <v>9.3800000000000003E-4</v>
      </c>
      <c r="W15" s="1">
        <v>8.3600000000000005E-4</v>
      </c>
      <c r="X15" s="1">
        <v>0.32036399999999998</v>
      </c>
      <c r="Y15" s="1">
        <v>4.2931999999999998E-2</v>
      </c>
      <c r="Z15" s="1">
        <v>1.0489E-2</v>
      </c>
      <c r="AA15" s="1">
        <v>1.1379999999999999E-3</v>
      </c>
      <c r="AB15" s="1">
        <v>1.4246E-2</v>
      </c>
      <c r="AC15" s="1">
        <v>3.0739999999999999E-3</v>
      </c>
      <c r="AD15" s="1">
        <v>1.74E-4</v>
      </c>
      <c r="AE15" s="1">
        <v>4.5399999999999998E-4</v>
      </c>
      <c r="AF15" s="1">
        <v>3.7399999999999998E-4</v>
      </c>
      <c r="AG15" s="1">
        <v>1.3676000000000001E-2</v>
      </c>
      <c r="AH15" s="1">
        <v>3.6299999999999999E-4</v>
      </c>
      <c r="AI15" s="1">
        <v>1.63E-5</v>
      </c>
      <c r="AJ15" s="1">
        <v>2.1100000000000001E-4</v>
      </c>
      <c r="AK15" s="1">
        <v>2.6800000000000001E-5</v>
      </c>
      <c r="AL15" s="1">
        <v>2.5500000000000002E-4</v>
      </c>
    </row>
    <row r="16" spans="3:38">
      <c r="C16" s="3" t="s">
        <v>12</v>
      </c>
      <c r="D16" s="1">
        <v>3.9842000000000002E-2</v>
      </c>
      <c r="E16" s="1">
        <v>0.14538400000000001</v>
      </c>
      <c r="F16" s="1">
        <v>0.18701499999999999</v>
      </c>
      <c r="G16" s="1">
        <v>5.7404999999999998E-2</v>
      </c>
      <c r="H16" s="1"/>
      <c r="I16" s="1">
        <v>3.7569999999999999E-3</v>
      </c>
      <c r="J16" s="1">
        <v>3.6299999999999999E-4</v>
      </c>
      <c r="K16" s="1">
        <v>7.9033999999999993E-2</v>
      </c>
      <c r="L16" s="1">
        <v>0.19839799999999999</v>
      </c>
      <c r="M16" s="1">
        <v>2.72E-4</v>
      </c>
      <c r="N16" s="1">
        <v>9.1389999999999996E-3</v>
      </c>
      <c r="O16" s="1">
        <v>7.2399999999999998E-5</v>
      </c>
      <c r="P16" s="1">
        <v>2.13E-4</v>
      </c>
      <c r="Q16" s="1">
        <v>2.9429999999999999E-3</v>
      </c>
      <c r="R16" s="1">
        <v>8.8950000000000001E-3</v>
      </c>
      <c r="S16" s="1">
        <v>0.177257</v>
      </c>
      <c r="T16" s="1">
        <v>5.2690000000000002E-3</v>
      </c>
      <c r="U16" s="1">
        <v>4.5700000000000003E-3</v>
      </c>
      <c r="V16" s="1">
        <v>3.2198999999999998E-2</v>
      </c>
      <c r="W16" s="1">
        <v>1.5740000000000001E-3</v>
      </c>
      <c r="X16" s="1">
        <v>4.2770000000000004E-3</v>
      </c>
      <c r="Y16" s="1">
        <v>7.9358999999999999E-2</v>
      </c>
      <c r="Z16" s="1">
        <v>1.691E-3</v>
      </c>
      <c r="AA16" s="1">
        <v>1.85E-4</v>
      </c>
      <c r="AB16" s="1">
        <v>2.0000000000000001E-4</v>
      </c>
      <c r="AC16" s="1">
        <v>8.7699999999999996E-4</v>
      </c>
      <c r="AD16" s="1">
        <v>4.3090000000000003E-3</v>
      </c>
      <c r="AE16" s="1">
        <v>6.6500000000000001E-4</v>
      </c>
      <c r="AF16" s="1">
        <v>8.0000000000000004E-4</v>
      </c>
      <c r="AG16" s="1">
        <v>3.3300000000000002E-4</v>
      </c>
      <c r="AH16" s="1">
        <v>1.0330000000000001E-3</v>
      </c>
      <c r="AI16" s="1">
        <v>3.7700000000000002E-5</v>
      </c>
      <c r="AJ16" s="1">
        <v>2.0000000000000001E-4</v>
      </c>
      <c r="AK16" s="1">
        <v>3.6900000000000002E-5</v>
      </c>
      <c r="AL16" s="1">
        <v>3.8499999999999998E-4</v>
      </c>
    </row>
  </sheetData>
  <mergeCells count="7">
    <mergeCell ref="AH5:AL5"/>
    <mergeCell ref="D5:H5"/>
    <mergeCell ref="I5:M5"/>
    <mergeCell ref="N5:R5"/>
    <mergeCell ref="S5:W5"/>
    <mergeCell ref="X5:AB5"/>
    <mergeCell ref="AC5:AG5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7803-3519-449E-84C0-469F33FB622B}">
  <dimension ref="D7:K17"/>
  <sheetViews>
    <sheetView workbookViewId="0">
      <selection activeCell="I26" sqref="I26"/>
    </sheetView>
  </sheetViews>
  <sheetFormatPr defaultRowHeight="14.4"/>
  <cols>
    <col min="4" max="4" width="17" customWidth="1"/>
    <col min="5" max="5" width="18.62890625" customWidth="1"/>
    <col min="6" max="6" width="24.3671875" customWidth="1"/>
    <col min="7" max="7" width="21.20703125" customWidth="1"/>
    <col min="8" max="8" width="24.734375" customWidth="1"/>
    <col min="9" max="9" width="24.9453125" customWidth="1"/>
    <col min="10" max="10" width="44.41796875" customWidth="1"/>
    <col min="11" max="11" width="32.5234375" customWidth="1"/>
  </cols>
  <sheetData>
    <row r="7" spans="4:11">
      <c r="D7" s="2"/>
      <c r="E7" s="2" t="s">
        <v>6</v>
      </c>
      <c r="F7" s="2" t="s">
        <v>25</v>
      </c>
      <c r="G7" s="2" t="s">
        <v>14</v>
      </c>
      <c r="H7" s="2" t="s">
        <v>26</v>
      </c>
      <c r="I7" s="2" t="s">
        <v>21</v>
      </c>
      <c r="J7" s="2" t="s">
        <v>27</v>
      </c>
      <c r="K7" s="2" t="s">
        <v>29</v>
      </c>
    </row>
    <row r="8" spans="4:11">
      <c r="D8" s="3" t="s">
        <v>1</v>
      </c>
      <c r="E8" s="1">
        <v>100</v>
      </c>
      <c r="F8" s="1">
        <v>100</v>
      </c>
      <c r="G8" s="1">
        <v>80</v>
      </c>
      <c r="H8" s="1">
        <v>80</v>
      </c>
      <c r="I8" s="1">
        <v>60</v>
      </c>
      <c r="J8" s="1">
        <v>60</v>
      </c>
      <c r="K8" s="1">
        <v>20</v>
      </c>
    </row>
    <row r="9" spans="4:11">
      <c r="D9" s="3" t="s">
        <v>2</v>
      </c>
      <c r="E9" s="1">
        <v>100</v>
      </c>
      <c r="F9" s="1">
        <v>100</v>
      </c>
      <c r="G9" s="1">
        <v>100</v>
      </c>
      <c r="H9" s="1">
        <v>100</v>
      </c>
      <c r="I9" s="1">
        <v>60</v>
      </c>
      <c r="J9" s="1">
        <v>60</v>
      </c>
      <c r="K9" s="1">
        <v>20</v>
      </c>
    </row>
    <row r="10" spans="4:11">
      <c r="D10" s="3" t="s">
        <v>3</v>
      </c>
      <c r="E10" s="1">
        <v>100</v>
      </c>
      <c r="F10" s="1">
        <v>80</v>
      </c>
      <c r="G10" s="1">
        <v>40</v>
      </c>
      <c r="H10" s="1">
        <v>20</v>
      </c>
      <c r="I10" s="1">
        <v>20</v>
      </c>
      <c r="J10" s="1">
        <v>0</v>
      </c>
      <c r="K10" s="1">
        <v>0</v>
      </c>
    </row>
    <row r="11" spans="4:11">
      <c r="D11" s="3" t="s">
        <v>4</v>
      </c>
      <c r="E11" s="1">
        <v>100</v>
      </c>
      <c r="F11" s="1">
        <v>100</v>
      </c>
      <c r="G11" s="1">
        <v>100</v>
      </c>
      <c r="H11" s="1">
        <v>100</v>
      </c>
      <c r="I11" s="1">
        <v>20</v>
      </c>
      <c r="J11" s="1">
        <v>20</v>
      </c>
      <c r="K11" s="1">
        <v>0</v>
      </c>
    </row>
    <row r="12" spans="4:11">
      <c r="D12" s="3" t="s">
        <v>7</v>
      </c>
      <c r="E12" s="1">
        <v>100</v>
      </c>
      <c r="F12" s="1">
        <v>100</v>
      </c>
      <c r="G12" s="1">
        <v>100</v>
      </c>
      <c r="H12" s="1">
        <v>100</v>
      </c>
      <c r="I12" s="1">
        <v>60</v>
      </c>
      <c r="J12" s="1">
        <v>60</v>
      </c>
      <c r="K12" s="1">
        <v>20</v>
      </c>
    </row>
    <row r="13" spans="4:11">
      <c r="D13" s="3" t="s">
        <v>8</v>
      </c>
      <c r="E13" s="1">
        <v>100</v>
      </c>
      <c r="F13" s="1">
        <v>100</v>
      </c>
      <c r="G13" s="1">
        <v>100</v>
      </c>
      <c r="H13" s="1">
        <v>100</v>
      </c>
      <c r="I13" s="1">
        <v>40</v>
      </c>
      <c r="J13" s="1">
        <v>40</v>
      </c>
      <c r="K13" s="1">
        <v>20</v>
      </c>
    </row>
    <row r="14" spans="4:11">
      <c r="D14" s="3" t="s">
        <v>9</v>
      </c>
      <c r="E14" s="1">
        <v>100</v>
      </c>
      <c r="F14" s="1">
        <v>100</v>
      </c>
      <c r="G14" s="1">
        <v>100</v>
      </c>
      <c r="H14" s="1">
        <v>100</v>
      </c>
      <c r="I14" s="1">
        <v>20</v>
      </c>
      <c r="J14" s="1">
        <v>20</v>
      </c>
      <c r="K14" s="1">
        <v>0</v>
      </c>
    </row>
    <row r="15" spans="4:11">
      <c r="D15" s="3" t="s">
        <v>10</v>
      </c>
      <c r="E15" s="1">
        <v>80</v>
      </c>
      <c r="F15" s="1">
        <v>60</v>
      </c>
      <c r="G15" s="1">
        <v>40</v>
      </c>
      <c r="H15" s="1">
        <v>20</v>
      </c>
      <c r="I15" s="1">
        <v>0</v>
      </c>
      <c r="J15" s="1">
        <v>0</v>
      </c>
      <c r="K15" s="1">
        <v>0</v>
      </c>
    </row>
    <row r="16" spans="4:11">
      <c r="D16" s="3" t="s">
        <v>11</v>
      </c>
      <c r="E16" s="1">
        <v>100</v>
      </c>
      <c r="F16" s="1">
        <v>80</v>
      </c>
      <c r="G16" s="1">
        <v>40</v>
      </c>
      <c r="H16" s="1">
        <v>40</v>
      </c>
      <c r="I16" s="1">
        <v>20</v>
      </c>
      <c r="J16" s="1">
        <v>20</v>
      </c>
      <c r="K16" s="1">
        <v>0</v>
      </c>
    </row>
    <row r="17" spans="4:11">
      <c r="D17" s="3" t="s">
        <v>12</v>
      </c>
      <c r="E17" s="1">
        <v>100</v>
      </c>
      <c r="F17" s="1">
        <v>100</v>
      </c>
      <c r="G17" s="1">
        <v>60</v>
      </c>
      <c r="H17" s="1">
        <v>40</v>
      </c>
      <c r="I17" s="1">
        <v>40</v>
      </c>
      <c r="J17" s="1">
        <v>40</v>
      </c>
      <c r="K17" s="1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5901-7FCD-4D38-8236-9EFD8E642483}">
  <dimension ref="C5:BC63"/>
  <sheetViews>
    <sheetView topLeftCell="A16" workbookViewId="0">
      <selection activeCell="I63" sqref="I63"/>
    </sheetView>
  </sheetViews>
  <sheetFormatPr defaultRowHeight="14.4"/>
  <sheetData>
    <row r="5" spans="3:55">
      <c r="C5" s="2" t="s">
        <v>62</v>
      </c>
      <c r="D5" s="39" t="s">
        <v>76</v>
      </c>
      <c r="E5" s="39"/>
      <c r="F5" s="39"/>
      <c r="G5" s="39"/>
      <c r="H5" s="39" t="s">
        <v>90</v>
      </c>
      <c r="I5" s="39"/>
      <c r="J5" s="39"/>
      <c r="K5" s="39"/>
      <c r="L5" s="39" t="s">
        <v>91</v>
      </c>
      <c r="M5" s="39"/>
      <c r="N5" s="39"/>
      <c r="O5" s="39"/>
      <c r="P5" s="39" t="s">
        <v>92</v>
      </c>
      <c r="Q5" s="39"/>
      <c r="R5" s="39"/>
      <c r="S5" s="39"/>
      <c r="T5" s="39" t="s">
        <v>93</v>
      </c>
      <c r="U5" s="39"/>
      <c r="V5" s="39"/>
      <c r="W5" s="39"/>
      <c r="X5" s="39" t="s">
        <v>94</v>
      </c>
      <c r="Y5" s="39"/>
      <c r="Z5" s="39"/>
      <c r="AA5" s="39"/>
      <c r="AB5" s="39" t="s">
        <v>95</v>
      </c>
      <c r="AC5" s="39"/>
      <c r="AD5" s="39"/>
      <c r="AE5" s="39"/>
      <c r="AF5" s="39" t="s">
        <v>96</v>
      </c>
      <c r="AG5" s="39"/>
      <c r="AH5" s="39"/>
      <c r="AI5" s="39"/>
      <c r="AJ5" s="39" t="s">
        <v>97</v>
      </c>
      <c r="AK5" s="39"/>
      <c r="AL5" s="39"/>
      <c r="AM5" s="39"/>
      <c r="AN5" s="39" t="s">
        <v>98</v>
      </c>
      <c r="AO5" s="39"/>
      <c r="AP5" s="39"/>
      <c r="AQ5" s="39"/>
      <c r="AR5" s="39" t="s">
        <v>99</v>
      </c>
      <c r="AS5" s="39"/>
      <c r="AT5" s="39"/>
      <c r="AU5" s="39"/>
      <c r="AV5" s="39" t="s">
        <v>100</v>
      </c>
      <c r="AW5" s="39"/>
      <c r="AX5" s="39"/>
      <c r="AY5" s="39"/>
      <c r="AZ5" s="39" t="s">
        <v>101</v>
      </c>
      <c r="BA5" s="39"/>
      <c r="BB5" s="39"/>
      <c r="BC5" s="39"/>
    </row>
    <row r="6" spans="3:55">
      <c r="C6" s="1">
        <v>2.3010299999999999</v>
      </c>
      <c r="D6" s="1">
        <v>-0.95</v>
      </c>
      <c r="E6" s="1">
        <v>-0.83</v>
      </c>
      <c r="F6" s="1">
        <v>0.1</v>
      </c>
      <c r="G6" s="1">
        <v>-1.88</v>
      </c>
      <c r="H6" s="1">
        <v>7.16</v>
      </c>
      <c r="I6" s="1">
        <v>8.7100000000000009</v>
      </c>
      <c r="J6" s="1">
        <v>2.75</v>
      </c>
      <c r="K6" s="1">
        <v>12.11</v>
      </c>
      <c r="L6" s="1">
        <v>1.75</v>
      </c>
      <c r="M6" s="1">
        <v>1.1299999999999999</v>
      </c>
      <c r="N6" s="1">
        <v>3.62</v>
      </c>
      <c r="O6" s="1">
        <v>3.91</v>
      </c>
      <c r="P6" s="1">
        <v>16.93</v>
      </c>
      <c r="Q6" s="1">
        <v>10.33</v>
      </c>
      <c r="R6" s="1">
        <v>1.8</v>
      </c>
      <c r="S6" s="1">
        <v>2.54</v>
      </c>
      <c r="T6" s="1"/>
      <c r="U6" s="1"/>
      <c r="V6" s="1"/>
      <c r="W6" s="1"/>
      <c r="X6" s="1">
        <v>-1.18</v>
      </c>
      <c r="Y6" s="1">
        <v>-1.8</v>
      </c>
      <c r="Z6" s="1">
        <v>-0.89</v>
      </c>
      <c r="AA6" s="1">
        <v>-1.94</v>
      </c>
      <c r="AB6" s="1"/>
      <c r="AC6" s="1"/>
      <c r="AD6" s="1"/>
      <c r="AE6" s="1"/>
      <c r="AF6" s="1">
        <v>15.21</v>
      </c>
      <c r="AG6" s="1">
        <v>6.16</v>
      </c>
      <c r="AH6" s="1">
        <v>-0.28000000000000003</v>
      </c>
      <c r="AI6" s="1">
        <v>0.26</v>
      </c>
      <c r="AJ6" s="1"/>
      <c r="AK6" s="1"/>
      <c r="AL6" s="1"/>
      <c r="AM6" s="1"/>
      <c r="AN6" s="1">
        <v>-1.94</v>
      </c>
      <c r="AO6" s="1">
        <v>-2.34</v>
      </c>
      <c r="AP6" s="1">
        <v>-1.99</v>
      </c>
      <c r="AQ6" s="1">
        <v>-2.83</v>
      </c>
      <c r="AR6" s="1"/>
      <c r="AS6" s="1"/>
      <c r="AT6" s="1"/>
      <c r="AU6" s="1"/>
      <c r="AV6" s="1">
        <v>13.9</v>
      </c>
      <c r="AW6" s="1">
        <v>8.41</v>
      </c>
      <c r="AX6" s="1">
        <v>1.68</v>
      </c>
      <c r="AY6" s="1">
        <v>1.64</v>
      </c>
      <c r="AZ6" s="1"/>
      <c r="BA6" s="1"/>
      <c r="BB6" s="1"/>
      <c r="BC6" s="1"/>
    </row>
    <row r="7" spans="3:55">
      <c r="C7" s="1">
        <v>2</v>
      </c>
      <c r="D7" s="1">
        <v>10.48</v>
      </c>
      <c r="E7" s="1">
        <v>6.66</v>
      </c>
      <c r="F7" s="1">
        <v>5.28</v>
      </c>
      <c r="G7" s="1">
        <v>5.21</v>
      </c>
      <c r="H7" s="1">
        <v>26.6</v>
      </c>
      <c r="I7" s="1">
        <v>24.48</v>
      </c>
      <c r="J7" s="1">
        <v>35.97</v>
      </c>
      <c r="K7" s="1">
        <v>25.57</v>
      </c>
      <c r="L7" s="1">
        <v>20.34</v>
      </c>
      <c r="M7" s="1">
        <v>21.48</v>
      </c>
      <c r="N7" s="1">
        <v>18.34</v>
      </c>
      <c r="O7" s="1">
        <v>14.36</v>
      </c>
      <c r="P7" s="1">
        <v>28.71</v>
      </c>
      <c r="Q7" s="1">
        <v>15.42</v>
      </c>
      <c r="R7" s="1">
        <v>13.23</v>
      </c>
      <c r="S7" s="1">
        <v>10.08</v>
      </c>
      <c r="T7" s="1">
        <v>16.93</v>
      </c>
      <c r="U7" s="1">
        <v>10.33</v>
      </c>
      <c r="V7" s="1">
        <v>1.8</v>
      </c>
      <c r="W7" s="1">
        <v>2.54</v>
      </c>
      <c r="X7" s="1">
        <v>5.31</v>
      </c>
      <c r="Y7" s="1">
        <v>2.08</v>
      </c>
      <c r="Z7" s="1">
        <v>0.84</v>
      </c>
      <c r="AA7" s="1">
        <v>1.57</v>
      </c>
      <c r="AB7" s="1"/>
      <c r="AC7" s="1"/>
      <c r="AD7" s="1"/>
      <c r="AE7" s="1"/>
      <c r="AF7" s="1">
        <v>21.78</v>
      </c>
      <c r="AG7" s="1">
        <v>12.47</v>
      </c>
      <c r="AH7" s="1">
        <v>11</v>
      </c>
      <c r="AI7" s="1">
        <v>7.6</v>
      </c>
      <c r="AJ7" s="1"/>
      <c r="AK7" s="1"/>
      <c r="AL7" s="1"/>
      <c r="AM7" s="1"/>
      <c r="AN7" s="1">
        <v>5.34</v>
      </c>
      <c r="AO7" s="1">
        <v>1.65</v>
      </c>
      <c r="AP7" s="1">
        <v>0.59</v>
      </c>
      <c r="AQ7" s="1">
        <v>2.42</v>
      </c>
      <c r="AR7" s="1"/>
      <c r="AS7" s="1"/>
      <c r="AT7" s="1"/>
      <c r="AU7" s="1"/>
      <c r="AV7" s="1">
        <v>21.13</v>
      </c>
      <c r="AW7" s="1">
        <v>15.36</v>
      </c>
      <c r="AX7" s="1">
        <v>13.46</v>
      </c>
      <c r="AY7" s="1">
        <v>9.84</v>
      </c>
      <c r="AZ7" s="1"/>
      <c r="BA7" s="1"/>
      <c r="BB7" s="1"/>
      <c r="BC7" s="1"/>
    </row>
    <row r="8" spans="3:55">
      <c r="C8" s="1">
        <v>1.6989700000000001</v>
      </c>
      <c r="D8" s="1">
        <v>54.41</v>
      </c>
      <c r="E8" s="1">
        <v>39.39</v>
      </c>
      <c r="F8" s="1">
        <v>40.19</v>
      </c>
      <c r="G8" s="1">
        <v>27.68</v>
      </c>
      <c r="H8" s="1">
        <v>38.64</v>
      </c>
      <c r="I8" s="1">
        <v>36.9</v>
      </c>
      <c r="J8" s="1">
        <v>39.69</v>
      </c>
      <c r="K8" s="1">
        <v>37.17</v>
      </c>
      <c r="L8" s="1">
        <v>25.86</v>
      </c>
      <c r="M8" s="1">
        <v>27</v>
      </c>
      <c r="N8" s="1">
        <v>20.21</v>
      </c>
      <c r="O8" s="1">
        <v>24.72</v>
      </c>
      <c r="P8" s="1">
        <v>35.270000000000003</v>
      </c>
      <c r="Q8" s="1">
        <v>21.78</v>
      </c>
      <c r="R8" s="1">
        <v>13.78</v>
      </c>
      <c r="S8" s="1">
        <v>11.26</v>
      </c>
      <c r="T8" s="1">
        <v>28.71</v>
      </c>
      <c r="U8" s="1">
        <v>15.42</v>
      </c>
      <c r="V8" s="1">
        <v>13.23</v>
      </c>
      <c r="W8" s="1">
        <v>10.08</v>
      </c>
      <c r="X8" s="1">
        <v>8.61</v>
      </c>
      <c r="Y8" s="1">
        <v>8.01</v>
      </c>
      <c r="Z8" s="1">
        <v>8.4</v>
      </c>
      <c r="AA8" s="1">
        <v>7.71</v>
      </c>
      <c r="AB8" s="1">
        <v>-1.18</v>
      </c>
      <c r="AC8" s="1">
        <v>-1.8</v>
      </c>
      <c r="AD8" s="1">
        <v>-0.89</v>
      </c>
      <c r="AE8" s="1">
        <v>-1.94</v>
      </c>
      <c r="AF8" s="1">
        <v>35.54</v>
      </c>
      <c r="AG8" s="1">
        <v>16.82</v>
      </c>
      <c r="AH8" s="1">
        <v>10.210000000000001</v>
      </c>
      <c r="AI8" s="1">
        <v>6.29</v>
      </c>
      <c r="AJ8" s="1"/>
      <c r="AK8" s="1"/>
      <c r="AL8" s="1"/>
      <c r="AM8" s="1"/>
      <c r="AN8" s="1">
        <v>10.34</v>
      </c>
      <c r="AO8" s="1">
        <v>6.86</v>
      </c>
      <c r="AP8" s="1">
        <v>7.38</v>
      </c>
      <c r="AQ8" s="1">
        <v>5.25</v>
      </c>
      <c r="AR8" s="1"/>
      <c r="AS8" s="1"/>
      <c r="AT8" s="1"/>
      <c r="AU8" s="1"/>
      <c r="AV8" s="1">
        <v>36.479999999999997</v>
      </c>
      <c r="AW8" s="1">
        <v>20.260000000000002</v>
      </c>
      <c r="AX8" s="1">
        <v>14.59</v>
      </c>
      <c r="AY8" s="1">
        <v>10.94</v>
      </c>
      <c r="AZ8" s="1"/>
      <c r="BA8" s="1"/>
      <c r="BB8" s="1"/>
      <c r="BC8" s="1"/>
    </row>
    <row r="9" spans="3:55">
      <c r="C9" s="1">
        <v>1.39794</v>
      </c>
      <c r="D9" s="1">
        <v>82.86</v>
      </c>
      <c r="E9" s="1">
        <v>74.16</v>
      </c>
      <c r="F9" s="1">
        <v>70.180000000000007</v>
      </c>
      <c r="G9" s="1">
        <v>55.96</v>
      </c>
      <c r="H9" s="1">
        <v>46.04</v>
      </c>
      <c r="I9" s="1">
        <v>43.21</v>
      </c>
      <c r="J9" s="1">
        <v>48.32</v>
      </c>
      <c r="K9" s="1">
        <v>46.95</v>
      </c>
      <c r="L9" s="1">
        <v>31.47</v>
      </c>
      <c r="M9" s="1">
        <v>36.04</v>
      </c>
      <c r="N9" s="1">
        <v>35.36</v>
      </c>
      <c r="O9" s="1">
        <v>30.83</v>
      </c>
      <c r="P9" s="1">
        <v>46.47</v>
      </c>
      <c r="Q9" s="1">
        <v>35.94</v>
      </c>
      <c r="R9" s="1">
        <v>36.86</v>
      </c>
      <c r="S9" s="1">
        <v>29.02</v>
      </c>
      <c r="T9" s="1">
        <v>35.270000000000003</v>
      </c>
      <c r="U9" s="1">
        <v>21.78</v>
      </c>
      <c r="V9" s="1">
        <v>13.78</v>
      </c>
      <c r="W9" s="1">
        <v>11.26</v>
      </c>
      <c r="X9" s="1">
        <v>24.71</v>
      </c>
      <c r="Y9" s="1">
        <v>20.89</v>
      </c>
      <c r="Z9" s="1">
        <v>17.78</v>
      </c>
      <c r="AA9" s="1">
        <v>17.940000000000001</v>
      </c>
      <c r="AB9" s="1">
        <v>5.31</v>
      </c>
      <c r="AC9" s="1">
        <v>2.08</v>
      </c>
      <c r="AD9" s="1">
        <v>0.84</v>
      </c>
      <c r="AE9" s="1">
        <v>1.57</v>
      </c>
      <c r="AF9" s="1">
        <v>45.13</v>
      </c>
      <c r="AG9" s="1">
        <v>35.58</v>
      </c>
      <c r="AH9" s="1">
        <v>33.770000000000003</v>
      </c>
      <c r="AI9" s="1">
        <v>26.97</v>
      </c>
      <c r="AJ9" s="1">
        <v>15.21</v>
      </c>
      <c r="AK9" s="1">
        <v>6.16</v>
      </c>
      <c r="AL9" s="1">
        <v>-0.28000000000000003</v>
      </c>
      <c r="AM9" s="1">
        <v>0.26</v>
      </c>
      <c r="AN9" s="1">
        <v>27.18</v>
      </c>
      <c r="AO9" s="1">
        <v>19.399999999999999</v>
      </c>
      <c r="AP9" s="1">
        <v>17.559999999999999</v>
      </c>
      <c r="AQ9" s="1">
        <v>16.29</v>
      </c>
      <c r="AR9" s="1"/>
      <c r="AS9" s="1"/>
      <c r="AT9" s="1"/>
      <c r="AU9" s="1"/>
      <c r="AV9" s="1">
        <v>46.6</v>
      </c>
      <c r="AW9" s="1">
        <v>35.43</v>
      </c>
      <c r="AX9" s="1">
        <v>37.020000000000003</v>
      </c>
      <c r="AY9" s="1">
        <v>35.65</v>
      </c>
      <c r="AZ9" s="1"/>
      <c r="BA9" s="1"/>
      <c r="BB9" s="1"/>
      <c r="BC9" s="1"/>
    </row>
    <row r="10" spans="3:55">
      <c r="C10" s="1">
        <v>1.0969100000000001</v>
      </c>
      <c r="D10" s="1">
        <v>95.28</v>
      </c>
      <c r="E10" s="1">
        <v>88.43</v>
      </c>
      <c r="F10" s="1">
        <v>83.73</v>
      </c>
      <c r="G10" s="1">
        <v>66.48</v>
      </c>
      <c r="H10" s="1">
        <v>59.9</v>
      </c>
      <c r="I10" s="1">
        <v>52.48</v>
      </c>
      <c r="J10" s="1">
        <v>52.63</v>
      </c>
      <c r="K10" s="1">
        <v>51.42</v>
      </c>
      <c r="L10" s="1">
        <v>41.15</v>
      </c>
      <c r="M10" s="1">
        <v>42.11</v>
      </c>
      <c r="N10" s="1">
        <v>44.43</v>
      </c>
      <c r="O10" s="1">
        <v>43.74</v>
      </c>
      <c r="P10" s="1">
        <v>51.99</v>
      </c>
      <c r="Q10" s="1">
        <v>40.65</v>
      </c>
      <c r="R10" s="1">
        <v>32.549999999999997</v>
      </c>
      <c r="S10" s="1">
        <v>29.37</v>
      </c>
      <c r="T10" s="1">
        <v>46.47</v>
      </c>
      <c r="U10" s="1">
        <v>35.94</v>
      </c>
      <c r="V10" s="1">
        <v>36.86</v>
      </c>
      <c r="W10" s="1">
        <v>29.02</v>
      </c>
      <c r="X10" s="1">
        <v>32.729999999999997</v>
      </c>
      <c r="Y10" s="1">
        <v>34.51</v>
      </c>
      <c r="Z10" s="1">
        <v>25.08</v>
      </c>
      <c r="AA10" s="1">
        <v>21.15</v>
      </c>
      <c r="AB10" s="1">
        <v>8.61</v>
      </c>
      <c r="AC10" s="1">
        <v>8.01</v>
      </c>
      <c r="AD10" s="1">
        <v>8.4</v>
      </c>
      <c r="AE10" s="1">
        <v>7.71</v>
      </c>
      <c r="AF10" s="1">
        <v>53.61</v>
      </c>
      <c r="AG10" s="1">
        <v>40.75</v>
      </c>
      <c r="AH10" s="1">
        <v>34.46</v>
      </c>
      <c r="AI10" s="1">
        <v>28.17</v>
      </c>
      <c r="AJ10" s="1">
        <v>21.78</v>
      </c>
      <c r="AK10" s="1">
        <v>12.47</v>
      </c>
      <c r="AL10" s="1">
        <v>11</v>
      </c>
      <c r="AM10" s="1">
        <v>7.6</v>
      </c>
      <c r="AN10" s="1">
        <v>34</v>
      </c>
      <c r="AO10" s="1">
        <v>33.39</v>
      </c>
      <c r="AP10" s="1">
        <v>31.58</v>
      </c>
      <c r="AQ10" s="1">
        <v>19.510000000000002</v>
      </c>
      <c r="AR10" s="1">
        <v>-1.94</v>
      </c>
      <c r="AS10" s="1">
        <v>-2.34</v>
      </c>
      <c r="AT10" s="1">
        <v>-1.99</v>
      </c>
      <c r="AU10" s="1">
        <v>-2.83</v>
      </c>
      <c r="AV10" s="1">
        <v>54.79</v>
      </c>
      <c r="AW10" s="1">
        <v>43.3</v>
      </c>
      <c r="AX10" s="1">
        <v>42.9</v>
      </c>
      <c r="AY10" s="1">
        <v>43.03</v>
      </c>
      <c r="AZ10" s="1"/>
      <c r="BA10" s="1"/>
      <c r="BB10" s="1"/>
      <c r="BC10" s="1"/>
    </row>
    <row r="11" spans="3:55">
      <c r="C11" s="1">
        <v>0.79588000000000003</v>
      </c>
      <c r="D11" s="1">
        <v>97.72</v>
      </c>
      <c r="E11" s="1">
        <v>93.06</v>
      </c>
      <c r="F11" s="1">
        <v>90.11</v>
      </c>
      <c r="G11" s="1">
        <v>65.92</v>
      </c>
      <c r="H11" s="1">
        <v>60.59</v>
      </c>
      <c r="I11" s="1">
        <v>63.55</v>
      </c>
      <c r="J11" s="1">
        <v>64.989999999999995</v>
      </c>
      <c r="K11" s="1">
        <v>59.68</v>
      </c>
      <c r="L11" s="1">
        <v>43.62</v>
      </c>
      <c r="M11" s="1">
        <v>44.75</v>
      </c>
      <c r="N11" s="1">
        <v>45.47</v>
      </c>
      <c r="O11" s="1">
        <v>44.32</v>
      </c>
      <c r="P11" s="1">
        <v>53.79</v>
      </c>
      <c r="Q11" s="1">
        <v>51.19</v>
      </c>
      <c r="R11" s="1">
        <v>52.95</v>
      </c>
      <c r="S11" s="1">
        <v>45.24</v>
      </c>
      <c r="T11" s="1">
        <v>51.99</v>
      </c>
      <c r="U11" s="1">
        <v>40.65</v>
      </c>
      <c r="V11" s="1">
        <v>32.549999999999997</v>
      </c>
      <c r="W11" s="1">
        <v>29.37</v>
      </c>
      <c r="X11" s="1">
        <v>41.35</v>
      </c>
      <c r="Y11" s="1">
        <v>39.18</v>
      </c>
      <c r="Z11" s="1">
        <v>32.630000000000003</v>
      </c>
      <c r="AA11" s="1">
        <v>22.63</v>
      </c>
      <c r="AB11" s="1">
        <v>24.71</v>
      </c>
      <c r="AC11" s="1">
        <v>20.89</v>
      </c>
      <c r="AD11" s="1">
        <v>17.78</v>
      </c>
      <c r="AE11" s="1">
        <v>17.940000000000001</v>
      </c>
      <c r="AF11" s="1">
        <v>56.09</v>
      </c>
      <c r="AG11" s="1">
        <v>55.26</v>
      </c>
      <c r="AH11" s="1">
        <v>47.91</v>
      </c>
      <c r="AI11" s="1">
        <v>45.32</v>
      </c>
      <c r="AJ11" s="1">
        <v>35.54</v>
      </c>
      <c r="AK11" s="1">
        <v>16.82</v>
      </c>
      <c r="AL11" s="1">
        <v>10.210000000000001</v>
      </c>
      <c r="AM11" s="1">
        <v>6.29</v>
      </c>
      <c r="AN11" s="1">
        <v>53.97</v>
      </c>
      <c r="AO11" s="1">
        <v>48.33</v>
      </c>
      <c r="AP11" s="1">
        <v>42.25</v>
      </c>
      <c r="AQ11" s="1">
        <v>29.2</v>
      </c>
      <c r="AR11" s="1">
        <v>5.34</v>
      </c>
      <c r="AS11" s="1">
        <v>1.65</v>
      </c>
      <c r="AT11" s="1">
        <v>0.59</v>
      </c>
      <c r="AU11" s="1">
        <v>2.42</v>
      </c>
      <c r="AV11" s="1">
        <v>66.739999999999995</v>
      </c>
      <c r="AW11" s="1">
        <v>64.400000000000006</v>
      </c>
      <c r="AX11" s="1">
        <v>70.08</v>
      </c>
      <c r="AY11" s="1">
        <v>75.73</v>
      </c>
      <c r="AZ11" s="1"/>
      <c r="BA11" s="1"/>
      <c r="BB11" s="1"/>
      <c r="BC11" s="1"/>
    </row>
    <row r="12" spans="3:55">
      <c r="C12" s="1">
        <v>0.49485000000000001</v>
      </c>
      <c r="D12" s="1">
        <v>99.96</v>
      </c>
      <c r="E12" s="1">
        <v>101.12</v>
      </c>
      <c r="F12" s="1">
        <v>98.7</v>
      </c>
      <c r="G12" s="1">
        <v>87.07</v>
      </c>
      <c r="H12" s="1">
        <v>68.7</v>
      </c>
      <c r="I12" s="1">
        <v>66.099999999999994</v>
      </c>
      <c r="J12" s="1">
        <v>67.28</v>
      </c>
      <c r="K12" s="1">
        <v>61.48</v>
      </c>
      <c r="L12" s="1">
        <v>52.75</v>
      </c>
      <c r="M12" s="1">
        <v>50.5</v>
      </c>
      <c r="N12" s="1">
        <v>52.72</v>
      </c>
      <c r="O12" s="1">
        <v>51.52</v>
      </c>
      <c r="P12" s="1">
        <v>61.2</v>
      </c>
      <c r="Q12" s="1">
        <v>55.43</v>
      </c>
      <c r="R12" s="1">
        <v>40.97</v>
      </c>
      <c r="S12" s="1">
        <v>39.4</v>
      </c>
      <c r="T12" s="1">
        <v>53.79</v>
      </c>
      <c r="U12" s="1">
        <v>51.19</v>
      </c>
      <c r="V12" s="1">
        <v>52.95</v>
      </c>
      <c r="W12" s="1">
        <v>45.24</v>
      </c>
      <c r="X12" s="1">
        <v>40.07</v>
      </c>
      <c r="Y12" s="1">
        <v>42.75</v>
      </c>
      <c r="Z12" s="1">
        <v>35.67</v>
      </c>
      <c r="AA12" s="1">
        <v>29.31</v>
      </c>
      <c r="AB12" s="1">
        <v>32.729999999999997</v>
      </c>
      <c r="AC12" s="1">
        <v>34.51</v>
      </c>
      <c r="AD12" s="1">
        <v>25.08</v>
      </c>
      <c r="AE12" s="1">
        <v>21.15</v>
      </c>
      <c r="AF12" s="1">
        <v>66.86</v>
      </c>
      <c r="AG12" s="1">
        <v>64.08</v>
      </c>
      <c r="AH12" s="1">
        <v>61.88</v>
      </c>
      <c r="AI12" s="1">
        <v>51.12</v>
      </c>
      <c r="AJ12" s="1">
        <v>45.13</v>
      </c>
      <c r="AK12" s="1">
        <v>35.58</v>
      </c>
      <c r="AL12" s="1">
        <v>33.770000000000003</v>
      </c>
      <c r="AM12" s="1">
        <v>26.97</v>
      </c>
      <c r="AN12" s="1">
        <v>70.03</v>
      </c>
      <c r="AO12" s="1">
        <v>76.41</v>
      </c>
      <c r="AP12" s="1">
        <v>64.87</v>
      </c>
      <c r="AQ12" s="1">
        <v>45.45</v>
      </c>
      <c r="AR12" s="1">
        <v>10.34</v>
      </c>
      <c r="AS12" s="1">
        <v>6.86</v>
      </c>
      <c r="AT12" s="1">
        <v>7.38</v>
      </c>
      <c r="AU12" s="1">
        <v>5.25</v>
      </c>
      <c r="AV12" s="1">
        <v>86.42</v>
      </c>
      <c r="AW12" s="1">
        <v>83.83</v>
      </c>
      <c r="AX12" s="1">
        <v>85.97</v>
      </c>
      <c r="AY12" s="1">
        <v>85.85</v>
      </c>
      <c r="AZ12" s="1"/>
      <c r="BA12" s="1"/>
      <c r="BB12" s="1"/>
      <c r="BC12" s="1"/>
    </row>
    <row r="13" spans="3:55">
      <c r="C13" s="1">
        <v>0.19381999999999999</v>
      </c>
      <c r="D13" s="1">
        <v>101.27</v>
      </c>
      <c r="E13" s="1">
        <v>100.65</v>
      </c>
      <c r="F13" s="1">
        <v>94.59</v>
      </c>
      <c r="G13" s="1">
        <v>91.07</v>
      </c>
      <c r="H13" s="1">
        <v>72.42</v>
      </c>
      <c r="I13" s="1">
        <v>73.3</v>
      </c>
      <c r="J13" s="1">
        <v>70.98</v>
      </c>
      <c r="K13" s="1">
        <v>74.569999999999993</v>
      </c>
      <c r="L13" s="1">
        <v>63.2</v>
      </c>
      <c r="M13" s="1">
        <v>61.2</v>
      </c>
      <c r="N13" s="1">
        <v>62.06</v>
      </c>
      <c r="O13" s="1">
        <v>64.2</v>
      </c>
      <c r="P13" s="1">
        <v>65.650000000000006</v>
      </c>
      <c r="Q13" s="1">
        <v>57.75</v>
      </c>
      <c r="R13" s="1">
        <v>53.99</v>
      </c>
      <c r="S13" s="1">
        <v>49.38</v>
      </c>
      <c r="T13" s="1">
        <v>61.2</v>
      </c>
      <c r="U13" s="1">
        <v>55.43</v>
      </c>
      <c r="V13" s="1">
        <v>40.97</v>
      </c>
      <c r="W13" s="1">
        <v>39.4</v>
      </c>
      <c r="X13" s="1">
        <v>53.59</v>
      </c>
      <c r="Y13" s="1">
        <v>50.19</v>
      </c>
      <c r="Z13" s="1">
        <v>39.700000000000003</v>
      </c>
      <c r="AA13" s="1">
        <v>34.08</v>
      </c>
      <c r="AB13" s="1">
        <v>41.35</v>
      </c>
      <c r="AC13" s="1">
        <v>39.18</v>
      </c>
      <c r="AD13" s="1">
        <v>32.630000000000003</v>
      </c>
      <c r="AE13" s="1">
        <v>22.63</v>
      </c>
      <c r="AF13" s="1">
        <v>85.04</v>
      </c>
      <c r="AG13" s="1">
        <v>72.13</v>
      </c>
      <c r="AH13" s="1">
        <v>84.87</v>
      </c>
      <c r="AI13" s="1">
        <v>80.81</v>
      </c>
      <c r="AJ13" s="1">
        <v>53.61</v>
      </c>
      <c r="AK13" s="1">
        <v>40.75</v>
      </c>
      <c r="AL13" s="1">
        <v>34.46</v>
      </c>
      <c r="AM13" s="1">
        <v>28.17</v>
      </c>
      <c r="AN13" s="1">
        <v>83.2</v>
      </c>
      <c r="AO13" s="1">
        <v>85.86</v>
      </c>
      <c r="AP13" s="1">
        <v>76.489999999999995</v>
      </c>
      <c r="AQ13" s="1">
        <v>66.67</v>
      </c>
      <c r="AR13" s="1">
        <v>27.18</v>
      </c>
      <c r="AS13" s="1">
        <v>19.399999999999999</v>
      </c>
      <c r="AT13" s="1">
        <v>17.559999999999999</v>
      </c>
      <c r="AU13" s="1">
        <v>16.29</v>
      </c>
      <c r="AV13" s="1">
        <v>100.78</v>
      </c>
      <c r="AW13" s="1">
        <v>93.4</v>
      </c>
      <c r="AX13" s="1">
        <v>92.84</v>
      </c>
      <c r="AY13" s="1">
        <v>100.56</v>
      </c>
      <c r="AZ13" s="1"/>
      <c r="BA13" s="1"/>
      <c r="BB13" s="1"/>
      <c r="BC13" s="1"/>
    </row>
    <row r="14" spans="3:55">
      <c r="C14" s="1">
        <v>-0.10721</v>
      </c>
      <c r="D14" s="1">
        <v>102.48</v>
      </c>
      <c r="E14" s="1">
        <v>102.87</v>
      </c>
      <c r="F14" s="1">
        <v>101.14</v>
      </c>
      <c r="G14" s="1">
        <v>95.96</v>
      </c>
      <c r="H14" s="1">
        <v>75.81</v>
      </c>
      <c r="I14" s="1">
        <v>82</v>
      </c>
      <c r="J14" s="1">
        <v>74.739999999999995</v>
      </c>
      <c r="K14" s="1">
        <v>84</v>
      </c>
      <c r="L14" s="1">
        <v>70.650000000000006</v>
      </c>
      <c r="M14" s="1">
        <v>66.489999999999995</v>
      </c>
      <c r="N14" s="1">
        <v>70.680000000000007</v>
      </c>
      <c r="O14" s="1">
        <v>72.540000000000006</v>
      </c>
      <c r="P14" s="1">
        <v>61.08</v>
      </c>
      <c r="Q14" s="1">
        <v>62.33</v>
      </c>
      <c r="R14" s="1">
        <v>53.05</v>
      </c>
      <c r="S14" s="1">
        <v>53.18</v>
      </c>
      <c r="T14" s="1">
        <v>65.650000000000006</v>
      </c>
      <c r="U14" s="1">
        <v>57.75</v>
      </c>
      <c r="V14" s="1">
        <v>53.99</v>
      </c>
      <c r="W14" s="1">
        <v>49.38</v>
      </c>
      <c r="X14" s="1">
        <v>63.54</v>
      </c>
      <c r="Y14" s="1">
        <v>62.61</v>
      </c>
      <c r="Z14" s="1">
        <v>49.62</v>
      </c>
      <c r="AA14" s="1">
        <v>36.880000000000003</v>
      </c>
      <c r="AB14" s="1">
        <v>40.07</v>
      </c>
      <c r="AC14" s="1">
        <v>42.75</v>
      </c>
      <c r="AD14" s="1">
        <v>35.67</v>
      </c>
      <c r="AE14" s="1">
        <v>29.31</v>
      </c>
      <c r="AF14" s="1">
        <v>98.27</v>
      </c>
      <c r="AG14" s="1">
        <v>101.01</v>
      </c>
      <c r="AH14" s="1">
        <v>81.680000000000007</v>
      </c>
      <c r="AI14" s="1">
        <v>87.08</v>
      </c>
      <c r="AJ14" s="1">
        <v>56.09</v>
      </c>
      <c r="AK14" s="1">
        <v>55.26</v>
      </c>
      <c r="AL14" s="1">
        <v>47.91</v>
      </c>
      <c r="AM14" s="1">
        <v>45.32</v>
      </c>
      <c r="AN14" s="1">
        <v>82.55</v>
      </c>
      <c r="AO14" s="1">
        <v>83.25</v>
      </c>
      <c r="AP14" s="1">
        <v>81.38</v>
      </c>
      <c r="AQ14" s="1">
        <v>64.209999999999994</v>
      </c>
      <c r="AR14" s="1">
        <v>34</v>
      </c>
      <c r="AS14" s="1">
        <v>33.39</v>
      </c>
      <c r="AT14" s="1">
        <v>31.58</v>
      </c>
      <c r="AU14" s="1">
        <v>19.510000000000002</v>
      </c>
      <c r="AV14" s="1">
        <v>97.93</v>
      </c>
      <c r="AW14" s="1">
        <v>101.79</v>
      </c>
      <c r="AX14" s="1">
        <v>94.68</v>
      </c>
      <c r="AY14" s="1">
        <v>95.54</v>
      </c>
      <c r="AZ14" s="1"/>
      <c r="BA14" s="1"/>
      <c r="BB14" s="1"/>
      <c r="BC14" s="1"/>
    </row>
    <row r="15" spans="3:55">
      <c r="C15" s="1">
        <v>-0.40823999999999999</v>
      </c>
      <c r="D15" s="1">
        <v>99.92</v>
      </c>
      <c r="E15" s="1">
        <v>98.65</v>
      </c>
      <c r="F15" s="1">
        <v>97.02</v>
      </c>
      <c r="G15" s="1">
        <v>96.78</v>
      </c>
      <c r="H15" s="1">
        <v>84.26</v>
      </c>
      <c r="I15" s="1">
        <v>89.19</v>
      </c>
      <c r="J15" s="1">
        <v>88.32</v>
      </c>
      <c r="K15" s="1">
        <v>96.31</v>
      </c>
      <c r="L15" s="1">
        <v>76.63</v>
      </c>
      <c r="M15" s="1">
        <v>72.36</v>
      </c>
      <c r="N15" s="1">
        <v>80.19</v>
      </c>
      <c r="O15" s="1">
        <v>77.67</v>
      </c>
      <c r="P15" s="1">
        <v>89.05</v>
      </c>
      <c r="Q15" s="1">
        <v>80.709999999999994</v>
      </c>
      <c r="R15" s="1">
        <v>80.12</v>
      </c>
      <c r="S15" s="1">
        <v>69.02</v>
      </c>
      <c r="T15" s="1">
        <v>61.08</v>
      </c>
      <c r="U15" s="1">
        <v>62.33</v>
      </c>
      <c r="V15" s="1">
        <v>53.05</v>
      </c>
      <c r="W15" s="1">
        <v>53.18</v>
      </c>
      <c r="X15" s="1">
        <v>94.73</v>
      </c>
      <c r="Y15" s="1">
        <v>76.31</v>
      </c>
      <c r="Z15" s="1">
        <v>68.95</v>
      </c>
      <c r="AA15" s="1">
        <v>61.33</v>
      </c>
      <c r="AB15" s="1">
        <v>53.59</v>
      </c>
      <c r="AC15" s="1">
        <v>50.19</v>
      </c>
      <c r="AD15" s="1">
        <v>39.700000000000003</v>
      </c>
      <c r="AE15" s="1">
        <v>34.08</v>
      </c>
      <c r="AF15" s="1">
        <v>100.75</v>
      </c>
      <c r="AG15" s="1">
        <v>101.8</v>
      </c>
      <c r="AH15" s="1">
        <v>100.39</v>
      </c>
      <c r="AI15" s="1">
        <v>93.72</v>
      </c>
      <c r="AJ15" s="1">
        <v>66.86</v>
      </c>
      <c r="AK15" s="1">
        <v>64.08</v>
      </c>
      <c r="AL15" s="1">
        <v>61.88</v>
      </c>
      <c r="AM15" s="1">
        <v>51.12</v>
      </c>
      <c r="AN15" s="1">
        <v>103.23</v>
      </c>
      <c r="AO15" s="1">
        <v>99.69</v>
      </c>
      <c r="AP15" s="1">
        <v>95.29</v>
      </c>
      <c r="AQ15" s="1">
        <v>87.25</v>
      </c>
      <c r="AR15" s="1">
        <v>53.97</v>
      </c>
      <c r="AS15" s="1">
        <v>48.33</v>
      </c>
      <c r="AT15" s="1">
        <v>42.25</v>
      </c>
      <c r="AU15" s="1">
        <v>29.2</v>
      </c>
      <c r="AV15" s="1">
        <v>100.14</v>
      </c>
      <c r="AW15" s="1">
        <v>100.03</v>
      </c>
      <c r="AX15" s="1">
        <v>101.06</v>
      </c>
      <c r="AY15" s="1">
        <v>100.87</v>
      </c>
      <c r="AZ15" s="1"/>
      <c r="BA15" s="1"/>
      <c r="BB15" s="1"/>
      <c r="BC15" s="1"/>
    </row>
    <row r="16" spans="3:55">
      <c r="C16" s="1">
        <v>-0.70926999999999996</v>
      </c>
      <c r="D16" s="1">
        <v>100.42</v>
      </c>
      <c r="E16" s="1">
        <v>102.03</v>
      </c>
      <c r="F16" s="1">
        <v>102.16</v>
      </c>
      <c r="G16" s="1">
        <v>100.25</v>
      </c>
      <c r="H16" s="1">
        <v>95.79</v>
      </c>
      <c r="I16" s="1">
        <v>91.7</v>
      </c>
      <c r="J16" s="1">
        <v>95.32</v>
      </c>
      <c r="K16" s="1">
        <v>99.8</v>
      </c>
      <c r="L16" s="1">
        <v>81.09</v>
      </c>
      <c r="M16" s="1">
        <v>84.04</v>
      </c>
      <c r="N16" s="1">
        <v>84.1</v>
      </c>
      <c r="O16" s="1">
        <v>90.19</v>
      </c>
      <c r="P16" s="1">
        <v>97.92</v>
      </c>
      <c r="Q16" s="1">
        <v>93.45</v>
      </c>
      <c r="R16" s="1">
        <v>97.95</v>
      </c>
      <c r="S16" s="1">
        <v>85.82</v>
      </c>
      <c r="T16" s="1">
        <v>89.05</v>
      </c>
      <c r="U16" s="1">
        <v>80.709999999999994</v>
      </c>
      <c r="V16" s="1">
        <v>80.12</v>
      </c>
      <c r="W16" s="1">
        <v>69.02</v>
      </c>
      <c r="X16" s="1">
        <v>83.25</v>
      </c>
      <c r="Y16" s="1">
        <v>96.63</v>
      </c>
      <c r="Z16" s="1">
        <v>92.32</v>
      </c>
      <c r="AA16" s="1">
        <v>68.849999999999994</v>
      </c>
      <c r="AB16" s="1">
        <v>63.54</v>
      </c>
      <c r="AC16" s="1">
        <v>62.61</v>
      </c>
      <c r="AD16" s="1">
        <v>49.62</v>
      </c>
      <c r="AE16" s="1">
        <v>36.880000000000003</v>
      </c>
      <c r="AF16" s="1">
        <v>99.69</v>
      </c>
      <c r="AG16" s="1">
        <v>96.22</v>
      </c>
      <c r="AH16" s="1">
        <v>100.7</v>
      </c>
      <c r="AI16" s="1">
        <v>98.91</v>
      </c>
      <c r="AJ16" s="1">
        <v>85.04</v>
      </c>
      <c r="AK16" s="1">
        <v>72.13</v>
      </c>
      <c r="AL16" s="1">
        <v>84.87</v>
      </c>
      <c r="AM16" s="1">
        <v>80.81</v>
      </c>
      <c r="AN16" s="1">
        <v>97.72</v>
      </c>
      <c r="AO16" s="1">
        <v>92.22</v>
      </c>
      <c r="AP16" s="1">
        <v>107.47</v>
      </c>
      <c r="AQ16" s="1">
        <v>86.88</v>
      </c>
      <c r="AR16" s="1">
        <v>70.03</v>
      </c>
      <c r="AS16" s="1">
        <v>76.41</v>
      </c>
      <c r="AT16" s="1">
        <v>64.87</v>
      </c>
      <c r="AU16" s="1">
        <v>45.45</v>
      </c>
      <c r="AV16" s="1">
        <v>101.18</v>
      </c>
      <c r="AW16" s="1">
        <v>101.4</v>
      </c>
      <c r="AX16" s="1">
        <v>101</v>
      </c>
      <c r="AY16" s="1">
        <v>100.82</v>
      </c>
      <c r="AZ16" s="1"/>
      <c r="BA16" s="1"/>
      <c r="BB16" s="1"/>
      <c r="BC16" s="1"/>
    </row>
    <row r="17" spans="3:55">
      <c r="C17" s="1">
        <v>-1.0103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>
        <v>97.92</v>
      </c>
      <c r="U17" s="1">
        <v>93.45</v>
      </c>
      <c r="V17" s="1">
        <v>97.95</v>
      </c>
      <c r="W17" s="1">
        <v>85.82</v>
      </c>
      <c r="X17" s="1"/>
      <c r="Y17" s="1"/>
      <c r="Z17" s="1"/>
      <c r="AA17" s="1"/>
      <c r="AB17" s="1">
        <v>94.73</v>
      </c>
      <c r="AC17" s="1">
        <v>76.31</v>
      </c>
      <c r="AD17" s="1">
        <v>68.95</v>
      </c>
      <c r="AE17" s="1">
        <v>61.33</v>
      </c>
      <c r="AF17" s="1"/>
      <c r="AG17" s="1"/>
      <c r="AH17" s="1"/>
      <c r="AI17" s="1"/>
      <c r="AJ17" s="1">
        <v>98.27</v>
      </c>
      <c r="AK17" s="1">
        <v>101.01</v>
      </c>
      <c r="AL17" s="1">
        <v>81.680000000000007</v>
      </c>
      <c r="AM17" s="1">
        <v>87.08</v>
      </c>
      <c r="AN17" s="1"/>
      <c r="AO17" s="1"/>
      <c r="AP17" s="1"/>
      <c r="AQ17" s="1"/>
      <c r="AR17" s="1">
        <v>83.2</v>
      </c>
      <c r="AS17" s="1">
        <v>85.86</v>
      </c>
      <c r="AT17" s="1">
        <v>76.489999999999995</v>
      </c>
      <c r="AU17" s="1">
        <v>66.67</v>
      </c>
      <c r="AV17" s="1"/>
      <c r="AW17" s="1"/>
      <c r="AX17" s="1"/>
      <c r="AY17" s="1"/>
      <c r="AZ17" s="1"/>
      <c r="BA17" s="1"/>
      <c r="BB17" s="1"/>
      <c r="BC17" s="1"/>
    </row>
    <row r="18" spans="3:55">
      <c r="C18" s="1">
        <v>-1.3113300000000001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>
        <v>83.25</v>
      </c>
      <c r="AC18" s="1">
        <v>96.63</v>
      </c>
      <c r="AD18" s="1">
        <v>92.32</v>
      </c>
      <c r="AE18" s="1">
        <v>68.849999999999994</v>
      </c>
      <c r="AF18" s="1"/>
      <c r="AG18" s="1"/>
      <c r="AH18" s="1"/>
      <c r="AI18" s="1"/>
      <c r="AJ18" s="1">
        <v>100.75</v>
      </c>
      <c r="AK18" s="1">
        <v>101.8</v>
      </c>
      <c r="AL18" s="1">
        <v>100.39</v>
      </c>
      <c r="AM18" s="1">
        <v>93.72</v>
      </c>
      <c r="AN18" s="1"/>
      <c r="AO18" s="1"/>
      <c r="AP18" s="1"/>
      <c r="AQ18" s="1"/>
      <c r="AR18" s="1">
        <v>82.55</v>
      </c>
      <c r="AS18" s="1">
        <v>83.25</v>
      </c>
      <c r="AT18" s="1">
        <v>81.38</v>
      </c>
      <c r="AU18" s="1">
        <v>64.209999999999994</v>
      </c>
      <c r="AV18" s="1"/>
      <c r="AW18" s="1"/>
      <c r="AX18" s="1"/>
      <c r="AY18" s="1"/>
      <c r="AZ18" s="1"/>
      <c r="BA18" s="1"/>
      <c r="BB18" s="1"/>
      <c r="BC18" s="1"/>
    </row>
    <row r="19" spans="3:55">
      <c r="C19" s="1">
        <v>-1.61236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>
        <v>99.69</v>
      </c>
      <c r="AK19" s="1">
        <v>96.22</v>
      </c>
      <c r="AL19" s="1">
        <v>100.7</v>
      </c>
      <c r="AM19" s="1">
        <v>98.91</v>
      </c>
      <c r="AN19" s="1"/>
      <c r="AO19" s="1"/>
      <c r="AP19" s="1"/>
      <c r="AQ19" s="1"/>
      <c r="AR19" s="1">
        <v>100.23</v>
      </c>
      <c r="AS19" s="1">
        <v>99.69</v>
      </c>
      <c r="AT19" s="1">
        <v>95.29</v>
      </c>
      <c r="AU19" s="1">
        <v>87.25</v>
      </c>
      <c r="AV19" s="1"/>
      <c r="AW19" s="1"/>
      <c r="AX19" s="1"/>
      <c r="AY19" s="1"/>
      <c r="AZ19" s="1"/>
      <c r="BA19" s="1"/>
      <c r="BB19" s="1"/>
      <c r="BC19" s="1"/>
    </row>
    <row r="20" spans="3:55">
      <c r="C20" s="1">
        <v>-1.9133899999999999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>
        <v>97.72</v>
      </c>
      <c r="AS20" s="1">
        <v>92.22</v>
      </c>
      <c r="AT20" s="1">
        <v>101.47</v>
      </c>
      <c r="AU20" s="1">
        <v>86.88</v>
      </c>
      <c r="AV20" s="1"/>
      <c r="AW20" s="1"/>
      <c r="AX20" s="1"/>
      <c r="AY20" s="1"/>
      <c r="AZ20" s="1"/>
      <c r="BA20" s="1"/>
      <c r="BB20" s="1"/>
      <c r="BC20" s="1"/>
    </row>
    <row r="21" spans="3:5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3:55">
      <c r="C22" s="1">
        <v>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>
        <v>13.9</v>
      </c>
      <c r="BA22" s="1">
        <v>8.41</v>
      </c>
      <c r="BB22" s="1">
        <v>1.68</v>
      </c>
      <c r="BC22" s="1">
        <v>1.64</v>
      </c>
    </row>
    <row r="23" spans="3:55">
      <c r="C23" s="1">
        <v>0.69896999999999998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>
        <v>21.13</v>
      </c>
      <c r="BA23" s="1">
        <v>15.36</v>
      </c>
      <c r="BB23" s="1">
        <v>13.46</v>
      </c>
      <c r="BC23" s="1">
        <v>9.84</v>
      </c>
    </row>
    <row r="24" spans="3:55">
      <c r="C24" s="1">
        <v>0.39794000000000002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>
        <v>36.479999999999997</v>
      </c>
      <c r="BA24" s="1">
        <v>20.260000000000002</v>
      </c>
      <c r="BB24" s="1">
        <v>14.59</v>
      </c>
      <c r="BC24" s="1">
        <v>10.94</v>
      </c>
    </row>
    <row r="25" spans="3:55">
      <c r="C25" s="1">
        <v>9.6909999999999996E-2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>
        <v>46.6</v>
      </c>
      <c r="BA25" s="1">
        <v>35.43</v>
      </c>
      <c r="BB25" s="1">
        <v>37.020000000000003</v>
      </c>
      <c r="BC25" s="1">
        <v>35.65</v>
      </c>
    </row>
    <row r="26" spans="3:55">
      <c r="C26" s="1">
        <v>-0.20412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>
        <v>54.79</v>
      </c>
      <c r="BA26" s="1">
        <v>43.3</v>
      </c>
      <c r="BB26" s="1">
        <v>42.9</v>
      </c>
      <c r="BC26" s="1">
        <v>43.03</v>
      </c>
    </row>
    <row r="27" spans="3:55">
      <c r="C27" s="1">
        <v>-0.50514999999999999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>
        <v>66.739999999999995</v>
      </c>
      <c r="BA27" s="1">
        <v>64.400000000000006</v>
      </c>
      <c r="BB27" s="1">
        <v>70.08</v>
      </c>
      <c r="BC27" s="1">
        <v>75.73</v>
      </c>
    </row>
    <row r="28" spans="3:55">
      <c r="C28" s="1">
        <v>-0.80618000000000001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>
        <v>86.42</v>
      </c>
      <c r="BA28" s="1">
        <v>83.83</v>
      </c>
      <c r="BB28" s="1">
        <v>85.97</v>
      </c>
      <c r="BC28" s="1">
        <v>85.85</v>
      </c>
    </row>
    <row r="29" spans="3:55">
      <c r="C29" s="1">
        <v>-1.10721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>
        <v>100.78</v>
      </c>
      <c r="BA29" s="1">
        <v>93.4</v>
      </c>
      <c r="BB29" s="1">
        <v>92.84</v>
      </c>
      <c r="BC29" s="1">
        <v>100.56</v>
      </c>
    </row>
    <row r="30" spans="3:55">
      <c r="C30" s="1">
        <v>-1.4082399999999999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>
        <v>97.93</v>
      </c>
      <c r="BA30" s="1">
        <v>101.79</v>
      </c>
      <c r="BB30" s="1">
        <v>94.68</v>
      </c>
      <c r="BC30" s="1">
        <v>95.54</v>
      </c>
    </row>
    <row r="31" spans="3:55">
      <c r="C31" s="1">
        <v>-1.7092700000000001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>
        <v>100.14</v>
      </c>
      <c r="BA31" s="1">
        <v>100.03</v>
      </c>
      <c r="BB31" s="1">
        <v>101.06</v>
      </c>
      <c r="BC31" s="1">
        <v>100.87</v>
      </c>
    </row>
    <row r="32" spans="3:55">
      <c r="C32" s="1">
        <v>-2.0103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>
        <v>101.18</v>
      </c>
      <c r="BA32" s="1">
        <v>101.4</v>
      </c>
      <c r="BB32" s="1">
        <v>101</v>
      </c>
      <c r="BC32" s="1">
        <v>100.82</v>
      </c>
    </row>
    <row r="36" spans="3:51">
      <c r="C36" s="2" t="s">
        <v>62</v>
      </c>
      <c r="D36" s="39" t="s">
        <v>76</v>
      </c>
      <c r="E36" s="39"/>
      <c r="F36" s="39"/>
      <c r="G36" s="39"/>
      <c r="H36" s="39" t="s">
        <v>112</v>
      </c>
      <c r="I36" s="39"/>
      <c r="J36" s="39"/>
      <c r="K36" s="39"/>
      <c r="L36" s="39" t="s">
        <v>102</v>
      </c>
      <c r="M36" s="39"/>
      <c r="N36" s="39"/>
      <c r="O36" s="39"/>
      <c r="P36" s="39" t="s">
        <v>103</v>
      </c>
      <c r="Q36" s="39"/>
      <c r="R36" s="39"/>
      <c r="S36" s="39"/>
      <c r="T36" s="39" t="s">
        <v>104</v>
      </c>
      <c r="U36" s="39"/>
      <c r="V36" s="39"/>
      <c r="W36" s="39"/>
      <c r="X36" s="39" t="s">
        <v>105</v>
      </c>
      <c r="Y36" s="39"/>
      <c r="Z36" s="39"/>
      <c r="AA36" s="39"/>
      <c r="AB36" s="39" t="s">
        <v>106</v>
      </c>
      <c r="AC36" s="39"/>
      <c r="AD36" s="39"/>
      <c r="AE36" s="39"/>
      <c r="AF36" s="39" t="s">
        <v>107</v>
      </c>
      <c r="AG36" s="39"/>
      <c r="AH36" s="39"/>
      <c r="AI36" s="39"/>
      <c r="AJ36" s="39" t="s">
        <v>108</v>
      </c>
      <c r="AK36" s="39"/>
      <c r="AL36" s="39"/>
      <c r="AM36" s="39"/>
      <c r="AN36" s="39" t="s">
        <v>109</v>
      </c>
      <c r="AO36" s="39"/>
      <c r="AP36" s="39"/>
      <c r="AQ36" s="39"/>
      <c r="AR36" s="39" t="s">
        <v>110</v>
      </c>
      <c r="AS36" s="39"/>
      <c r="AT36" s="39"/>
      <c r="AU36" s="39"/>
      <c r="AV36" s="39" t="s">
        <v>111</v>
      </c>
      <c r="AW36" s="39"/>
      <c r="AX36" s="39"/>
      <c r="AY36" s="39"/>
    </row>
    <row r="37" spans="3:51">
      <c r="C37" s="1">
        <v>2.3010299999999999</v>
      </c>
      <c r="D37" s="1">
        <v>-0.95</v>
      </c>
      <c r="E37" s="1">
        <v>-0.83</v>
      </c>
      <c r="F37" s="1">
        <v>0.1</v>
      </c>
      <c r="G37" s="1">
        <v>-1.88</v>
      </c>
      <c r="H37" s="1">
        <v>7.16</v>
      </c>
      <c r="I37" s="1">
        <v>8.7100000000000009</v>
      </c>
      <c r="J37" s="1">
        <v>2.75</v>
      </c>
      <c r="K37" s="1">
        <v>12.11</v>
      </c>
      <c r="L37" s="1">
        <v>2.13</v>
      </c>
      <c r="M37" s="1">
        <v>2.15</v>
      </c>
      <c r="N37" s="1">
        <v>1.64</v>
      </c>
      <c r="O37" s="1">
        <v>1.39</v>
      </c>
      <c r="P37" s="1"/>
      <c r="Q37" s="1"/>
      <c r="R37" s="1"/>
      <c r="S37" s="1"/>
      <c r="T37" s="1">
        <v>5.1100000000000003</v>
      </c>
      <c r="U37" s="1">
        <v>4.71</v>
      </c>
      <c r="V37" s="1">
        <v>5.23</v>
      </c>
      <c r="W37" s="1">
        <v>4.3</v>
      </c>
      <c r="X37" s="1"/>
      <c r="Y37" s="1"/>
      <c r="Z37" s="1"/>
      <c r="AA37" s="1"/>
      <c r="AB37" s="1">
        <v>1.89</v>
      </c>
      <c r="AC37" s="1">
        <v>1.42</v>
      </c>
      <c r="AD37" s="1">
        <v>1.67</v>
      </c>
      <c r="AE37" s="1">
        <v>1.32</v>
      </c>
      <c r="AF37" s="1"/>
      <c r="AG37" s="1"/>
      <c r="AH37" s="1"/>
      <c r="AI37" s="1"/>
      <c r="AJ37" s="1">
        <v>0.19</v>
      </c>
      <c r="AK37" s="1">
        <v>1.94</v>
      </c>
      <c r="AL37" s="1">
        <v>1.89</v>
      </c>
      <c r="AM37" s="1">
        <v>1.46</v>
      </c>
      <c r="AN37" s="1"/>
      <c r="AO37" s="1"/>
      <c r="AP37" s="1"/>
      <c r="AQ37" s="1"/>
      <c r="AR37" s="1">
        <v>3.48</v>
      </c>
      <c r="AS37" s="1">
        <v>2.25</v>
      </c>
      <c r="AT37" s="1">
        <v>2.82</v>
      </c>
      <c r="AU37" s="1">
        <v>1.0900000000000001</v>
      </c>
      <c r="AV37" s="1"/>
      <c r="AW37" s="1"/>
      <c r="AX37" s="1"/>
      <c r="AY37" s="1"/>
    </row>
    <row r="38" spans="3:51">
      <c r="C38" s="1">
        <v>2</v>
      </c>
      <c r="D38" s="1">
        <v>10.48</v>
      </c>
      <c r="E38" s="1">
        <v>6.66</v>
      </c>
      <c r="F38" s="1">
        <v>5.28</v>
      </c>
      <c r="G38" s="1">
        <v>5.21</v>
      </c>
      <c r="H38" s="1">
        <v>26.6</v>
      </c>
      <c r="I38" s="1">
        <v>24.48</v>
      </c>
      <c r="J38" s="1">
        <v>35.97</v>
      </c>
      <c r="K38" s="1">
        <v>25.57</v>
      </c>
      <c r="L38" s="1">
        <v>15.23</v>
      </c>
      <c r="M38" s="1">
        <v>10.75</v>
      </c>
      <c r="N38" s="1">
        <v>15.85</v>
      </c>
      <c r="O38" s="1">
        <v>8.65</v>
      </c>
      <c r="P38" s="1">
        <v>2.13</v>
      </c>
      <c r="Q38" s="1">
        <v>2.15</v>
      </c>
      <c r="R38" s="1">
        <v>1.64</v>
      </c>
      <c r="S38" s="1">
        <v>1.39</v>
      </c>
      <c r="T38" s="1">
        <v>10.65</v>
      </c>
      <c r="U38" s="1">
        <v>7.41</v>
      </c>
      <c r="V38" s="1">
        <v>6.08</v>
      </c>
      <c r="W38" s="1">
        <v>7.58</v>
      </c>
      <c r="X38" s="1"/>
      <c r="Y38" s="1"/>
      <c r="Z38" s="1"/>
      <c r="AA38" s="1"/>
      <c r="AB38" s="1">
        <v>3.7</v>
      </c>
      <c r="AC38" s="1">
        <v>4.72</v>
      </c>
      <c r="AD38" s="1">
        <v>2.58</v>
      </c>
      <c r="AE38" s="1">
        <v>2.71</v>
      </c>
      <c r="AF38" s="1"/>
      <c r="AG38" s="1"/>
      <c r="AH38" s="1"/>
      <c r="AI38" s="1"/>
      <c r="AJ38" s="1">
        <v>3.04</v>
      </c>
      <c r="AK38" s="1">
        <v>7.94</v>
      </c>
      <c r="AL38" s="1">
        <v>2.0699999999999998</v>
      </c>
      <c r="AM38" s="1">
        <v>2.13</v>
      </c>
      <c r="AN38" s="1"/>
      <c r="AO38" s="1"/>
      <c r="AP38" s="1"/>
      <c r="AQ38" s="1"/>
      <c r="AR38" s="1">
        <v>10.11</v>
      </c>
      <c r="AS38" s="1">
        <v>11.36</v>
      </c>
      <c r="AT38" s="1">
        <v>18.47</v>
      </c>
      <c r="AU38" s="1">
        <v>17.079999999999998</v>
      </c>
      <c r="AV38" s="1"/>
      <c r="AW38" s="1"/>
      <c r="AX38" s="1"/>
      <c r="AY38" s="1"/>
    </row>
    <row r="39" spans="3:51">
      <c r="C39" s="1">
        <v>1.6989700000000001</v>
      </c>
      <c r="D39" s="1">
        <v>54.41</v>
      </c>
      <c r="E39" s="1">
        <v>39.39</v>
      </c>
      <c r="F39" s="1">
        <v>40.19</v>
      </c>
      <c r="G39" s="1">
        <v>27.68</v>
      </c>
      <c r="H39" s="1">
        <v>38.64</v>
      </c>
      <c r="I39" s="1">
        <v>36.9</v>
      </c>
      <c r="J39" s="1">
        <v>39.69</v>
      </c>
      <c r="K39" s="1">
        <v>37.17</v>
      </c>
      <c r="L39" s="1">
        <v>22.58</v>
      </c>
      <c r="M39" s="1">
        <v>26.89</v>
      </c>
      <c r="N39" s="1">
        <v>22.6</v>
      </c>
      <c r="O39" s="1">
        <v>28.11</v>
      </c>
      <c r="P39" s="1">
        <v>15.23</v>
      </c>
      <c r="Q39" s="1">
        <v>10.75</v>
      </c>
      <c r="R39" s="1">
        <v>15.85</v>
      </c>
      <c r="S39" s="1">
        <v>8.65</v>
      </c>
      <c r="T39" s="1">
        <v>14.48</v>
      </c>
      <c r="U39" s="1">
        <v>12.87</v>
      </c>
      <c r="V39" s="1">
        <v>12.33</v>
      </c>
      <c r="W39" s="1">
        <v>9.67</v>
      </c>
      <c r="X39" s="1">
        <v>5.1100000000000003</v>
      </c>
      <c r="Y39" s="1">
        <v>4.71</v>
      </c>
      <c r="Z39" s="1">
        <v>5.23</v>
      </c>
      <c r="AA39" s="1">
        <v>4.3</v>
      </c>
      <c r="AB39" s="1">
        <v>7.26</v>
      </c>
      <c r="AC39" s="1">
        <v>6.42</v>
      </c>
      <c r="AD39" s="1">
        <v>7.93</v>
      </c>
      <c r="AE39" s="1">
        <v>10.91</v>
      </c>
      <c r="AF39" s="1"/>
      <c r="AG39" s="1"/>
      <c r="AH39" s="1"/>
      <c r="AI39" s="1"/>
      <c r="AJ39" s="1">
        <v>6.27</v>
      </c>
      <c r="AK39" s="1">
        <v>10.55</v>
      </c>
      <c r="AL39" s="1">
        <v>11.73</v>
      </c>
      <c r="AM39" s="1">
        <v>12.14</v>
      </c>
      <c r="AN39" s="1"/>
      <c r="AO39" s="1"/>
      <c r="AP39" s="1"/>
      <c r="AQ39" s="1"/>
      <c r="AR39" s="1">
        <v>21.29</v>
      </c>
      <c r="AS39" s="1">
        <v>26.32</v>
      </c>
      <c r="AT39" s="1">
        <v>29.27</v>
      </c>
      <c r="AU39" s="1">
        <v>32.39</v>
      </c>
      <c r="AV39" s="1"/>
      <c r="AW39" s="1"/>
      <c r="AX39" s="1"/>
      <c r="AY39" s="1"/>
    </row>
    <row r="40" spans="3:51">
      <c r="C40" s="1">
        <v>1.39794</v>
      </c>
      <c r="D40" s="1">
        <v>82.86</v>
      </c>
      <c r="E40" s="1">
        <v>74.16</v>
      </c>
      <c r="F40" s="1">
        <v>70.180000000000007</v>
      </c>
      <c r="G40" s="1">
        <v>55.96</v>
      </c>
      <c r="H40" s="1">
        <v>46.04</v>
      </c>
      <c r="I40" s="1">
        <v>43.21</v>
      </c>
      <c r="J40" s="1">
        <v>48.32</v>
      </c>
      <c r="K40" s="1">
        <v>46.95</v>
      </c>
      <c r="L40" s="1">
        <v>31.06</v>
      </c>
      <c r="M40" s="1">
        <v>32.22</v>
      </c>
      <c r="N40" s="1">
        <v>34.72</v>
      </c>
      <c r="O40" s="1">
        <v>34.26</v>
      </c>
      <c r="P40" s="1">
        <v>22.58</v>
      </c>
      <c r="Q40" s="1">
        <v>26.89</v>
      </c>
      <c r="R40" s="1">
        <v>22.6</v>
      </c>
      <c r="S40" s="1">
        <v>28.11</v>
      </c>
      <c r="T40" s="1">
        <v>19.260000000000002</v>
      </c>
      <c r="U40" s="1">
        <v>14.44</v>
      </c>
      <c r="V40" s="1">
        <v>15.93</v>
      </c>
      <c r="W40" s="1">
        <v>14.12</v>
      </c>
      <c r="X40" s="1">
        <v>10.65</v>
      </c>
      <c r="Y40" s="1">
        <v>7.41</v>
      </c>
      <c r="Z40" s="1">
        <v>6.08</v>
      </c>
      <c r="AA40" s="1">
        <v>7.58</v>
      </c>
      <c r="AB40" s="1">
        <v>15.47</v>
      </c>
      <c r="AC40" s="1">
        <v>10.44</v>
      </c>
      <c r="AD40" s="1">
        <v>10.86</v>
      </c>
      <c r="AE40" s="1">
        <v>14.46</v>
      </c>
      <c r="AF40" s="1">
        <v>1.89</v>
      </c>
      <c r="AG40" s="1">
        <v>1.42</v>
      </c>
      <c r="AH40" s="1">
        <v>1.67</v>
      </c>
      <c r="AI40" s="1">
        <v>1.32</v>
      </c>
      <c r="AJ40" s="1">
        <v>14.7</v>
      </c>
      <c r="AK40" s="1">
        <v>13.2</v>
      </c>
      <c r="AL40" s="1">
        <v>16.95</v>
      </c>
      <c r="AM40" s="1">
        <v>18.21</v>
      </c>
      <c r="AN40" s="1"/>
      <c r="AO40" s="1"/>
      <c r="AP40" s="1"/>
      <c r="AQ40" s="1"/>
      <c r="AR40" s="1">
        <v>36.520000000000003</v>
      </c>
      <c r="AS40" s="1">
        <v>35.869999999999997</v>
      </c>
      <c r="AT40" s="1">
        <v>33.04</v>
      </c>
      <c r="AU40" s="1">
        <v>43.09</v>
      </c>
      <c r="AV40" s="1"/>
      <c r="AW40" s="1"/>
      <c r="AX40" s="1"/>
      <c r="AY40" s="1"/>
    </row>
    <row r="41" spans="3:51">
      <c r="C41" s="1">
        <v>1.0969100000000001</v>
      </c>
      <c r="D41" s="1">
        <v>95.28</v>
      </c>
      <c r="E41" s="1">
        <v>88.43</v>
      </c>
      <c r="F41" s="1">
        <v>83.73</v>
      </c>
      <c r="G41" s="1">
        <v>66.48</v>
      </c>
      <c r="H41" s="1">
        <v>59.9</v>
      </c>
      <c r="I41" s="1">
        <v>52.48</v>
      </c>
      <c r="J41" s="1">
        <v>52.63</v>
      </c>
      <c r="K41" s="1">
        <v>51.42</v>
      </c>
      <c r="L41" s="1">
        <v>39.24</v>
      </c>
      <c r="M41" s="1">
        <v>37.67</v>
      </c>
      <c r="N41" s="1">
        <v>36.950000000000003</v>
      </c>
      <c r="O41" s="1">
        <v>40.590000000000003</v>
      </c>
      <c r="P41" s="1">
        <v>31.06</v>
      </c>
      <c r="Q41" s="1">
        <v>32.22</v>
      </c>
      <c r="R41" s="1">
        <v>34.72</v>
      </c>
      <c r="S41" s="1">
        <v>34.26</v>
      </c>
      <c r="T41" s="1">
        <v>29.47</v>
      </c>
      <c r="U41" s="1">
        <v>25.21</v>
      </c>
      <c r="V41" s="1">
        <v>25.41</v>
      </c>
      <c r="W41" s="1">
        <v>27.94</v>
      </c>
      <c r="X41" s="1">
        <v>14.48</v>
      </c>
      <c r="Y41" s="1">
        <v>12.87</v>
      </c>
      <c r="Z41" s="1">
        <v>12.33</v>
      </c>
      <c r="AA41" s="1">
        <v>9.67</v>
      </c>
      <c r="AB41" s="1">
        <v>26.4</v>
      </c>
      <c r="AC41" s="1">
        <v>15.61</v>
      </c>
      <c r="AD41" s="1">
        <v>21.86</v>
      </c>
      <c r="AE41" s="1">
        <v>18.25</v>
      </c>
      <c r="AF41" s="1">
        <v>3.7</v>
      </c>
      <c r="AG41" s="1">
        <v>4.72</v>
      </c>
      <c r="AH41" s="1">
        <v>2.58</v>
      </c>
      <c r="AI41" s="1">
        <v>2.71</v>
      </c>
      <c r="AJ41" s="1">
        <v>18.309999999999999</v>
      </c>
      <c r="AK41" s="1">
        <v>18.920000000000002</v>
      </c>
      <c r="AL41" s="1">
        <v>20.329999999999998</v>
      </c>
      <c r="AM41" s="1">
        <v>21.06</v>
      </c>
      <c r="AN41" s="1">
        <v>0.19</v>
      </c>
      <c r="AO41" s="1">
        <v>1.94</v>
      </c>
      <c r="AP41" s="1">
        <v>1.89</v>
      </c>
      <c r="AQ41" s="1">
        <v>1.46</v>
      </c>
      <c r="AR41" s="1">
        <v>41.57</v>
      </c>
      <c r="AS41" s="1">
        <v>50.07</v>
      </c>
      <c r="AT41" s="1">
        <v>42.38</v>
      </c>
      <c r="AU41" s="1">
        <v>46.38</v>
      </c>
      <c r="AV41" s="1"/>
      <c r="AW41" s="1"/>
      <c r="AX41" s="1"/>
      <c r="AY41" s="1"/>
    </row>
    <row r="42" spans="3:51">
      <c r="C42" s="1">
        <v>0.79588000000000003</v>
      </c>
      <c r="D42" s="1">
        <v>97.72</v>
      </c>
      <c r="E42" s="1">
        <v>93.06</v>
      </c>
      <c r="F42" s="1">
        <v>90.11</v>
      </c>
      <c r="G42" s="1">
        <v>65.92</v>
      </c>
      <c r="H42" s="1">
        <v>60.59</v>
      </c>
      <c r="I42" s="1">
        <v>63.55</v>
      </c>
      <c r="J42" s="1">
        <v>64.989999999999995</v>
      </c>
      <c r="K42" s="1">
        <v>59.68</v>
      </c>
      <c r="L42" s="1">
        <v>40.729999999999997</v>
      </c>
      <c r="M42" s="1">
        <v>41.12</v>
      </c>
      <c r="N42" s="1">
        <v>42.04</v>
      </c>
      <c r="O42" s="1">
        <v>42.07</v>
      </c>
      <c r="P42" s="1">
        <v>39.24</v>
      </c>
      <c r="Q42" s="1">
        <v>37.67</v>
      </c>
      <c r="R42" s="1">
        <v>36.950000000000003</v>
      </c>
      <c r="S42" s="1">
        <v>40.590000000000003</v>
      </c>
      <c r="T42" s="1">
        <v>33.409999999999997</v>
      </c>
      <c r="U42" s="1">
        <v>35.619999999999997</v>
      </c>
      <c r="V42" s="1">
        <v>33.200000000000003</v>
      </c>
      <c r="W42" s="1">
        <v>32.299999999999997</v>
      </c>
      <c r="X42" s="1">
        <v>19.260000000000002</v>
      </c>
      <c r="Y42" s="1">
        <v>14.44</v>
      </c>
      <c r="Z42" s="1">
        <v>15.93</v>
      </c>
      <c r="AA42" s="1">
        <v>14.12</v>
      </c>
      <c r="AB42" s="1">
        <v>28.08</v>
      </c>
      <c r="AC42" s="1">
        <v>27.36</v>
      </c>
      <c r="AD42" s="1">
        <v>32.5</v>
      </c>
      <c r="AE42" s="1">
        <v>28.81</v>
      </c>
      <c r="AF42" s="1">
        <v>7.26</v>
      </c>
      <c r="AG42" s="1">
        <v>6.42</v>
      </c>
      <c r="AH42" s="1">
        <v>7.93</v>
      </c>
      <c r="AI42" s="1">
        <v>10.91</v>
      </c>
      <c r="AJ42" s="1">
        <v>23.2</v>
      </c>
      <c r="AK42" s="1">
        <v>24.09</v>
      </c>
      <c r="AL42" s="1">
        <v>23.16</v>
      </c>
      <c r="AM42" s="1">
        <v>23.67</v>
      </c>
      <c r="AN42" s="1">
        <v>3.04</v>
      </c>
      <c r="AO42" s="1">
        <v>7.94</v>
      </c>
      <c r="AP42" s="1">
        <v>2.0699999999999998</v>
      </c>
      <c r="AQ42" s="1">
        <v>2.13</v>
      </c>
      <c r="AR42" s="1">
        <v>51.13</v>
      </c>
      <c r="AS42" s="1">
        <v>56.23</v>
      </c>
      <c r="AT42" s="1">
        <v>52.81</v>
      </c>
      <c r="AU42" s="1">
        <v>55.86</v>
      </c>
      <c r="AV42" s="1"/>
      <c r="AW42" s="1"/>
      <c r="AX42" s="1"/>
      <c r="AY42" s="1"/>
    </row>
    <row r="43" spans="3:51">
      <c r="C43" s="1">
        <v>0.49485000000000001</v>
      </c>
      <c r="D43" s="1">
        <v>99.96</v>
      </c>
      <c r="E43" s="1">
        <v>101.12</v>
      </c>
      <c r="F43" s="1">
        <v>98.7</v>
      </c>
      <c r="G43" s="1">
        <v>87.07</v>
      </c>
      <c r="H43" s="1">
        <v>68.7</v>
      </c>
      <c r="I43" s="1">
        <v>66.099999999999994</v>
      </c>
      <c r="J43" s="1">
        <v>67.28</v>
      </c>
      <c r="K43" s="1">
        <v>61.48</v>
      </c>
      <c r="L43" s="1">
        <v>45.36</v>
      </c>
      <c r="M43" s="1">
        <v>43.26</v>
      </c>
      <c r="N43" s="1">
        <v>41.35</v>
      </c>
      <c r="O43" s="1">
        <v>46.19</v>
      </c>
      <c r="P43" s="1">
        <v>40.729999999999997</v>
      </c>
      <c r="Q43" s="1">
        <v>41.12</v>
      </c>
      <c r="R43" s="1">
        <v>42.04</v>
      </c>
      <c r="S43" s="1">
        <v>42.07</v>
      </c>
      <c r="T43" s="1">
        <v>37.28</v>
      </c>
      <c r="U43" s="1">
        <v>39.1</v>
      </c>
      <c r="V43" s="1">
        <v>34.770000000000003</v>
      </c>
      <c r="W43" s="1">
        <v>32.53</v>
      </c>
      <c r="X43" s="1">
        <v>29.47</v>
      </c>
      <c r="Y43" s="1">
        <v>25.21</v>
      </c>
      <c r="Z43" s="1">
        <v>25.41</v>
      </c>
      <c r="AA43" s="1">
        <v>27.94</v>
      </c>
      <c r="AB43" s="1">
        <v>33.18</v>
      </c>
      <c r="AC43" s="1">
        <v>32.04</v>
      </c>
      <c r="AD43" s="1">
        <v>36.21</v>
      </c>
      <c r="AE43" s="1">
        <v>30.6</v>
      </c>
      <c r="AF43" s="1">
        <v>15.47</v>
      </c>
      <c r="AG43" s="1">
        <v>10.44</v>
      </c>
      <c r="AH43" s="1">
        <v>10.86</v>
      </c>
      <c r="AI43" s="1">
        <v>14.46</v>
      </c>
      <c r="AJ43" s="1">
        <v>29.07</v>
      </c>
      <c r="AK43" s="1">
        <v>33.29</v>
      </c>
      <c r="AL43" s="1">
        <v>33.15</v>
      </c>
      <c r="AM43" s="1">
        <v>28.06</v>
      </c>
      <c r="AN43" s="1">
        <v>6.27</v>
      </c>
      <c r="AO43" s="1">
        <v>10.55</v>
      </c>
      <c r="AP43" s="1">
        <v>11.73</v>
      </c>
      <c r="AQ43" s="1">
        <v>12.14</v>
      </c>
      <c r="AR43" s="1">
        <v>61.69</v>
      </c>
      <c r="AS43" s="1">
        <v>67.11</v>
      </c>
      <c r="AT43" s="1">
        <v>60.22</v>
      </c>
      <c r="AU43" s="1">
        <v>59.32</v>
      </c>
      <c r="AV43" s="1"/>
      <c r="AW43" s="1"/>
      <c r="AX43" s="1"/>
      <c r="AY43" s="1"/>
    </row>
    <row r="44" spans="3:51">
      <c r="C44" s="1">
        <v>0.19381999999999999</v>
      </c>
      <c r="D44" s="1">
        <v>101.27</v>
      </c>
      <c r="E44" s="1">
        <v>100.65</v>
      </c>
      <c r="F44" s="1">
        <v>94.59</v>
      </c>
      <c r="G44" s="1">
        <v>91.07</v>
      </c>
      <c r="H44" s="1">
        <v>72.42</v>
      </c>
      <c r="I44" s="1">
        <v>73.3</v>
      </c>
      <c r="J44" s="1">
        <v>70.98</v>
      </c>
      <c r="K44" s="1">
        <v>74.569999999999993</v>
      </c>
      <c r="L44" s="1">
        <v>49.75</v>
      </c>
      <c r="M44" s="1">
        <v>52.92</v>
      </c>
      <c r="N44" s="1">
        <v>52.57</v>
      </c>
      <c r="O44" s="1">
        <v>52.52</v>
      </c>
      <c r="P44" s="1">
        <v>45.36</v>
      </c>
      <c r="Q44" s="1">
        <v>43.26</v>
      </c>
      <c r="R44" s="1">
        <v>41.35</v>
      </c>
      <c r="S44" s="1">
        <v>46.19</v>
      </c>
      <c r="T44" s="1">
        <v>39.03</v>
      </c>
      <c r="U44" s="1">
        <v>40.49</v>
      </c>
      <c r="V44" s="1">
        <v>42.03</v>
      </c>
      <c r="W44" s="1">
        <v>40.369999999999997</v>
      </c>
      <c r="X44" s="1">
        <v>33.409999999999997</v>
      </c>
      <c r="Y44" s="1">
        <v>35.619999999999997</v>
      </c>
      <c r="Z44" s="1">
        <v>33.200000000000003</v>
      </c>
      <c r="AA44" s="1">
        <v>32.299999999999997</v>
      </c>
      <c r="AB44" s="1">
        <v>36.130000000000003</v>
      </c>
      <c r="AC44" s="1">
        <v>36.69</v>
      </c>
      <c r="AD44" s="1">
        <v>39.14</v>
      </c>
      <c r="AE44" s="1">
        <v>33.17</v>
      </c>
      <c r="AF44" s="1">
        <v>26.4</v>
      </c>
      <c r="AG44" s="1">
        <v>15.61</v>
      </c>
      <c r="AH44" s="1">
        <v>21.86</v>
      </c>
      <c r="AI44" s="1">
        <v>18.25</v>
      </c>
      <c r="AJ44" s="1">
        <v>33.83</v>
      </c>
      <c r="AK44" s="1">
        <v>39.54</v>
      </c>
      <c r="AL44" s="1">
        <v>45.42</v>
      </c>
      <c r="AM44" s="1">
        <v>45.73</v>
      </c>
      <c r="AN44" s="1">
        <v>14.7</v>
      </c>
      <c r="AO44" s="1">
        <v>13.2</v>
      </c>
      <c r="AP44" s="1">
        <v>16.95</v>
      </c>
      <c r="AQ44" s="1">
        <v>18.21</v>
      </c>
      <c r="AR44" s="1">
        <v>73.709999999999994</v>
      </c>
      <c r="AS44" s="1">
        <v>77.739999999999995</v>
      </c>
      <c r="AT44" s="1">
        <v>73.31</v>
      </c>
      <c r="AU44" s="1">
        <v>64.83</v>
      </c>
      <c r="AV44" s="1"/>
      <c r="AW44" s="1"/>
      <c r="AX44" s="1"/>
      <c r="AY44" s="1"/>
    </row>
    <row r="45" spans="3:51">
      <c r="C45" s="1">
        <v>-0.10721</v>
      </c>
      <c r="D45" s="1">
        <v>102.48</v>
      </c>
      <c r="E45" s="1">
        <v>102.87</v>
      </c>
      <c r="F45" s="1">
        <v>101.14</v>
      </c>
      <c r="G45" s="1">
        <v>95.96</v>
      </c>
      <c r="H45" s="1">
        <v>75.81</v>
      </c>
      <c r="I45" s="1">
        <v>82</v>
      </c>
      <c r="J45" s="1">
        <v>74.739999999999995</v>
      </c>
      <c r="K45" s="1">
        <v>84</v>
      </c>
      <c r="L45" s="1">
        <v>72.260000000000005</v>
      </c>
      <c r="M45" s="1">
        <v>65.23</v>
      </c>
      <c r="N45" s="1">
        <v>66.239999999999995</v>
      </c>
      <c r="O45" s="1">
        <v>65.290000000000006</v>
      </c>
      <c r="P45" s="1">
        <v>49.75</v>
      </c>
      <c r="Q45" s="1">
        <v>52.92</v>
      </c>
      <c r="R45" s="1">
        <v>52.57</v>
      </c>
      <c r="S45" s="1">
        <v>52.52</v>
      </c>
      <c r="T45" s="1">
        <v>43.4</v>
      </c>
      <c r="U45" s="1">
        <v>43.4</v>
      </c>
      <c r="V45" s="1">
        <v>48.02</v>
      </c>
      <c r="W45" s="1">
        <v>42.43</v>
      </c>
      <c r="X45" s="1">
        <v>37.28</v>
      </c>
      <c r="Y45" s="1">
        <v>39.1</v>
      </c>
      <c r="Z45" s="1">
        <v>34.770000000000003</v>
      </c>
      <c r="AA45" s="1">
        <v>32.53</v>
      </c>
      <c r="AB45" s="1">
        <v>47.73</v>
      </c>
      <c r="AC45" s="1">
        <v>48.2</v>
      </c>
      <c r="AD45" s="1">
        <v>49.7</v>
      </c>
      <c r="AE45" s="1">
        <v>45.41</v>
      </c>
      <c r="AF45" s="1">
        <v>28.08</v>
      </c>
      <c r="AG45" s="1">
        <v>27.36</v>
      </c>
      <c r="AH45" s="1">
        <v>32.5</v>
      </c>
      <c r="AI45" s="1">
        <v>28.81</v>
      </c>
      <c r="AJ45" s="1">
        <v>52.25</v>
      </c>
      <c r="AK45" s="1">
        <v>53.16</v>
      </c>
      <c r="AL45" s="1">
        <v>59.25</v>
      </c>
      <c r="AM45" s="1">
        <v>58.26</v>
      </c>
      <c r="AN45" s="1">
        <v>18.309999999999999</v>
      </c>
      <c r="AO45" s="1">
        <v>18.920000000000002</v>
      </c>
      <c r="AP45" s="1">
        <v>20.329999999999998</v>
      </c>
      <c r="AQ45" s="1">
        <v>21.06</v>
      </c>
      <c r="AR45" s="1">
        <v>77.760000000000005</v>
      </c>
      <c r="AS45" s="1">
        <v>80.72</v>
      </c>
      <c r="AT45" s="1">
        <v>81.06</v>
      </c>
      <c r="AU45" s="1">
        <v>72.260000000000005</v>
      </c>
      <c r="AV45" s="1"/>
      <c r="AW45" s="1"/>
      <c r="AX45" s="1"/>
      <c r="AY45" s="1"/>
    </row>
    <row r="46" spans="3:51">
      <c r="C46" s="1">
        <v>-0.40823999999999999</v>
      </c>
      <c r="D46" s="1">
        <v>99.92</v>
      </c>
      <c r="E46" s="1">
        <v>98.65</v>
      </c>
      <c r="F46" s="1">
        <v>97.02</v>
      </c>
      <c r="G46" s="1">
        <v>96.78</v>
      </c>
      <c r="H46" s="1">
        <v>84.26</v>
      </c>
      <c r="I46" s="1">
        <v>89.19</v>
      </c>
      <c r="J46" s="1">
        <v>88.32</v>
      </c>
      <c r="K46" s="1">
        <v>96.31</v>
      </c>
      <c r="L46" s="1">
        <v>85.02</v>
      </c>
      <c r="M46" s="1">
        <v>84.15</v>
      </c>
      <c r="N46" s="1">
        <v>73.92</v>
      </c>
      <c r="O46" s="1">
        <v>79.23</v>
      </c>
      <c r="P46" s="1">
        <v>72.260000000000005</v>
      </c>
      <c r="Q46" s="1">
        <v>65.23</v>
      </c>
      <c r="R46" s="1">
        <v>66.239999999999995</v>
      </c>
      <c r="S46" s="1">
        <v>65.290000000000006</v>
      </c>
      <c r="T46" s="1">
        <v>50.31</v>
      </c>
      <c r="U46" s="1">
        <v>51.34</v>
      </c>
      <c r="V46" s="1">
        <v>50.33</v>
      </c>
      <c r="W46" s="1">
        <v>50.56</v>
      </c>
      <c r="X46" s="1">
        <v>39.03</v>
      </c>
      <c r="Y46" s="1">
        <v>40.49</v>
      </c>
      <c r="Z46" s="1">
        <v>42.03</v>
      </c>
      <c r="AA46" s="1">
        <v>40.369999999999997</v>
      </c>
      <c r="AB46" s="1">
        <v>56.68</v>
      </c>
      <c r="AC46" s="1">
        <v>53.06</v>
      </c>
      <c r="AD46" s="1">
        <v>59.7</v>
      </c>
      <c r="AE46" s="1">
        <v>61.17</v>
      </c>
      <c r="AF46" s="1">
        <v>33.18</v>
      </c>
      <c r="AG46" s="1">
        <v>32.04</v>
      </c>
      <c r="AH46" s="1">
        <v>36.21</v>
      </c>
      <c r="AI46" s="1">
        <v>30.6</v>
      </c>
      <c r="AJ46" s="1">
        <v>69.739999999999995</v>
      </c>
      <c r="AK46" s="1">
        <v>68.61</v>
      </c>
      <c r="AL46" s="1">
        <v>67</v>
      </c>
      <c r="AM46" s="1">
        <v>66.27</v>
      </c>
      <c r="AN46" s="1">
        <v>23.2</v>
      </c>
      <c r="AO46" s="1">
        <v>24.09</v>
      </c>
      <c r="AP46" s="1">
        <v>23.16</v>
      </c>
      <c r="AQ46" s="1">
        <v>23.67</v>
      </c>
      <c r="AR46" s="1">
        <v>79.540000000000006</v>
      </c>
      <c r="AS46" s="1">
        <v>86.68</v>
      </c>
      <c r="AT46" s="1">
        <v>86.15</v>
      </c>
      <c r="AU46" s="1">
        <v>87.77</v>
      </c>
      <c r="AV46" s="1"/>
      <c r="AW46" s="1"/>
      <c r="AX46" s="1"/>
      <c r="AY46" s="1"/>
    </row>
    <row r="47" spans="3:51">
      <c r="C47" s="1">
        <v>-0.70926999999999996</v>
      </c>
      <c r="D47" s="1">
        <v>100.42</v>
      </c>
      <c r="E47" s="1">
        <v>102.03</v>
      </c>
      <c r="F47" s="1">
        <v>102.16</v>
      </c>
      <c r="G47" s="1">
        <v>100.25</v>
      </c>
      <c r="H47" s="1">
        <v>95.79</v>
      </c>
      <c r="I47" s="1">
        <v>91.7</v>
      </c>
      <c r="J47" s="1">
        <v>95.32</v>
      </c>
      <c r="K47" s="1">
        <v>99.8</v>
      </c>
      <c r="L47" s="1">
        <v>96.53</v>
      </c>
      <c r="M47" s="1">
        <v>91.75</v>
      </c>
      <c r="N47" s="1">
        <v>88.39</v>
      </c>
      <c r="O47" s="1">
        <v>89.36</v>
      </c>
      <c r="P47" s="1">
        <v>85.02</v>
      </c>
      <c r="Q47" s="1">
        <v>84.15</v>
      </c>
      <c r="R47" s="1">
        <v>73.92</v>
      </c>
      <c r="S47" s="1">
        <v>79.23</v>
      </c>
      <c r="T47" s="1">
        <v>68.97</v>
      </c>
      <c r="U47" s="1">
        <v>65.33</v>
      </c>
      <c r="V47" s="1">
        <v>62.29</v>
      </c>
      <c r="W47" s="1">
        <v>66.209999999999994</v>
      </c>
      <c r="X47" s="1">
        <v>43.4</v>
      </c>
      <c r="Y47" s="1">
        <v>43.4</v>
      </c>
      <c r="Z47" s="1">
        <v>48.02</v>
      </c>
      <c r="AA47" s="1">
        <v>42.43</v>
      </c>
      <c r="AB47" s="1">
        <v>82.37</v>
      </c>
      <c r="AC47" s="1">
        <v>71.2</v>
      </c>
      <c r="AD47" s="1">
        <v>73.78</v>
      </c>
      <c r="AE47" s="1">
        <v>82.9</v>
      </c>
      <c r="AF47" s="1">
        <v>36.130000000000003</v>
      </c>
      <c r="AG47" s="1">
        <v>36.69</v>
      </c>
      <c r="AH47" s="1">
        <v>39.14</v>
      </c>
      <c r="AI47" s="1">
        <v>33.17</v>
      </c>
      <c r="AJ47" s="1">
        <v>75.8</v>
      </c>
      <c r="AK47" s="1">
        <v>89.38</v>
      </c>
      <c r="AL47" s="1">
        <v>90.09</v>
      </c>
      <c r="AM47" s="1">
        <v>89.23</v>
      </c>
      <c r="AN47" s="1">
        <v>29.07</v>
      </c>
      <c r="AO47" s="1">
        <v>33.29</v>
      </c>
      <c r="AP47" s="1">
        <v>33.15</v>
      </c>
      <c r="AQ47" s="1">
        <v>28.06</v>
      </c>
      <c r="AR47" s="1">
        <v>88.54</v>
      </c>
      <c r="AS47" s="1">
        <v>95.86</v>
      </c>
      <c r="AT47" s="1">
        <v>95.17</v>
      </c>
      <c r="AU47" s="1">
        <v>92.88</v>
      </c>
      <c r="AV47" s="1"/>
      <c r="AW47" s="1"/>
      <c r="AX47" s="1"/>
      <c r="AY47" s="1"/>
    </row>
    <row r="48" spans="3:51">
      <c r="C48" s="1">
        <v>-1.0103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>
        <v>96.53</v>
      </c>
      <c r="Q48" s="1">
        <v>91.75</v>
      </c>
      <c r="R48" s="1">
        <v>88.39</v>
      </c>
      <c r="S48" s="1">
        <v>89.36</v>
      </c>
      <c r="T48" s="1"/>
      <c r="U48" s="1"/>
      <c r="V48" s="1"/>
      <c r="W48" s="1"/>
      <c r="X48" s="1">
        <v>50.31</v>
      </c>
      <c r="Y48" s="1">
        <v>51.34</v>
      </c>
      <c r="Z48" s="1">
        <v>50.33</v>
      </c>
      <c r="AA48" s="1">
        <v>50.56</v>
      </c>
      <c r="AB48" s="1"/>
      <c r="AC48" s="1"/>
      <c r="AD48" s="1"/>
      <c r="AE48" s="1"/>
      <c r="AF48" s="1">
        <v>47.73</v>
      </c>
      <c r="AG48" s="1">
        <v>48.2</v>
      </c>
      <c r="AH48" s="1">
        <v>49.7</v>
      </c>
      <c r="AI48" s="1">
        <v>45.41</v>
      </c>
      <c r="AJ48" s="1"/>
      <c r="AK48" s="1"/>
      <c r="AL48" s="1"/>
      <c r="AM48" s="1"/>
      <c r="AN48" s="1">
        <v>33.83</v>
      </c>
      <c r="AO48" s="1">
        <v>39.54</v>
      </c>
      <c r="AP48" s="1">
        <v>45.42</v>
      </c>
      <c r="AQ48" s="1">
        <v>45.73</v>
      </c>
      <c r="AR48" s="1"/>
      <c r="AS48" s="1"/>
      <c r="AT48" s="1"/>
      <c r="AU48" s="1"/>
      <c r="AV48" s="1"/>
      <c r="AW48" s="1"/>
      <c r="AX48" s="1"/>
      <c r="AY48" s="1"/>
    </row>
    <row r="49" spans="3:51">
      <c r="C49" s="1">
        <v>-1.3113300000000001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>
        <v>68.97</v>
      </c>
      <c r="Y49" s="1">
        <v>65.33</v>
      </c>
      <c r="Z49" s="1">
        <v>62.29</v>
      </c>
      <c r="AA49" s="1">
        <v>66.209999999999994</v>
      </c>
      <c r="AB49" s="1"/>
      <c r="AC49" s="1"/>
      <c r="AD49" s="1"/>
      <c r="AE49" s="1"/>
      <c r="AF49" s="1">
        <v>56.68</v>
      </c>
      <c r="AG49" s="1">
        <v>53.06</v>
      </c>
      <c r="AH49" s="1">
        <v>59.7</v>
      </c>
      <c r="AI49" s="1">
        <v>61.17</v>
      </c>
      <c r="AJ49" s="1"/>
      <c r="AK49" s="1"/>
      <c r="AL49" s="1"/>
      <c r="AM49" s="1"/>
      <c r="AN49" s="1">
        <v>52.25</v>
      </c>
      <c r="AO49" s="1">
        <v>53.16</v>
      </c>
      <c r="AP49" s="1">
        <v>59.25</v>
      </c>
      <c r="AQ49" s="1">
        <v>58.26</v>
      </c>
      <c r="AR49" s="1"/>
      <c r="AS49" s="1"/>
      <c r="AT49" s="1"/>
      <c r="AU49" s="1"/>
      <c r="AV49" s="1"/>
      <c r="AW49" s="1"/>
      <c r="AX49" s="1"/>
      <c r="AY49" s="1"/>
    </row>
    <row r="50" spans="3:51">
      <c r="C50" s="1">
        <v>-1.61236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>
        <v>82.37</v>
      </c>
      <c r="AG50" s="1">
        <v>71.2</v>
      </c>
      <c r="AH50" s="1">
        <v>73.78</v>
      </c>
      <c r="AI50" s="1">
        <v>82.9</v>
      </c>
      <c r="AJ50" s="1"/>
      <c r="AK50" s="1"/>
      <c r="AL50" s="1"/>
      <c r="AM50" s="1"/>
      <c r="AN50" s="1">
        <v>69.739999999999995</v>
      </c>
      <c r="AO50" s="1">
        <v>68.61</v>
      </c>
      <c r="AP50" s="1">
        <v>67</v>
      </c>
      <c r="AQ50" s="1">
        <v>66.27</v>
      </c>
      <c r="AR50" s="1"/>
      <c r="AS50" s="1"/>
      <c r="AT50" s="1"/>
      <c r="AU50" s="1"/>
      <c r="AV50" s="1"/>
      <c r="AW50" s="1"/>
      <c r="AX50" s="1"/>
      <c r="AY50" s="1"/>
    </row>
    <row r="51" spans="3:51">
      <c r="C51" s="1">
        <v>-1.9133899999999999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>
        <v>75.8</v>
      </c>
      <c r="AO51" s="1">
        <v>89.38</v>
      </c>
      <c r="AP51" s="1">
        <v>90.09</v>
      </c>
      <c r="AQ51" s="1">
        <v>89.23</v>
      </c>
      <c r="AR51" s="1"/>
      <c r="AS51" s="1"/>
      <c r="AT51" s="1"/>
      <c r="AU51" s="1"/>
      <c r="AV51" s="1"/>
      <c r="AW51" s="1"/>
      <c r="AX51" s="1"/>
      <c r="AY51" s="1"/>
    </row>
    <row r="52" spans="3:51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3:51">
      <c r="C53" s="1">
        <v>1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>
        <v>3.48</v>
      </c>
      <c r="AW53" s="1">
        <v>2.25</v>
      </c>
      <c r="AX53" s="1">
        <v>2.82</v>
      </c>
      <c r="AY53" s="1">
        <v>1.0900000000000001</v>
      </c>
    </row>
    <row r="54" spans="3:51">
      <c r="C54" s="1">
        <v>0.69896999999999998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>
        <v>10.11</v>
      </c>
      <c r="AW54" s="1">
        <v>11.36</v>
      </c>
      <c r="AX54" s="1">
        <v>18.47</v>
      </c>
      <c r="AY54" s="1">
        <v>17.079999999999998</v>
      </c>
    </row>
    <row r="55" spans="3:51">
      <c r="C55" s="1">
        <v>0.39794000000000002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>
        <v>21.29</v>
      </c>
      <c r="AW55" s="1">
        <v>26.32</v>
      </c>
      <c r="AX55" s="1">
        <v>29.27</v>
      </c>
      <c r="AY55" s="1">
        <v>32.39</v>
      </c>
    </row>
    <row r="56" spans="3:51">
      <c r="C56" s="1">
        <v>9.6909999999999996E-2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>
        <v>36.520000000000003</v>
      </c>
      <c r="AW56" s="1">
        <v>35.869999999999997</v>
      </c>
      <c r="AX56" s="1">
        <v>33.04</v>
      </c>
      <c r="AY56" s="1">
        <v>43.09</v>
      </c>
    </row>
    <row r="57" spans="3:51">
      <c r="C57" s="1">
        <v>-0.20412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>
        <v>41.57</v>
      </c>
      <c r="AW57" s="1">
        <v>50.07</v>
      </c>
      <c r="AX57" s="1">
        <v>42.38</v>
      </c>
      <c r="AY57" s="1">
        <v>46.38</v>
      </c>
    </row>
    <row r="58" spans="3:51">
      <c r="C58" s="1">
        <v>-0.50514999999999999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>
        <v>51.13</v>
      </c>
      <c r="AW58" s="1">
        <v>56.23</v>
      </c>
      <c r="AX58" s="1">
        <v>52.81</v>
      </c>
      <c r="AY58" s="1">
        <v>55.86</v>
      </c>
    </row>
    <row r="59" spans="3:51">
      <c r="C59" s="1">
        <v>-0.80618000000000001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>
        <v>61.69</v>
      </c>
      <c r="AW59" s="1">
        <v>67.11</v>
      </c>
      <c r="AX59" s="1">
        <v>60.22</v>
      </c>
      <c r="AY59" s="1">
        <v>59.32</v>
      </c>
    </row>
    <row r="60" spans="3:51">
      <c r="C60" s="1">
        <v>-1.10721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>
        <v>73.709999999999994</v>
      </c>
      <c r="AW60" s="1">
        <v>77.739999999999995</v>
      </c>
      <c r="AX60" s="1">
        <v>73.31</v>
      </c>
      <c r="AY60" s="1">
        <v>64.83</v>
      </c>
    </row>
    <row r="61" spans="3:51">
      <c r="C61" s="1">
        <v>-1.4082399999999999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>
        <v>77.760000000000005</v>
      </c>
      <c r="AW61" s="1">
        <v>80.72</v>
      </c>
      <c r="AX61" s="1">
        <v>81.06</v>
      </c>
      <c r="AY61" s="1">
        <v>72.260000000000005</v>
      </c>
    </row>
    <row r="62" spans="3:51">
      <c r="C62" s="1">
        <v>-1.7092700000000001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>
        <v>79.540000000000006</v>
      </c>
      <c r="AW62" s="1">
        <v>86.68</v>
      </c>
      <c r="AX62" s="1">
        <v>86.15</v>
      </c>
      <c r="AY62" s="1">
        <v>87.77</v>
      </c>
    </row>
    <row r="63" spans="3:51">
      <c r="C63" s="1">
        <v>-2.0103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>
        <v>88.54</v>
      </c>
      <c r="AW63" s="1">
        <v>95.86</v>
      </c>
      <c r="AX63" s="1">
        <v>95.17</v>
      </c>
      <c r="AY63" s="1">
        <v>92.88</v>
      </c>
    </row>
  </sheetData>
  <mergeCells count="25">
    <mergeCell ref="X5:AA5"/>
    <mergeCell ref="D5:G5"/>
    <mergeCell ref="H5:K5"/>
    <mergeCell ref="L5:O5"/>
    <mergeCell ref="P5:S5"/>
    <mergeCell ref="T5:W5"/>
    <mergeCell ref="AZ5:BC5"/>
    <mergeCell ref="AB5:AE5"/>
    <mergeCell ref="AF5:AI5"/>
    <mergeCell ref="AJ5:AM5"/>
    <mergeCell ref="AN5:AQ5"/>
    <mergeCell ref="AR5:AU5"/>
    <mergeCell ref="AV5:AY5"/>
    <mergeCell ref="D36:G36"/>
    <mergeCell ref="H36:K36"/>
    <mergeCell ref="L36:O36"/>
    <mergeCell ref="P36:S36"/>
    <mergeCell ref="T36:W36"/>
    <mergeCell ref="AV36:AY36"/>
    <mergeCell ref="X36:AA36"/>
    <mergeCell ref="AB36:AE36"/>
    <mergeCell ref="AF36:AI36"/>
    <mergeCell ref="AJ36:AM36"/>
    <mergeCell ref="AN36:AQ36"/>
    <mergeCell ref="AR36:AU36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EC160-D30C-4279-9903-F66D76DE05AF}">
  <dimension ref="E7:H76"/>
  <sheetViews>
    <sheetView workbookViewId="0">
      <selection activeCell="N14" sqref="N14"/>
    </sheetView>
  </sheetViews>
  <sheetFormatPr defaultRowHeight="14.4"/>
  <cols>
    <col min="5" max="5" width="11.3125" customWidth="1"/>
    <col min="6" max="6" width="22.41796875" customWidth="1"/>
    <col min="7" max="7" width="30.5234375" customWidth="1"/>
    <col min="8" max="8" width="20.578125" customWidth="1"/>
  </cols>
  <sheetData>
    <row r="7" spans="5:8">
      <c r="E7" s="2" t="s">
        <v>50</v>
      </c>
      <c r="F7" s="2" t="s">
        <v>261</v>
      </c>
      <c r="G7" s="2" t="s">
        <v>262</v>
      </c>
      <c r="H7" s="2" t="s">
        <v>30</v>
      </c>
    </row>
    <row r="8" spans="5:8">
      <c r="E8" s="1">
        <v>0.4</v>
      </c>
      <c r="F8" s="1">
        <v>0</v>
      </c>
      <c r="G8" s="1">
        <v>0</v>
      </c>
      <c r="H8" s="1">
        <v>0</v>
      </c>
    </row>
    <row r="9" spans="5:8">
      <c r="E9" s="1">
        <v>0.46300000000000002</v>
      </c>
      <c r="F9" s="1">
        <v>0</v>
      </c>
      <c r="G9" s="1">
        <v>0</v>
      </c>
      <c r="H9" s="1">
        <v>0</v>
      </c>
    </row>
    <row r="10" spans="5:8">
      <c r="E10" s="1">
        <v>0.53600000000000003</v>
      </c>
      <c r="F10" s="1">
        <v>0</v>
      </c>
      <c r="G10" s="1">
        <v>0</v>
      </c>
      <c r="H10" s="1">
        <v>0</v>
      </c>
    </row>
    <row r="11" spans="5:8">
      <c r="E11" s="1">
        <v>0.621</v>
      </c>
      <c r="F11" s="1">
        <v>0</v>
      </c>
      <c r="G11" s="1">
        <v>0</v>
      </c>
      <c r="H11" s="1">
        <v>0</v>
      </c>
    </row>
    <row r="12" spans="5:8">
      <c r="E12" s="1">
        <v>0.71899999999999997</v>
      </c>
      <c r="F12" s="1">
        <v>0</v>
      </c>
      <c r="G12" s="1">
        <v>0</v>
      </c>
      <c r="H12" s="1">
        <v>0</v>
      </c>
    </row>
    <row r="13" spans="5:8">
      <c r="E13" s="1">
        <v>0.83299999999999996</v>
      </c>
      <c r="F13" s="1">
        <v>0</v>
      </c>
      <c r="G13" s="1">
        <v>0</v>
      </c>
      <c r="H13" s="1">
        <v>0</v>
      </c>
    </row>
    <row r="14" spans="5:8">
      <c r="E14" s="1">
        <v>0.96499999999999997</v>
      </c>
      <c r="F14" s="1">
        <v>0</v>
      </c>
      <c r="G14" s="1">
        <v>0</v>
      </c>
      <c r="H14" s="1">
        <v>0</v>
      </c>
    </row>
    <row r="15" spans="5:8">
      <c r="E15" s="1">
        <v>1.1200000000000001</v>
      </c>
      <c r="F15" s="1">
        <v>0</v>
      </c>
      <c r="G15" s="1">
        <v>0</v>
      </c>
      <c r="H15" s="1">
        <v>0</v>
      </c>
    </row>
    <row r="16" spans="5:8">
      <c r="E16" s="1">
        <v>1.29</v>
      </c>
      <c r="F16" s="1">
        <v>0</v>
      </c>
      <c r="G16" s="1">
        <v>0</v>
      </c>
      <c r="H16" s="1">
        <v>0</v>
      </c>
    </row>
    <row r="17" spans="5:8">
      <c r="E17" s="1">
        <v>1.5</v>
      </c>
      <c r="F17" s="1">
        <v>0</v>
      </c>
      <c r="G17" s="1">
        <v>0</v>
      </c>
      <c r="H17" s="1">
        <v>0</v>
      </c>
    </row>
    <row r="18" spans="5:8">
      <c r="E18" s="1">
        <v>1.74</v>
      </c>
      <c r="F18" s="1">
        <v>0</v>
      </c>
      <c r="G18" s="1">
        <v>0</v>
      </c>
      <c r="H18" s="1">
        <v>0</v>
      </c>
    </row>
    <row r="19" spans="5:8">
      <c r="E19" s="1">
        <v>2.0099999999999998</v>
      </c>
      <c r="F19" s="1">
        <v>0</v>
      </c>
      <c r="G19" s="1">
        <v>0</v>
      </c>
      <c r="H19" s="1">
        <v>0</v>
      </c>
    </row>
    <row r="20" spans="5:8">
      <c r="E20" s="1">
        <v>2.33</v>
      </c>
      <c r="F20" s="1">
        <v>0</v>
      </c>
      <c r="G20" s="1">
        <v>0</v>
      </c>
      <c r="H20" s="1">
        <v>0</v>
      </c>
    </row>
    <row r="21" spans="5:8">
      <c r="E21" s="1">
        <v>2.7</v>
      </c>
      <c r="F21" s="1">
        <v>0</v>
      </c>
      <c r="G21" s="1">
        <v>0</v>
      </c>
      <c r="H21" s="1">
        <v>0</v>
      </c>
    </row>
    <row r="22" spans="5:8">
      <c r="E22" s="1">
        <v>3.12</v>
      </c>
      <c r="F22" s="1">
        <v>0</v>
      </c>
      <c r="G22" s="1">
        <v>0</v>
      </c>
      <c r="H22" s="1">
        <v>0</v>
      </c>
    </row>
    <row r="23" spans="5:8">
      <c r="E23" s="1">
        <v>3.62</v>
      </c>
      <c r="F23" s="1">
        <v>0</v>
      </c>
      <c r="G23" s="1">
        <v>0</v>
      </c>
      <c r="H23" s="1">
        <v>0</v>
      </c>
    </row>
    <row r="24" spans="5:8">
      <c r="E24" s="1">
        <v>4.1900000000000004</v>
      </c>
      <c r="F24" s="1">
        <v>0</v>
      </c>
      <c r="G24" s="1">
        <v>0</v>
      </c>
      <c r="H24" s="1">
        <v>0</v>
      </c>
    </row>
    <row r="25" spans="5:8">
      <c r="E25" s="1">
        <v>4.8499999999999996</v>
      </c>
      <c r="F25" s="1">
        <v>0</v>
      </c>
      <c r="G25" s="1">
        <v>0</v>
      </c>
      <c r="H25" s="1">
        <v>0</v>
      </c>
    </row>
    <row r="26" spans="5:8">
      <c r="E26" s="1">
        <v>5.61</v>
      </c>
      <c r="F26" s="1">
        <v>0</v>
      </c>
      <c r="G26" s="1">
        <v>0</v>
      </c>
      <c r="H26" s="1">
        <v>0</v>
      </c>
    </row>
    <row r="27" spans="5:8">
      <c r="E27" s="1">
        <v>6.5</v>
      </c>
      <c r="F27" s="1">
        <v>0</v>
      </c>
      <c r="G27" s="1">
        <v>0</v>
      </c>
      <c r="H27" s="1">
        <v>0</v>
      </c>
    </row>
    <row r="28" spans="5:8">
      <c r="E28" s="1">
        <v>7.53</v>
      </c>
      <c r="F28" s="1">
        <v>0</v>
      </c>
      <c r="G28" s="1">
        <v>0</v>
      </c>
      <c r="H28" s="1">
        <v>0</v>
      </c>
    </row>
    <row r="29" spans="5:8">
      <c r="E29" s="1">
        <v>8.7200000000000006</v>
      </c>
      <c r="F29" s="1">
        <v>0</v>
      </c>
      <c r="G29" s="1">
        <v>0</v>
      </c>
      <c r="H29" s="1">
        <v>0</v>
      </c>
    </row>
    <row r="30" spans="5:8">
      <c r="E30" s="1">
        <v>10.1</v>
      </c>
      <c r="F30" s="1">
        <v>0</v>
      </c>
      <c r="G30" s="1">
        <v>0</v>
      </c>
      <c r="H30" s="1">
        <v>0</v>
      </c>
    </row>
    <row r="31" spans="5:8">
      <c r="E31" s="1">
        <v>11.7</v>
      </c>
      <c r="F31" s="1">
        <v>0</v>
      </c>
      <c r="G31" s="1">
        <v>0</v>
      </c>
      <c r="H31" s="1">
        <v>0</v>
      </c>
    </row>
    <row r="32" spans="5:8">
      <c r="E32" s="1">
        <v>13.5</v>
      </c>
      <c r="F32" s="1">
        <v>0</v>
      </c>
      <c r="G32" s="1">
        <v>0</v>
      </c>
      <c r="H32" s="1">
        <v>0</v>
      </c>
    </row>
    <row r="33" spans="5:8">
      <c r="E33" s="1">
        <v>15.7</v>
      </c>
      <c r="F33" s="1">
        <v>0</v>
      </c>
      <c r="G33" s="1">
        <v>0</v>
      </c>
      <c r="H33" s="1">
        <v>0</v>
      </c>
    </row>
    <row r="34" spans="5:8">
      <c r="E34" s="1">
        <v>18.2</v>
      </c>
      <c r="F34" s="1">
        <v>0.13400000000000001</v>
      </c>
      <c r="G34" s="1">
        <v>0</v>
      </c>
      <c r="H34" s="1">
        <v>0</v>
      </c>
    </row>
    <row r="35" spans="5:8">
      <c r="E35" s="1">
        <v>21</v>
      </c>
      <c r="F35" s="1">
        <v>0.50600000000000001</v>
      </c>
      <c r="G35" s="1">
        <v>1.61E-2</v>
      </c>
      <c r="H35" s="1">
        <v>0</v>
      </c>
    </row>
    <row r="36" spans="5:8">
      <c r="E36" s="1">
        <v>24.4</v>
      </c>
      <c r="F36" s="1">
        <v>1.1399999999999999</v>
      </c>
      <c r="G36" s="1">
        <v>0.24099999999999999</v>
      </c>
      <c r="H36" s="1">
        <v>0</v>
      </c>
    </row>
    <row r="37" spans="5:8">
      <c r="E37" s="1">
        <v>28.2</v>
      </c>
      <c r="F37" s="1">
        <v>2.04</v>
      </c>
      <c r="G37" s="1">
        <v>0.80200000000000005</v>
      </c>
      <c r="H37" s="1">
        <v>0</v>
      </c>
    </row>
    <row r="38" spans="5:8">
      <c r="E38" s="1">
        <v>32.700000000000003</v>
      </c>
      <c r="F38" s="1">
        <v>3.2</v>
      </c>
      <c r="G38" s="1">
        <v>1.76</v>
      </c>
      <c r="H38" s="1">
        <v>0</v>
      </c>
    </row>
    <row r="39" spans="5:8">
      <c r="E39" s="1">
        <v>37.799999999999997</v>
      </c>
      <c r="F39" s="1">
        <v>4.58</v>
      </c>
      <c r="G39" s="1">
        <v>3.1</v>
      </c>
      <c r="H39" s="1">
        <v>0</v>
      </c>
    </row>
    <row r="40" spans="5:8">
      <c r="E40" s="1">
        <v>43.8</v>
      </c>
      <c r="F40" s="1">
        <v>6.08</v>
      </c>
      <c r="G40" s="1">
        <v>4.71</v>
      </c>
      <c r="H40" s="1">
        <v>0</v>
      </c>
    </row>
    <row r="41" spans="5:8">
      <c r="E41" s="1">
        <v>50.7</v>
      </c>
      <c r="F41" s="1">
        <v>7.56</v>
      </c>
      <c r="G41" s="1">
        <v>6.45</v>
      </c>
      <c r="H41" s="1">
        <v>0</v>
      </c>
    </row>
    <row r="42" spans="5:8">
      <c r="E42" s="1">
        <v>58.8</v>
      </c>
      <c r="F42" s="1">
        <v>8.8699999999999992</v>
      </c>
      <c r="G42" s="1">
        <v>8.1</v>
      </c>
      <c r="H42" s="1">
        <v>0</v>
      </c>
    </row>
    <row r="43" spans="5:8">
      <c r="E43" s="1">
        <v>68.099999999999994</v>
      </c>
      <c r="F43" s="1">
        <v>9.84</v>
      </c>
      <c r="G43" s="1">
        <v>9.4600000000000009</v>
      </c>
      <c r="H43" s="1">
        <v>0</v>
      </c>
    </row>
    <row r="44" spans="5:8">
      <c r="E44" s="1">
        <v>78.8</v>
      </c>
      <c r="F44" s="1">
        <v>10.3</v>
      </c>
      <c r="G44" s="1">
        <v>10.4</v>
      </c>
      <c r="H44" s="1">
        <v>1.31</v>
      </c>
    </row>
    <row r="45" spans="5:8">
      <c r="E45" s="1">
        <v>91.3</v>
      </c>
      <c r="F45" s="1">
        <v>10.199999999999999</v>
      </c>
      <c r="G45" s="1">
        <v>10.7</v>
      </c>
      <c r="H45" s="1">
        <v>4.24</v>
      </c>
    </row>
    <row r="46" spans="5:8">
      <c r="E46" s="1">
        <v>106</v>
      </c>
      <c r="F46" s="1">
        <v>9.5500000000000007</v>
      </c>
      <c r="G46" s="1">
        <v>10.4</v>
      </c>
      <c r="H46" s="1">
        <v>8.23</v>
      </c>
    </row>
    <row r="47" spans="5:8">
      <c r="E47" s="1">
        <v>122</v>
      </c>
      <c r="F47" s="1">
        <v>8.34</v>
      </c>
      <c r="G47" s="1">
        <v>9.51</v>
      </c>
      <c r="H47" s="1">
        <v>12.3</v>
      </c>
    </row>
    <row r="48" spans="5:8">
      <c r="E48" s="1">
        <v>142</v>
      </c>
      <c r="F48" s="1">
        <v>6.75</v>
      </c>
      <c r="G48" s="1">
        <v>8.1300000000000008</v>
      </c>
      <c r="H48" s="1">
        <v>15.3</v>
      </c>
    </row>
    <row r="49" spans="5:8">
      <c r="E49" s="1">
        <v>164</v>
      </c>
      <c r="F49" s="1">
        <v>4.9800000000000004</v>
      </c>
      <c r="G49" s="1">
        <v>6.43</v>
      </c>
      <c r="H49" s="1">
        <v>16.399999999999999</v>
      </c>
    </row>
    <row r="50" spans="5:8">
      <c r="E50" s="1">
        <v>190</v>
      </c>
      <c r="F50" s="1">
        <v>3.24</v>
      </c>
      <c r="G50" s="1">
        <v>4.63</v>
      </c>
      <c r="H50" s="1">
        <v>15.4</v>
      </c>
    </row>
    <row r="51" spans="5:8">
      <c r="E51" s="1">
        <v>220</v>
      </c>
      <c r="F51" s="1">
        <v>1.77</v>
      </c>
      <c r="G51" s="1">
        <v>2.93</v>
      </c>
      <c r="H51" s="1">
        <v>12.5</v>
      </c>
    </row>
    <row r="52" spans="5:8">
      <c r="E52" s="1">
        <v>255</v>
      </c>
      <c r="F52" s="1">
        <v>0.71399999999999997</v>
      </c>
      <c r="G52" s="1">
        <v>1.54</v>
      </c>
      <c r="H52" s="1">
        <v>8.52</v>
      </c>
    </row>
    <row r="53" spans="5:8">
      <c r="E53" s="1">
        <v>295</v>
      </c>
      <c r="F53" s="1">
        <v>0.15</v>
      </c>
      <c r="G53" s="1">
        <v>0.58899999999999997</v>
      </c>
      <c r="H53" s="1">
        <v>4.46</v>
      </c>
    </row>
    <row r="54" spans="5:8">
      <c r="E54" s="1">
        <v>342</v>
      </c>
      <c r="F54" s="1">
        <v>0</v>
      </c>
      <c r="G54" s="1">
        <v>0.108</v>
      </c>
      <c r="H54" s="1">
        <v>1.41</v>
      </c>
    </row>
    <row r="55" spans="5:8">
      <c r="E55" s="1">
        <v>396</v>
      </c>
      <c r="F55" s="1">
        <v>0</v>
      </c>
      <c r="G55" s="1">
        <v>0</v>
      </c>
      <c r="H55" s="1">
        <v>0</v>
      </c>
    </row>
    <row r="56" spans="5:8">
      <c r="E56" s="1">
        <v>459</v>
      </c>
      <c r="F56" s="1">
        <v>0</v>
      </c>
      <c r="G56" s="1">
        <v>0</v>
      </c>
      <c r="H56" s="1">
        <v>0</v>
      </c>
    </row>
    <row r="57" spans="5:8">
      <c r="E57" s="1">
        <v>531</v>
      </c>
      <c r="F57" s="1">
        <v>0</v>
      </c>
      <c r="G57" s="1">
        <v>0</v>
      </c>
      <c r="H57" s="1">
        <v>0</v>
      </c>
    </row>
    <row r="58" spans="5:8">
      <c r="E58" s="1">
        <v>615</v>
      </c>
      <c r="F58" s="1">
        <v>0</v>
      </c>
      <c r="G58" s="1">
        <v>0</v>
      </c>
      <c r="H58" s="1">
        <v>0</v>
      </c>
    </row>
    <row r="59" spans="5:8">
      <c r="E59" s="1">
        <v>712</v>
      </c>
      <c r="F59" s="1">
        <v>0</v>
      </c>
      <c r="G59" s="1">
        <v>0</v>
      </c>
      <c r="H59" s="1">
        <v>0</v>
      </c>
    </row>
    <row r="60" spans="5:8">
      <c r="E60" s="1">
        <v>825</v>
      </c>
      <c r="F60" s="1">
        <v>0</v>
      </c>
      <c r="G60" s="1">
        <v>0</v>
      </c>
      <c r="H60" s="1">
        <v>0</v>
      </c>
    </row>
    <row r="61" spans="5:8">
      <c r="E61" s="1">
        <v>955</v>
      </c>
      <c r="F61" s="1">
        <v>0</v>
      </c>
      <c r="G61" s="1">
        <v>0</v>
      </c>
      <c r="H61" s="1">
        <v>0</v>
      </c>
    </row>
    <row r="62" spans="5:8">
      <c r="E62" s="1">
        <v>1110</v>
      </c>
      <c r="F62" s="1">
        <v>0</v>
      </c>
      <c r="G62" s="1">
        <v>0</v>
      </c>
      <c r="H62" s="1">
        <v>0</v>
      </c>
    </row>
    <row r="63" spans="5:8">
      <c r="E63" s="1">
        <v>1280</v>
      </c>
      <c r="F63" s="1">
        <v>0</v>
      </c>
      <c r="G63" s="1">
        <v>0</v>
      </c>
      <c r="H63" s="1">
        <v>0</v>
      </c>
    </row>
    <row r="64" spans="5:8">
      <c r="E64" s="1">
        <v>1480</v>
      </c>
      <c r="F64" s="1">
        <v>0</v>
      </c>
      <c r="G64" s="1">
        <v>0</v>
      </c>
      <c r="H64" s="1">
        <v>0</v>
      </c>
    </row>
    <row r="65" spans="5:8">
      <c r="E65" s="1">
        <v>1720</v>
      </c>
      <c r="F65" s="1">
        <v>0</v>
      </c>
      <c r="G65" s="1">
        <v>0</v>
      </c>
      <c r="H65" s="1">
        <v>0</v>
      </c>
    </row>
    <row r="66" spans="5:8">
      <c r="E66" s="1">
        <v>1990</v>
      </c>
      <c r="F66" s="1">
        <v>0</v>
      </c>
      <c r="G66" s="1">
        <v>0</v>
      </c>
      <c r="H66" s="1">
        <v>0</v>
      </c>
    </row>
    <row r="67" spans="5:8">
      <c r="E67" s="1">
        <v>2300</v>
      </c>
      <c r="F67" s="1">
        <v>0</v>
      </c>
      <c r="G67" s="1">
        <v>0</v>
      </c>
      <c r="H67" s="1">
        <v>0</v>
      </c>
    </row>
    <row r="68" spans="5:8">
      <c r="E68" s="1">
        <v>2670</v>
      </c>
      <c r="F68" s="1">
        <v>0</v>
      </c>
      <c r="G68" s="1">
        <v>0</v>
      </c>
      <c r="H68" s="1">
        <v>0</v>
      </c>
    </row>
    <row r="69" spans="5:8">
      <c r="E69" s="1">
        <v>3090</v>
      </c>
      <c r="F69" s="1">
        <v>0</v>
      </c>
      <c r="G69" s="1">
        <v>0</v>
      </c>
      <c r="H69" s="1">
        <v>0</v>
      </c>
    </row>
    <row r="70" spans="5:8">
      <c r="E70" s="1">
        <v>3580</v>
      </c>
      <c r="F70" s="1">
        <v>0</v>
      </c>
      <c r="G70" s="1">
        <v>0</v>
      </c>
      <c r="H70" s="1">
        <v>0</v>
      </c>
    </row>
    <row r="71" spans="5:8">
      <c r="E71" s="1">
        <v>4150</v>
      </c>
      <c r="F71" s="1">
        <v>0</v>
      </c>
      <c r="G71" s="1">
        <v>0</v>
      </c>
      <c r="H71" s="1">
        <v>0</v>
      </c>
    </row>
    <row r="72" spans="5:8">
      <c r="E72" s="1">
        <v>4800</v>
      </c>
      <c r="F72" s="1">
        <v>0</v>
      </c>
      <c r="G72" s="1">
        <v>0</v>
      </c>
      <c r="H72" s="1">
        <v>0</v>
      </c>
    </row>
    <row r="73" spans="5:8">
      <c r="E73" s="1">
        <v>5560</v>
      </c>
      <c r="F73" s="1">
        <v>0</v>
      </c>
      <c r="G73" s="1">
        <v>0</v>
      </c>
      <c r="H73" s="1">
        <v>0</v>
      </c>
    </row>
    <row r="74" spans="5:8">
      <c r="E74" s="1">
        <v>6440</v>
      </c>
      <c r="F74" s="1">
        <v>0</v>
      </c>
      <c r="G74" s="1">
        <v>0</v>
      </c>
      <c r="H74" s="1">
        <v>0</v>
      </c>
    </row>
    <row r="75" spans="5:8">
      <c r="E75" s="1">
        <v>7460</v>
      </c>
      <c r="F75" s="1">
        <v>0</v>
      </c>
      <c r="G75" s="1">
        <v>0</v>
      </c>
      <c r="H75" s="1">
        <v>0</v>
      </c>
    </row>
    <row r="76" spans="5:8">
      <c r="E76" s="1">
        <v>8630</v>
      </c>
      <c r="F76" s="1">
        <v>0</v>
      </c>
      <c r="G76" s="1">
        <v>0</v>
      </c>
      <c r="H76" s="1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2B948-A56C-4C19-8FE4-450B9C29D6E1}">
  <dimension ref="D5:M13"/>
  <sheetViews>
    <sheetView workbookViewId="0">
      <selection activeCell="J22" sqref="J22"/>
    </sheetView>
  </sheetViews>
  <sheetFormatPr defaultRowHeight="14.4"/>
  <sheetData>
    <row r="5" spans="4:13">
      <c r="D5" s="2"/>
      <c r="E5" s="39" t="s">
        <v>33</v>
      </c>
      <c r="F5" s="39"/>
      <c r="G5" s="39"/>
      <c r="H5" s="39" t="s">
        <v>260</v>
      </c>
      <c r="I5" s="39"/>
      <c r="J5" s="39"/>
      <c r="K5" s="39" t="s">
        <v>30</v>
      </c>
      <c r="L5" s="39"/>
      <c r="M5" s="39"/>
    </row>
    <row r="6" spans="4:13">
      <c r="D6" s="1">
        <v>1</v>
      </c>
      <c r="E6" s="1">
        <v>99.1</v>
      </c>
      <c r="F6" s="1">
        <v>92.5</v>
      </c>
      <c r="G6" s="1">
        <v>105.3</v>
      </c>
      <c r="H6" s="1">
        <v>100.2</v>
      </c>
      <c r="I6" s="1">
        <v>95.1</v>
      </c>
      <c r="J6" s="1">
        <v>105.4</v>
      </c>
      <c r="K6" s="1">
        <v>136.19999999999999</v>
      </c>
      <c r="L6" s="1">
        <v>124.6</v>
      </c>
      <c r="M6" s="1">
        <v>138.69999999999999</v>
      </c>
    </row>
    <row r="7" spans="4:13">
      <c r="D7" s="1">
        <v>3</v>
      </c>
      <c r="E7" s="1">
        <v>100.2</v>
      </c>
      <c r="F7" s="1">
        <v>92.6</v>
      </c>
      <c r="G7" s="1">
        <v>104.9</v>
      </c>
      <c r="H7" s="1">
        <v>102.3</v>
      </c>
      <c r="I7" s="1">
        <v>95.4</v>
      </c>
      <c r="J7" s="1">
        <v>106.2</v>
      </c>
      <c r="K7" s="1">
        <v>135.19999999999999</v>
      </c>
      <c r="L7" s="1">
        <v>124.1</v>
      </c>
      <c r="M7" s="1">
        <v>137.9</v>
      </c>
    </row>
    <row r="8" spans="4:13">
      <c r="D8" s="1">
        <v>5</v>
      </c>
      <c r="E8" s="1">
        <v>99.4</v>
      </c>
      <c r="F8" s="1">
        <v>93.2</v>
      </c>
      <c r="G8" s="1">
        <v>103.8</v>
      </c>
      <c r="H8" s="1">
        <v>103.8</v>
      </c>
      <c r="I8" s="1">
        <v>94.6</v>
      </c>
      <c r="J8" s="1">
        <v>104.6</v>
      </c>
      <c r="K8" s="1">
        <v>136.1</v>
      </c>
      <c r="L8" s="1">
        <v>124.8</v>
      </c>
      <c r="M8" s="1">
        <v>138.19999999999999</v>
      </c>
    </row>
    <row r="9" spans="4:13">
      <c r="D9" s="1">
        <v>7</v>
      </c>
      <c r="E9" s="1">
        <v>99.8</v>
      </c>
      <c r="F9" s="1">
        <v>93.8</v>
      </c>
      <c r="G9" s="1">
        <v>102.4</v>
      </c>
      <c r="H9" s="1">
        <v>102.6</v>
      </c>
      <c r="I9" s="1">
        <v>95.4</v>
      </c>
      <c r="J9" s="1">
        <v>103.2</v>
      </c>
      <c r="K9" s="1">
        <v>136.4</v>
      </c>
      <c r="L9" s="1">
        <v>124.3</v>
      </c>
      <c r="M9" s="1">
        <v>138.4</v>
      </c>
    </row>
    <row r="10" spans="4:13">
      <c r="D10" s="1">
        <v>9</v>
      </c>
      <c r="E10" s="1">
        <v>99.7</v>
      </c>
      <c r="F10" s="1">
        <v>94.1</v>
      </c>
      <c r="G10" s="1">
        <v>103.2</v>
      </c>
      <c r="H10" s="1">
        <v>103.9</v>
      </c>
      <c r="I10" s="1">
        <v>94.5</v>
      </c>
      <c r="J10" s="1">
        <v>104.5</v>
      </c>
      <c r="K10" s="1">
        <v>136.80000000000001</v>
      </c>
      <c r="L10" s="1">
        <v>124.5</v>
      </c>
      <c r="M10" s="1">
        <v>138.30000000000001</v>
      </c>
    </row>
    <row r="11" spans="4:13">
      <c r="D11" s="1">
        <v>11</v>
      </c>
      <c r="E11" s="1">
        <v>100.3</v>
      </c>
      <c r="F11" s="1">
        <v>92.2</v>
      </c>
      <c r="G11" s="1">
        <v>102.4</v>
      </c>
      <c r="H11" s="1">
        <v>106.2</v>
      </c>
      <c r="I11" s="1">
        <v>96.2</v>
      </c>
      <c r="J11" s="1">
        <v>104.2</v>
      </c>
      <c r="K11" s="1">
        <v>136.5</v>
      </c>
      <c r="L11" s="1">
        <v>124.6</v>
      </c>
      <c r="M11" s="1">
        <v>138.19999999999999</v>
      </c>
    </row>
    <row r="12" spans="4:13">
      <c r="D12" s="1">
        <v>13</v>
      </c>
      <c r="E12" s="1">
        <v>100.4</v>
      </c>
      <c r="F12" s="1">
        <v>95.7</v>
      </c>
      <c r="G12" s="1">
        <v>101.8</v>
      </c>
      <c r="H12" s="1">
        <v>103.3</v>
      </c>
      <c r="I12" s="1">
        <v>95.1</v>
      </c>
      <c r="J12" s="1">
        <v>103.2</v>
      </c>
      <c r="K12" s="1">
        <v>137.19999999999999</v>
      </c>
      <c r="L12" s="1">
        <v>124.2</v>
      </c>
      <c r="M12" s="1">
        <v>138.6</v>
      </c>
    </row>
    <row r="13" spans="4:13">
      <c r="D13" s="1">
        <v>15</v>
      </c>
      <c r="E13" s="1">
        <v>100.7</v>
      </c>
      <c r="F13" s="1">
        <v>94.8</v>
      </c>
      <c r="G13" s="1">
        <v>100.9</v>
      </c>
      <c r="H13" s="1">
        <v>102.2</v>
      </c>
      <c r="I13" s="1">
        <v>94.8</v>
      </c>
      <c r="J13" s="1">
        <v>104.2</v>
      </c>
      <c r="K13" s="1">
        <v>138.19999999999999</v>
      </c>
      <c r="L13" s="1">
        <v>126.4</v>
      </c>
      <c r="M13" s="1">
        <v>137.1</v>
      </c>
    </row>
  </sheetData>
  <mergeCells count="3">
    <mergeCell ref="E5:G5"/>
    <mergeCell ref="H5:J5"/>
    <mergeCell ref="K5:M5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1374C-CBD3-4AA7-A5F2-A7FD59B18C19}">
  <dimension ref="E5:N13"/>
  <sheetViews>
    <sheetView workbookViewId="0">
      <selection activeCell="K18" sqref="K18"/>
    </sheetView>
  </sheetViews>
  <sheetFormatPr defaultRowHeight="14.4"/>
  <sheetData>
    <row r="5" spans="5:14">
      <c r="E5" s="2"/>
      <c r="F5" s="39" t="s">
        <v>33</v>
      </c>
      <c r="G5" s="39"/>
      <c r="H5" s="39"/>
      <c r="I5" s="39" t="s">
        <v>260</v>
      </c>
      <c r="J5" s="39"/>
      <c r="K5" s="39"/>
      <c r="L5" s="39" t="s">
        <v>30</v>
      </c>
      <c r="M5" s="39"/>
      <c r="N5" s="39"/>
    </row>
    <row r="6" spans="5:14">
      <c r="E6" s="1">
        <v>1</v>
      </c>
      <c r="F6" s="1">
        <v>-17.2</v>
      </c>
      <c r="G6" s="1">
        <v>-19.899999999999999</v>
      </c>
      <c r="H6" s="1">
        <v>-15.3</v>
      </c>
      <c r="I6" s="1">
        <v>-18.600000000000001</v>
      </c>
      <c r="J6" s="1">
        <v>-22.1</v>
      </c>
      <c r="K6" s="1">
        <v>-15.2</v>
      </c>
      <c r="L6" s="1">
        <v>-13.2</v>
      </c>
      <c r="M6" s="1">
        <v>-10.4</v>
      </c>
      <c r="N6" s="1">
        <v>-16.8</v>
      </c>
    </row>
    <row r="7" spans="5:14">
      <c r="E7" s="1">
        <v>3</v>
      </c>
      <c r="F7" s="1">
        <v>-18.3</v>
      </c>
      <c r="G7" s="1">
        <v>-21.4</v>
      </c>
      <c r="H7" s="1">
        <v>-16.5</v>
      </c>
      <c r="I7" s="1">
        <v>-19.5</v>
      </c>
      <c r="J7" s="1">
        <v>-21.8</v>
      </c>
      <c r="K7" s="1">
        <v>-16.2</v>
      </c>
      <c r="L7" s="1">
        <v>-14.2</v>
      </c>
      <c r="M7" s="1">
        <v>-10.6</v>
      </c>
      <c r="N7" s="1">
        <v>-16.5</v>
      </c>
    </row>
    <row r="8" spans="5:14">
      <c r="E8" s="1">
        <v>5</v>
      </c>
      <c r="F8" s="1">
        <v>-17.899999999999999</v>
      </c>
      <c r="G8" s="1">
        <v>-23.5</v>
      </c>
      <c r="H8" s="1">
        <v>-17.399999999999999</v>
      </c>
      <c r="I8" s="1">
        <v>-19.600000000000001</v>
      </c>
      <c r="J8" s="1">
        <v>-22.3</v>
      </c>
      <c r="K8" s="1">
        <v>-17.399999999999999</v>
      </c>
      <c r="L8" s="1">
        <v>-13.5</v>
      </c>
      <c r="M8" s="1">
        <v>-10.8</v>
      </c>
      <c r="N8" s="1">
        <v>-16.399999999999999</v>
      </c>
    </row>
    <row r="9" spans="5:14">
      <c r="E9" s="1">
        <v>7</v>
      </c>
      <c r="F9" s="1">
        <v>-18.7</v>
      </c>
      <c r="G9" s="1">
        <v>-22.8</v>
      </c>
      <c r="H9" s="1">
        <v>-18.600000000000001</v>
      </c>
      <c r="I9" s="1">
        <v>-18.7</v>
      </c>
      <c r="J9" s="1">
        <v>-21.5</v>
      </c>
      <c r="K9" s="1">
        <v>-18.2</v>
      </c>
      <c r="L9" s="1">
        <v>-14.6</v>
      </c>
      <c r="M9" s="1">
        <v>-10.9</v>
      </c>
      <c r="N9" s="1">
        <v>-15.4</v>
      </c>
    </row>
    <row r="10" spans="5:14">
      <c r="E10" s="1">
        <v>9</v>
      </c>
      <c r="F10" s="1">
        <v>-18.100000000000001</v>
      </c>
      <c r="G10" s="1">
        <v>-21.6</v>
      </c>
      <c r="H10" s="1">
        <v>-17.899999999999999</v>
      </c>
      <c r="I10" s="1">
        <v>-20.100000000000001</v>
      </c>
      <c r="J10" s="1">
        <v>-22.4</v>
      </c>
      <c r="K10" s="1">
        <v>-19.8</v>
      </c>
      <c r="L10" s="1">
        <v>-15.2</v>
      </c>
      <c r="M10" s="1">
        <v>-11.2</v>
      </c>
      <c r="N10" s="1">
        <v>-16.5</v>
      </c>
    </row>
    <row r="11" spans="5:14">
      <c r="E11" s="1">
        <v>11</v>
      </c>
      <c r="F11" s="1">
        <v>-19.5</v>
      </c>
      <c r="G11" s="1">
        <v>-22.1</v>
      </c>
      <c r="H11" s="1">
        <v>-18.600000000000001</v>
      </c>
      <c r="I11" s="1">
        <v>-19.899999999999999</v>
      </c>
      <c r="J11" s="1">
        <v>-21.9</v>
      </c>
      <c r="K11" s="1">
        <v>-18.399999999999999</v>
      </c>
      <c r="L11" s="1">
        <v>-14.8</v>
      </c>
      <c r="M11" s="1">
        <v>-10.6</v>
      </c>
      <c r="N11" s="1">
        <v>-15.8</v>
      </c>
    </row>
    <row r="12" spans="5:14">
      <c r="E12" s="1">
        <v>13</v>
      </c>
      <c r="F12" s="1">
        <v>-18.899999999999999</v>
      </c>
      <c r="G12" s="1">
        <v>-23.4</v>
      </c>
      <c r="H12" s="1">
        <v>-19.5</v>
      </c>
      <c r="I12" s="1">
        <v>-18.899999999999999</v>
      </c>
      <c r="J12" s="1">
        <v>-22.6</v>
      </c>
      <c r="K12" s="1">
        <v>-19.5</v>
      </c>
      <c r="L12" s="1">
        <v>-16.2</v>
      </c>
      <c r="M12" s="1">
        <v>-10.8</v>
      </c>
      <c r="N12" s="1">
        <v>-14.8</v>
      </c>
    </row>
    <row r="13" spans="5:14">
      <c r="E13" s="1">
        <v>15</v>
      </c>
      <c r="F13" s="1">
        <v>-18.7</v>
      </c>
      <c r="G13" s="1">
        <v>-22.1</v>
      </c>
      <c r="H13" s="1">
        <v>-18.7</v>
      </c>
      <c r="I13" s="1">
        <v>-20</v>
      </c>
      <c r="J13" s="1">
        <v>-23.4</v>
      </c>
      <c r="K13" s="1">
        <v>-18.600000000000001</v>
      </c>
      <c r="L13" s="1">
        <v>-16.7</v>
      </c>
      <c r="M13" s="1">
        <v>-10.7</v>
      </c>
      <c r="N13" s="1">
        <v>-16.2</v>
      </c>
    </row>
  </sheetData>
  <mergeCells count="3">
    <mergeCell ref="F5:H5"/>
    <mergeCell ref="I5:K5"/>
    <mergeCell ref="L5:N5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C856-8099-41D8-97E4-537B6BA9020E}">
  <dimension ref="D5:P12"/>
  <sheetViews>
    <sheetView workbookViewId="0">
      <selection activeCell="L24" sqref="L24"/>
    </sheetView>
  </sheetViews>
  <sheetFormatPr defaultRowHeight="14.4"/>
  <sheetData>
    <row r="5" spans="4:16">
      <c r="D5" s="2" t="s">
        <v>89</v>
      </c>
      <c r="E5" s="39" t="s">
        <v>112</v>
      </c>
      <c r="F5" s="39"/>
      <c r="G5" s="39"/>
      <c r="H5" s="39" t="s">
        <v>30</v>
      </c>
      <c r="I5" s="39"/>
      <c r="J5" s="39"/>
      <c r="K5" s="39" t="s">
        <v>31</v>
      </c>
      <c r="L5" s="39"/>
      <c r="M5" s="39"/>
      <c r="N5" s="39" t="s">
        <v>34</v>
      </c>
      <c r="O5" s="39"/>
      <c r="P5" s="39"/>
    </row>
    <row r="6" spans="4:16">
      <c r="D6" s="1">
        <v>8.3333000000000004E-2</v>
      </c>
      <c r="E6" s="1">
        <v>2.1472099999999998</v>
      </c>
      <c r="F6" s="1">
        <v>2.1622300000000001</v>
      </c>
      <c r="G6" s="1">
        <v>2.6930900000000002</v>
      </c>
      <c r="H6" s="1">
        <v>89.2</v>
      </c>
      <c r="I6" s="1">
        <v>92.4</v>
      </c>
      <c r="J6" s="1">
        <v>96.8</v>
      </c>
      <c r="K6" s="1">
        <v>95.2</v>
      </c>
      <c r="L6" s="1">
        <v>96.5</v>
      </c>
      <c r="M6" s="1">
        <v>91.2</v>
      </c>
      <c r="N6" s="1">
        <v>99.77</v>
      </c>
      <c r="O6" s="1">
        <v>100.34</v>
      </c>
      <c r="P6" s="1">
        <v>100.16</v>
      </c>
    </row>
    <row r="7" spans="4:16">
      <c r="D7" s="1">
        <v>0.3333333</v>
      </c>
      <c r="E7" s="1">
        <v>1.22698</v>
      </c>
      <c r="F7" s="1">
        <v>1.26328</v>
      </c>
      <c r="G7" s="1">
        <v>1.6126</v>
      </c>
      <c r="H7" s="1">
        <v>65.599999999999994</v>
      </c>
      <c r="I7" s="1">
        <v>71.5</v>
      </c>
      <c r="J7" s="1">
        <v>73.2</v>
      </c>
      <c r="K7" s="1">
        <v>72.400000000000006</v>
      </c>
      <c r="L7" s="1">
        <v>69.400000000000006</v>
      </c>
      <c r="M7" s="1">
        <v>76.5</v>
      </c>
      <c r="N7" s="1">
        <v>83.09</v>
      </c>
      <c r="O7" s="1">
        <v>87.53</v>
      </c>
      <c r="P7" s="1">
        <v>91.57</v>
      </c>
    </row>
    <row r="8" spans="4:16">
      <c r="D8" s="1">
        <v>1</v>
      </c>
      <c r="E8" s="1">
        <v>0.34681000000000001</v>
      </c>
      <c r="F8" s="1">
        <v>0.40315000000000001</v>
      </c>
      <c r="G8" s="1">
        <v>0.59721000000000002</v>
      </c>
      <c r="H8" s="1">
        <v>50.2</v>
      </c>
      <c r="I8" s="1">
        <v>45.4</v>
      </c>
      <c r="J8" s="1">
        <v>47.8</v>
      </c>
      <c r="K8" s="1">
        <v>52.3</v>
      </c>
      <c r="L8" s="1">
        <v>42.1</v>
      </c>
      <c r="M8" s="1">
        <v>45.2</v>
      </c>
      <c r="N8" s="1">
        <v>72.5</v>
      </c>
      <c r="O8" s="1">
        <v>76.39</v>
      </c>
      <c r="P8" s="1">
        <v>73.900000000000006</v>
      </c>
    </row>
    <row r="9" spans="4:16">
      <c r="D9" s="1">
        <v>2.5</v>
      </c>
      <c r="E9" s="1">
        <v>1.6279999999999999E-2</v>
      </c>
      <c r="F9" s="1">
        <v>1.753E-2</v>
      </c>
      <c r="G9" s="1">
        <v>2.504E-2</v>
      </c>
      <c r="H9" s="1">
        <v>31.4</v>
      </c>
      <c r="I9" s="1">
        <v>32.4</v>
      </c>
      <c r="J9" s="1">
        <v>27.2</v>
      </c>
      <c r="K9" s="1">
        <v>32.299999999999997</v>
      </c>
      <c r="L9" s="1">
        <v>25.6</v>
      </c>
      <c r="M9" s="1">
        <v>26.4</v>
      </c>
      <c r="N9" s="1">
        <v>65.319999999999993</v>
      </c>
      <c r="O9" s="1">
        <v>71.16</v>
      </c>
      <c r="P9" s="1">
        <v>63.84</v>
      </c>
    </row>
    <row r="10" spans="4:16">
      <c r="D10" s="1">
        <v>8</v>
      </c>
      <c r="E10" s="1">
        <v>3.7599999999999999E-3</v>
      </c>
      <c r="F10" s="1">
        <v>3.7599999999999999E-3</v>
      </c>
      <c r="G10" s="1">
        <v>3.7599999999999999E-3</v>
      </c>
      <c r="H10" s="1">
        <v>11.4</v>
      </c>
      <c r="I10" s="1">
        <v>8.1999999999999993</v>
      </c>
      <c r="J10" s="1">
        <v>5.5</v>
      </c>
      <c r="K10" s="1">
        <v>13.7</v>
      </c>
      <c r="L10" s="1">
        <v>7.2</v>
      </c>
      <c r="M10" s="1">
        <v>5.2</v>
      </c>
      <c r="N10" s="1">
        <v>26.39</v>
      </c>
      <c r="O10" s="1">
        <v>23.24</v>
      </c>
      <c r="P10" s="1">
        <v>24.88</v>
      </c>
    </row>
    <row r="11" spans="4:16">
      <c r="D11" s="1">
        <v>12</v>
      </c>
      <c r="E11" s="1">
        <v>2.7599999999999999E-3</v>
      </c>
      <c r="F11" s="1">
        <v>2.66E-3</v>
      </c>
      <c r="G11" s="1">
        <v>3.0200000000000001E-3</v>
      </c>
      <c r="H11" s="1">
        <v>3.49</v>
      </c>
      <c r="I11" s="1">
        <v>2.5</v>
      </c>
      <c r="J11" s="1">
        <v>1.2</v>
      </c>
      <c r="K11" s="1">
        <v>3.01</v>
      </c>
      <c r="L11" s="1">
        <v>2.0099999999999998</v>
      </c>
      <c r="M11" s="1">
        <v>2.4</v>
      </c>
      <c r="N11" s="1">
        <v>14.4</v>
      </c>
      <c r="O11" s="1">
        <v>12.69</v>
      </c>
      <c r="P11" s="1">
        <v>15.28</v>
      </c>
    </row>
    <row r="12" spans="4:16">
      <c r="D12" s="1">
        <v>24</v>
      </c>
      <c r="E12" s="1">
        <v>1.5E-3</v>
      </c>
      <c r="F12" s="1">
        <v>1.5E-3</v>
      </c>
      <c r="G12" s="1">
        <v>1.2999999999999999E-3</v>
      </c>
      <c r="H12" s="1">
        <v>0.24</v>
      </c>
      <c r="I12" s="1">
        <v>0.98</v>
      </c>
      <c r="J12" s="1">
        <v>0.08</v>
      </c>
      <c r="K12" s="1">
        <v>0.25</v>
      </c>
      <c r="L12" s="1">
        <v>1.25</v>
      </c>
      <c r="M12" s="1">
        <v>7.0000000000000007E-2</v>
      </c>
      <c r="N12" s="1">
        <v>3.17</v>
      </c>
      <c r="O12" s="1">
        <v>2.29</v>
      </c>
      <c r="P12" s="1">
        <v>1.9</v>
      </c>
    </row>
  </sheetData>
  <mergeCells count="4">
    <mergeCell ref="E5:G5"/>
    <mergeCell ref="H5:J5"/>
    <mergeCell ref="K5:M5"/>
    <mergeCell ref="N5:P5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7BB1-C1EC-4206-8E49-6D5AF4746E72}">
  <dimension ref="D5:P11"/>
  <sheetViews>
    <sheetView workbookViewId="0">
      <selection activeCell="D5" sqref="D5:P11"/>
    </sheetView>
  </sheetViews>
  <sheetFormatPr defaultRowHeight="14.4"/>
  <sheetData>
    <row r="5" spans="4:16">
      <c r="D5" s="2"/>
      <c r="E5" s="39" t="s">
        <v>112</v>
      </c>
      <c r="F5" s="39"/>
      <c r="G5" s="39"/>
      <c r="H5" s="39" t="s">
        <v>30</v>
      </c>
      <c r="I5" s="39"/>
      <c r="J5" s="39"/>
      <c r="K5" s="39" t="s">
        <v>34</v>
      </c>
      <c r="L5" s="39"/>
      <c r="M5" s="39"/>
      <c r="N5" s="39" t="s">
        <v>31</v>
      </c>
      <c r="O5" s="39"/>
      <c r="P5" s="39"/>
    </row>
    <row r="6" spans="4:16">
      <c r="D6" s="3" t="s">
        <v>0</v>
      </c>
      <c r="E6" s="1">
        <v>0.01</v>
      </c>
      <c r="F6" s="1">
        <v>0.03</v>
      </c>
      <c r="G6" s="1">
        <v>0.09</v>
      </c>
      <c r="H6" s="1">
        <v>0.12</v>
      </c>
      <c r="I6" s="1">
        <v>0.26</v>
      </c>
      <c r="J6" s="1">
        <v>3.1E-2</v>
      </c>
      <c r="K6" s="1">
        <v>0.12</v>
      </c>
      <c r="L6" s="1">
        <v>0.13</v>
      </c>
      <c r="M6" s="1">
        <v>7.0000000000000007E-2</v>
      </c>
      <c r="N6" s="1">
        <v>0.09</v>
      </c>
      <c r="O6" s="1">
        <v>0.12</v>
      </c>
      <c r="P6" s="1">
        <v>0.05</v>
      </c>
    </row>
    <row r="7" spans="4:16">
      <c r="D7" s="3" t="s">
        <v>1</v>
      </c>
      <c r="E7" s="1">
        <v>35.200000000000003</v>
      </c>
      <c r="F7" s="1">
        <v>37.4</v>
      </c>
      <c r="G7" s="1">
        <v>36.700000000000003</v>
      </c>
      <c r="H7" s="1">
        <v>38.5</v>
      </c>
      <c r="I7" s="1">
        <v>39.200000000000003</v>
      </c>
      <c r="J7" s="1">
        <v>32.4</v>
      </c>
      <c r="K7" s="1">
        <v>19.5</v>
      </c>
      <c r="L7" s="1">
        <v>20.3</v>
      </c>
      <c r="M7" s="1">
        <v>24.7</v>
      </c>
      <c r="N7" s="1">
        <v>38.5</v>
      </c>
      <c r="O7" s="1">
        <v>34.700000000000003</v>
      </c>
      <c r="P7" s="1">
        <v>41.2</v>
      </c>
    </row>
    <row r="8" spans="4:16">
      <c r="D8" s="3" t="s">
        <v>2</v>
      </c>
      <c r="E8" s="1">
        <v>8.9</v>
      </c>
      <c r="F8" s="1">
        <v>14.6</v>
      </c>
      <c r="G8" s="1">
        <v>10.45</v>
      </c>
      <c r="H8" s="1">
        <v>10.26</v>
      </c>
      <c r="I8" s="1">
        <v>16.399999999999999</v>
      </c>
      <c r="J8" s="1">
        <v>13.4</v>
      </c>
      <c r="K8" s="1">
        <v>4.12</v>
      </c>
      <c r="L8" s="1">
        <v>5.98</v>
      </c>
      <c r="M8" s="1">
        <v>6.58</v>
      </c>
      <c r="N8" s="1">
        <v>9.58</v>
      </c>
      <c r="O8" s="1">
        <v>14.6</v>
      </c>
      <c r="P8" s="1">
        <v>12.4</v>
      </c>
    </row>
    <row r="9" spans="4:16">
      <c r="D9" s="3" t="s">
        <v>3</v>
      </c>
      <c r="E9" s="1">
        <v>1.26</v>
      </c>
      <c r="F9" s="1">
        <v>2.4500000000000002</v>
      </c>
      <c r="G9" s="1">
        <v>1.24</v>
      </c>
      <c r="H9" s="1">
        <v>2.16</v>
      </c>
      <c r="I9" s="1">
        <v>3.58</v>
      </c>
      <c r="J9" s="1">
        <v>2.78</v>
      </c>
      <c r="K9" s="1">
        <v>0.98</v>
      </c>
      <c r="L9" s="1">
        <v>0.75</v>
      </c>
      <c r="M9" s="1">
        <v>0.63</v>
      </c>
      <c r="N9" s="1">
        <v>2.16</v>
      </c>
      <c r="O9" s="1">
        <v>3.14</v>
      </c>
      <c r="P9" s="1">
        <v>2.74</v>
      </c>
    </row>
    <row r="10" spans="4:16">
      <c r="D10" s="3" t="s">
        <v>4</v>
      </c>
      <c r="E10" s="1">
        <v>0.75</v>
      </c>
      <c r="F10" s="1">
        <v>0.89</v>
      </c>
      <c r="G10" s="1">
        <v>1.59</v>
      </c>
      <c r="H10" s="1">
        <v>0.69</v>
      </c>
      <c r="I10" s="1">
        <v>1.26</v>
      </c>
      <c r="J10" s="1">
        <v>1.93</v>
      </c>
      <c r="K10" s="1">
        <v>0.45</v>
      </c>
      <c r="L10" s="1">
        <v>0.26</v>
      </c>
      <c r="M10" s="1">
        <v>0.27</v>
      </c>
      <c r="N10" s="1">
        <v>1.56</v>
      </c>
      <c r="O10" s="1">
        <v>1.26</v>
      </c>
      <c r="P10" s="1">
        <v>2.46</v>
      </c>
    </row>
    <row r="11" spans="4:16">
      <c r="D11" s="3" t="s">
        <v>113</v>
      </c>
      <c r="E11" s="1">
        <v>0.12</v>
      </c>
      <c r="F11" s="1">
        <v>0.17</v>
      </c>
      <c r="G11" s="1">
        <v>0.08</v>
      </c>
      <c r="H11" s="1">
        <v>0.23</v>
      </c>
      <c r="I11" s="1">
        <v>0.38</v>
      </c>
      <c r="J11" s="1">
        <v>0.41</v>
      </c>
      <c r="K11" s="1">
        <v>7.07</v>
      </c>
      <c r="L11" s="1">
        <v>7.28</v>
      </c>
      <c r="M11" s="1">
        <v>6.96</v>
      </c>
      <c r="N11" s="1">
        <v>0.24</v>
      </c>
      <c r="O11" s="1">
        <v>0.39</v>
      </c>
      <c r="P11" s="1">
        <v>0.43</v>
      </c>
    </row>
  </sheetData>
  <mergeCells count="4">
    <mergeCell ref="E5:G5"/>
    <mergeCell ref="H5:J5"/>
    <mergeCell ref="K5:M5"/>
    <mergeCell ref="N5:P5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6F49-4C21-406A-B531-469502321CD9}">
  <dimension ref="F5:O12"/>
  <sheetViews>
    <sheetView workbookViewId="0">
      <selection activeCell="M5" sqref="M5:O12"/>
    </sheetView>
  </sheetViews>
  <sheetFormatPr defaultRowHeight="14.4"/>
  <sheetData>
    <row r="5" spans="6:15">
      <c r="F5" s="2"/>
      <c r="G5" s="39" t="s">
        <v>14</v>
      </c>
      <c r="H5" s="39"/>
      <c r="I5" s="39"/>
      <c r="J5" s="39" t="s">
        <v>115</v>
      </c>
      <c r="K5" s="39"/>
      <c r="L5" s="39"/>
      <c r="M5" s="39" t="s">
        <v>114</v>
      </c>
      <c r="N5" s="39"/>
      <c r="O5" s="39"/>
    </row>
    <row r="6" spans="6:15">
      <c r="F6" s="1">
        <v>8.3333000000000004E-2</v>
      </c>
      <c r="G6" s="1">
        <v>78.430000000000007</v>
      </c>
      <c r="H6" s="1">
        <v>59.33</v>
      </c>
      <c r="I6" s="1">
        <v>81.41</v>
      </c>
      <c r="J6" s="1">
        <v>85.34</v>
      </c>
      <c r="K6" s="1">
        <v>72.209999999999994</v>
      </c>
      <c r="L6" s="1">
        <v>71.05</v>
      </c>
      <c r="M6" s="1">
        <v>98.97</v>
      </c>
      <c r="N6" s="1">
        <v>100.59</v>
      </c>
      <c r="O6" s="1">
        <v>99.02</v>
      </c>
    </row>
    <row r="7" spans="6:15">
      <c r="F7" s="1">
        <v>0.3333333</v>
      </c>
      <c r="G7" s="1">
        <v>68.92</v>
      </c>
      <c r="H7" s="1">
        <v>50.46</v>
      </c>
      <c r="I7" s="1">
        <v>62.84</v>
      </c>
      <c r="J7" s="1">
        <v>50.17</v>
      </c>
      <c r="K7" s="1">
        <v>64.680000000000007</v>
      </c>
      <c r="L7" s="1">
        <v>69.19</v>
      </c>
      <c r="M7" s="1">
        <v>83.54</v>
      </c>
      <c r="N7" s="1">
        <v>89.4</v>
      </c>
      <c r="O7" s="1">
        <v>96.53</v>
      </c>
    </row>
    <row r="8" spans="6:15">
      <c r="F8" s="1">
        <v>1</v>
      </c>
      <c r="G8" s="1">
        <v>46.7</v>
      </c>
      <c r="H8" s="1">
        <v>56.21</v>
      </c>
      <c r="I8" s="1">
        <v>33.96</v>
      </c>
      <c r="J8" s="1">
        <v>41.49</v>
      </c>
      <c r="K8" s="1">
        <v>41.52</v>
      </c>
      <c r="L8" s="1">
        <v>51.18</v>
      </c>
      <c r="M8" s="1">
        <v>69.12</v>
      </c>
      <c r="N8" s="1">
        <v>79.98</v>
      </c>
      <c r="O8" s="1">
        <v>89.89</v>
      </c>
    </row>
    <row r="9" spans="6:15">
      <c r="F9" s="1">
        <v>2.5</v>
      </c>
      <c r="G9" s="1">
        <v>14</v>
      </c>
      <c r="H9" s="1">
        <v>9.02</v>
      </c>
      <c r="I9" s="1">
        <v>15.64</v>
      </c>
      <c r="J9" s="1">
        <v>19.88</v>
      </c>
      <c r="K9" s="1">
        <v>18.77</v>
      </c>
      <c r="L9" s="1">
        <v>12.7</v>
      </c>
      <c r="M9" s="1">
        <v>62.92</v>
      </c>
      <c r="N9" s="1">
        <v>69.680000000000007</v>
      </c>
      <c r="O9" s="1">
        <v>74.33</v>
      </c>
    </row>
    <row r="10" spans="6:15">
      <c r="F10" s="1">
        <v>8</v>
      </c>
      <c r="G10" s="1">
        <v>6.04</v>
      </c>
      <c r="H10" s="1">
        <v>3.16</v>
      </c>
      <c r="I10" s="1">
        <v>2.93</v>
      </c>
      <c r="J10" s="1">
        <v>3.34</v>
      </c>
      <c r="K10" s="1">
        <v>4.8899999999999997</v>
      </c>
      <c r="L10" s="1">
        <v>2.14</v>
      </c>
      <c r="M10" s="1">
        <v>22.28</v>
      </c>
      <c r="N10" s="1">
        <v>25.29</v>
      </c>
      <c r="O10" s="1">
        <v>28.59</v>
      </c>
    </row>
    <row r="11" spans="6:15">
      <c r="F11" s="1">
        <v>12</v>
      </c>
      <c r="G11" s="1">
        <v>1.82</v>
      </c>
      <c r="H11" s="1">
        <v>0.91</v>
      </c>
      <c r="I11" s="1">
        <v>1.23</v>
      </c>
      <c r="J11" s="1">
        <v>1.78</v>
      </c>
      <c r="K11" s="1">
        <v>1</v>
      </c>
      <c r="L11" s="1">
        <v>0.83</v>
      </c>
      <c r="M11" s="1">
        <v>13.71</v>
      </c>
      <c r="N11" s="1">
        <v>10.99</v>
      </c>
      <c r="O11" s="1">
        <v>19.75</v>
      </c>
    </row>
    <row r="12" spans="6:15">
      <c r="F12" s="1">
        <v>24</v>
      </c>
      <c r="G12" s="1">
        <v>0.09</v>
      </c>
      <c r="H12" s="1">
        <v>0.08</v>
      </c>
      <c r="I12" s="1">
        <v>0.16</v>
      </c>
      <c r="J12" s="1">
        <v>0.25</v>
      </c>
      <c r="K12" s="1">
        <v>0.48</v>
      </c>
      <c r="L12" s="1">
        <v>0.18</v>
      </c>
      <c r="M12" s="1">
        <v>3.02</v>
      </c>
      <c r="N12" s="1">
        <v>2.17</v>
      </c>
      <c r="O12" s="1">
        <v>2.86</v>
      </c>
    </row>
  </sheetData>
  <mergeCells count="3">
    <mergeCell ref="G5:I5"/>
    <mergeCell ref="J5:L5"/>
    <mergeCell ref="M5:O5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42EAD-EF5E-4442-8BAB-6ED2BBCB6B0D}">
  <dimension ref="E7:N13"/>
  <sheetViews>
    <sheetView workbookViewId="0">
      <selection activeCell="I16" sqref="I16"/>
    </sheetView>
  </sheetViews>
  <sheetFormatPr defaultRowHeight="14.4"/>
  <sheetData>
    <row r="7" spans="5:14">
      <c r="E7" s="2"/>
      <c r="F7" s="39" t="s">
        <v>14</v>
      </c>
      <c r="G7" s="39"/>
      <c r="H7" s="39"/>
      <c r="I7" s="39" t="s">
        <v>114</v>
      </c>
      <c r="J7" s="39"/>
      <c r="K7" s="39"/>
      <c r="L7" s="39" t="s">
        <v>31</v>
      </c>
      <c r="M7" s="39"/>
      <c r="N7" s="39"/>
    </row>
    <row r="8" spans="5:14">
      <c r="E8" s="3" t="s">
        <v>0</v>
      </c>
      <c r="F8" s="1">
        <v>0.02</v>
      </c>
      <c r="G8" s="1">
        <v>0.08</v>
      </c>
      <c r="H8" s="1">
        <v>0.12</v>
      </c>
      <c r="I8" s="1">
        <v>0.03</v>
      </c>
      <c r="J8" s="1">
        <v>0.01</v>
      </c>
      <c r="K8" s="1">
        <v>0.09</v>
      </c>
      <c r="L8" s="1">
        <v>0.15</v>
      </c>
      <c r="M8" s="1">
        <v>0.23</v>
      </c>
      <c r="N8" s="1">
        <v>0.09</v>
      </c>
    </row>
    <row r="9" spans="5:14">
      <c r="E9" s="3" t="s">
        <v>1</v>
      </c>
      <c r="F9" s="1">
        <v>40.119999999999997</v>
      </c>
      <c r="G9" s="1">
        <v>47.6</v>
      </c>
      <c r="H9" s="1">
        <v>38.4</v>
      </c>
      <c r="I9" s="1">
        <v>18.41</v>
      </c>
      <c r="J9" s="1">
        <v>16.399999999999999</v>
      </c>
      <c r="K9" s="1">
        <v>23.4</v>
      </c>
      <c r="L9" s="1">
        <v>44.15</v>
      </c>
      <c r="M9" s="1">
        <v>39.799999999999997</v>
      </c>
      <c r="N9" s="1">
        <v>47.1</v>
      </c>
    </row>
    <row r="10" spans="5:14">
      <c r="E10" s="3" t="s">
        <v>2</v>
      </c>
      <c r="F10" s="1">
        <v>11.21</v>
      </c>
      <c r="G10" s="1">
        <v>13.59</v>
      </c>
      <c r="H10" s="1">
        <v>9.4499999999999993</v>
      </c>
      <c r="I10" s="1">
        <v>5.45</v>
      </c>
      <c r="J10" s="1">
        <v>4.9400000000000004</v>
      </c>
      <c r="K10" s="1">
        <v>3.59</v>
      </c>
      <c r="L10" s="1">
        <v>12.6</v>
      </c>
      <c r="M10" s="1">
        <v>10.25</v>
      </c>
      <c r="N10" s="1">
        <v>9.4499999999999993</v>
      </c>
    </row>
    <row r="11" spans="5:14">
      <c r="E11" s="3" t="s">
        <v>3</v>
      </c>
      <c r="F11" s="1">
        <v>2.16</v>
      </c>
      <c r="G11" s="1">
        <v>1.1399999999999999</v>
      </c>
      <c r="H11" s="1">
        <v>3.21</v>
      </c>
      <c r="I11" s="1">
        <v>1.01</v>
      </c>
      <c r="J11" s="1">
        <v>0.84</v>
      </c>
      <c r="K11" s="1">
        <v>0.74</v>
      </c>
      <c r="L11" s="1">
        <v>3.16</v>
      </c>
      <c r="M11" s="1">
        <v>4.16</v>
      </c>
      <c r="N11" s="1">
        <v>2.14</v>
      </c>
    </row>
    <row r="12" spans="5:14">
      <c r="E12" s="3" t="s">
        <v>4</v>
      </c>
      <c r="F12" s="1">
        <v>0.99</v>
      </c>
      <c r="G12" s="1">
        <v>0.79</v>
      </c>
      <c r="H12" s="1">
        <v>1.02</v>
      </c>
      <c r="I12" s="1">
        <v>0.13</v>
      </c>
      <c r="J12" s="1">
        <v>0.35</v>
      </c>
      <c r="K12" s="1">
        <v>0.14000000000000001</v>
      </c>
      <c r="L12" s="1">
        <v>1.26</v>
      </c>
      <c r="M12" s="1">
        <v>0.98</v>
      </c>
      <c r="N12" s="1">
        <v>0.56999999999999995</v>
      </c>
    </row>
    <row r="13" spans="5:14">
      <c r="E13" s="3" t="s">
        <v>5</v>
      </c>
      <c r="F13" s="1">
        <v>0.34</v>
      </c>
      <c r="G13" s="1">
        <v>0.26</v>
      </c>
      <c r="H13" s="1">
        <v>0.47</v>
      </c>
      <c r="I13" s="1">
        <v>7.16</v>
      </c>
      <c r="J13" s="1">
        <v>7.47</v>
      </c>
      <c r="K13" s="1">
        <v>6.87</v>
      </c>
      <c r="L13" s="1">
        <v>0.26</v>
      </c>
      <c r="M13" s="1">
        <v>0.48</v>
      </c>
      <c r="N13" s="1">
        <v>0.61</v>
      </c>
    </row>
  </sheetData>
  <mergeCells count="3">
    <mergeCell ref="F7:H7"/>
    <mergeCell ref="I7:K7"/>
    <mergeCell ref="L7:N7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5648-DDDA-4557-8D6F-E96C8066A239}">
  <dimension ref="D6:BB14"/>
  <sheetViews>
    <sheetView topLeftCell="AG1" workbookViewId="0">
      <selection activeCell="AY25" sqref="AY25"/>
    </sheetView>
  </sheetViews>
  <sheetFormatPr defaultRowHeight="14.4"/>
  <sheetData>
    <row r="6" spans="4:54">
      <c r="D6" s="2" t="s">
        <v>36</v>
      </c>
      <c r="E6" s="39" t="s">
        <v>6</v>
      </c>
      <c r="F6" s="39"/>
      <c r="G6" s="39"/>
      <c r="H6" s="39"/>
      <c r="I6" s="39"/>
      <c r="J6" s="39" t="s">
        <v>30</v>
      </c>
      <c r="K6" s="39"/>
      <c r="L6" s="39"/>
      <c r="M6" s="39"/>
      <c r="N6" s="39"/>
      <c r="O6" s="39" t="s">
        <v>13</v>
      </c>
      <c r="P6" s="39"/>
      <c r="Q6" s="39"/>
      <c r="R6" s="39"/>
      <c r="S6" s="39"/>
      <c r="T6" s="39" t="s">
        <v>14</v>
      </c>
      <c r="U6" s="39"/>
      <c r="V6" s="39"/>
      <c r="W6" s="39"/>
      <c r="X6" s="39"/>
      <c r="Y6" s="39" t="s">
        <v>22</v>
      </c>
      <c r="Z6" s="39"/>
      <c r="AA6" s="39"/>
      <c r="AB6" s="39"/>
      <c r="AC6" s="39"/>
      <c r="AD6" s="39" t="s">
        <v>31</v>
      </c>
      <c r="AE6" s="39"/>
      <c r="AF6" s="39"/>
      <c r="AG6" s="39"/>
      <c r="AH6" s="39"/>
      <c r="AI6" s="39" t="s">
        <v>19</v>
      </c>
      <c r="AJ6" s="39"/>
      <c r="AK6" s="39"/>
      <c r="AL6" s="39"/>
      <c r="AM6" s="39"/>
      <c r="AN6" s="39" t="s">
        <v>32</v>
      </c>
      <c r="AO6" s="39"/>
      <c r="AP6" s="39"/>
      <c r="AQ6" s="39"/>
      <c r="AR6" s="39"/>
      <c r="AS6" s="39" t="s">
        <v>33</v>
      </c>
      <c r="AT6" s="39"/>
      <c r="AU6" s="39"/>
      <c r="AV6" s="39"/>
      <c r="AW6" s="39"/>
      <c r="AX6" s="39" t="s">
        <v>34</v>
      </c>
      <c r="AY6" s="39"/>
      <c r="AZ6" s="39"/>
      <c r="BA6" s="39"/>
      <c r="BB6" s="39"/>
    </row>
    <row r="7" spans="4:54"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</row>
    <row r="8" spans="4:54">
      <c r="D8" s="1">
        <v>19</v>
      </c>
      <c r="E8" s="1">
        <v>419.49</v>
      </c>
      <c r="F8" s="1">
        <v>407.22</v>
      </c>
      <c r="G8" s="1">
        <v>396.21</v>
      </c>
      <c r="H8" s="1">
        <v>400.59</v>
      </c>
      <c r="I8" s="1">
        <v>393.8</v>
      </c>
      <c r="J8" s="1">
        <v>408.16</v>
      </c>
      <c r="K8" s="1">
        <v>418.95</v>
      </c>
      <c r="L8" s="1">
        <v>405.66</v>
      </c>
      <c r="M8" s="1">
        <v>410.54</v>
      </c>
      <c r="N8" s="1">
        <v>404.11</v>
      </c>
      <c r="O8" s="1">
        <v>394.88</v>
      </c>
      <c r="P8" s="1">
        <v>396.16</v>
      </c>
      <c r="Q8" s="1">
        <v>399.02</v>
      </c>
      <c r="R8" s="1">
        <v>401.86</v>
      </c>
      <c r="S8" s="1">
        <v>418.22</v>
      </c>
      <c r="T8" s="1">
        <v>402.38</v>
      </c>
      <c r="U8" s="1">
        <v>416.04</v>
      </c>
      <c r="V8" s="1">
        <v>392.01</v>
      </c>
      <c r="W8" s="1">
        <v>399.46</v>
      </c>
      <c r="X8" s="1">
        <v>408.2</v>
      </c>
      <c r="Y8" s="1">
        <v>398.7</v>
      </c>
      <c r="Z8" s="1">
        <v>406.5</v>
      </c>
      <c r="AA8" s="1">
        <v>400.2</v>
      </c>
      <c r="AB8" s="1">
        <v>409.5</v>
      </c>
      <c r="AC8" s="1">
        <v>410.3</v>
      </c>
      <c r="AD8" s="1">
        <v>410.09</v>
      </c>
      <c r="AE8" s="1">
        <v>380.05</v>
      </c>
      <c r="AF8" s="1">
        <v>414.93</v>
      </c>
      <c r="AG8" s="1">
        <v>404.16</v>
      </c>
      <c r="AH8" s="1">
        <v>396.67</v>
      </c>
      <c r="AI8" s="1">
        <v>391.54</v>
      </c>
      <c r="AJ8" s="1">
        <v>382.92</v>
      </c>
      <c r="AK8" s="1">
        <v>394.69</v>
      </c>
      <c r="AL8" s="1">
        <v>413.65</v>
      </c>
      <c r="AM8" s="1">
        <v>395.38</v>
      </c>
      <c r="AN8" s="1">
        <v>410.04</v>
      </c>
      <c r="AO8" s="1">
        <v>406.63</v>
      </c>
      <c r="AP8" s="1">
        <v>396.75</v>
      </c>
      <c r="AQ8" s="1">
        <v>408.86</v>
      </c>
      <c r="AR8" s="1">
        <v>399.34</v>
      </c>
      <c r="AS8" s="1">
        <v>391.12</v>
      </c>
      <c r="AT8" s="1">
        <v>397.43</v>
      </c>
      <c r="AU8" s="1">
        <v>413.01</v>
      </c>
      <c r="AV8" s="1">
        <v>403.1</v>
      </c>
      <c r="AW8" s="1">
        <v>400.74</v>
      </c>
      <c r="AX8" s="1">
        <v>406.19</v>
      </c>
      <c r="AY8" s="1">
        <v>384.68</v>
      </c>
      <c r="AZ8" s="1">
        <v>381.33</v>
      </c>
      <c r="BA8" s="1">
        <v>413.56</v>
      </c>
      <c r="BB8" s="1">
        <v>414.88</v>
      </c>
    </row>
    <row r="9" spans="4:54">
      <c r="D9" s="1">
        <v>19.001000000000001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</row>
    <row r="10" spans="4:54">
      <c r="D10" s="1">
        <v>26</v>
      </c>
      <c r="E10" s="1">
        <v>302.08</v>
      </c>
      <c r="F10" s="1">
        <v>504.9</v>
      </c>
      <c r="G10" s="1">
        <v>372.01</v>
      </c>
      <c r="H10" s="1">
        <v>499.03</v>
      </c>
      <c r="I10" s="1">
        <v>360.04</v>
      </c>
      <c r="J10" s="1">
        <v>423.47</v>
      </c>
      <c r="K10" s="1">
        <v>350.2</v>
      </c>
      <c r="L10" s="1">
        <v>388.21</v>
      </c>
      <c r="M10" s="1">
        <v>276.01</v>
      </c>
      <c r="N10" s="1">
        <v>455.29</v>
      </c>
      <c r="O10" s="1">
        <v>215.55</v>
      </c>
      <c r="P10" s="1">
        <v>246.94</v>
      </c>
      <c r="Q10" s="1">
        <v>160.38999999999999</v>
      </c>
      <c r="R10" s="1">
        <v>208.79</v>
      </c>
      <c r="S10" s="1">
        <v>324.35000000000002</v>
      </c>
      <c r="T10" s="1">
        <v>109.65</v>
      </c>
      <c r="U10" s="1">
        <v>199.5</v>
      </c>
      <c r="V10" s="1">
        <v>278.27</v>
      </c>
      <c r="W10" s="1">
        <v>194.31</v>
      </c>
      <c r="X10" s="1">
        <v>157.88999999999999</v>
      </c>
      <c r="Y10" s="1">
        <v>187.6</v>
      </c>
      <c r="Z10" s="1">
        <v>245.7</v>
      </c>
      <c r="AA10" s="1">
        <v>211.6</v>
      </c>
      <c r="AB10" s="1">
        <v>256.7</v>
      </c>
      <c r="AC10" s="1">
        <v>200.1</v>
      </c>
      <c r="AD10" s="1">
        <v>63.51</v>
      </c>
      <c r="AE10" s="1">
        <v>104.51</v>
      </c>
      <c r="AF10" s="1">
        <v>206.93</v>
      </c>
      <c r="AG10" s="1">
        <v>97.56</v>
      </c>
      <c r="AH10" s="1">
        <v>202.62</v>
      </c>
      <c r="AI10" s="1">
        <v>140.97</v>
      </c>
      <c r="AJ10" s="1">
        <v>33.270000000000003</v>
      </c>
      <c r="AK10" s="1">
        <v>145.13</v>
      </c>
      <c r="AL10" s="1">
        <v>124.62</v>
      </c>
      <c r="AM10" s="1">
        <v>99.89</v>
      </c>
      <c r="AN10" s="1">
        <v>104.17</v>
      </c>
      <c r="AO10" s="1">
        <v>90.33</v>
      </c>
      <c r="AP10" s="1">
        <v>51.61</v>
      </c>
      <c r="AQ10" s="1">
        <v>124.15</v>
      </c>
      <c r="AR10" s="1">
        <v>100.94</v>
      </c>
      <c r="AS10" s="1">
        <v>9.44</v>
      </c>
      <c r="AT10" s="1">
        <v>27.32</v>
      </c>
      <c r="AU10" s="1">
        <v>12.87</v>
      </c>
      <c r="AV10" s="1">
        <v>7.41</v>
      </c>
      <c r="AW10" s="1">
        <v>36.840000000000003</v>
      </c>
      <c r="AX10" s="1">
        <v>0</v>
      </c>
      <c r="AY10" s="1">
        <v>0</v>
      </c>
      <c r="AZ10" s="1">
        <v>17.07</v>
      </c>
      <c r="BA10" s="1">
        <v>14.19</v>
      </c>
      <c r="BB10" s="1">
        <v>4.5599999999999996</v>
      </c>
    </row>
    <row r="11" spans="4:54">
      <c r="D11" s="1">
        <v>31</v>
      </c>
      <c r="E11" s="1">
        <v>559.15</v>
      </c>
      <c r="F11" s="1">
        <v>563.16</v>
      </c>
      <c r="G11" s="1">
        <v>792.91</v>
      </c>
      <c r="H11" s="1">
        <v>720.51</v>
      </c>
      <c r="I11" s="1">
        <v>670.33</v>
      </c>
      <c r="J11" s="1">
        <v>493.86</v>
      </c>
      <c r="K11" s="1">
        <v>574.57000000000005</v>
      </c>
      <c r="L11" s="1">
        <v>689.05</v>
      </c>
      <c r="M11" s="1">
        <v>626.48</v>
      </c>
      <c r="N11" s="1">
        <v>530.44000000000005</v>
      </c>
      <c r="O11" s="1">
        <v>283.75</v>
      </c>
      <c r="P11" s="1">
        <v>294.58999999999997</v>
      </c>
      <c r="Q11" s="1">
        <v>299.39999999999998</v>
      </c>
      <c r="R11" s="1">
        <v>307.02999999999997</v>
      </c>
      <c r="S11" s="1">
        <v>329.4</v>
      </c>
      <c r="T11" s="1">
        <v>167.64</v>
      </c>
      <c r="U11" s="1">
        <v>209.62</v>
      </c>
      <c r="V11" s="1">
        <v>327.19</v>
      </c>
      <c r="W11" s="1">
        <v>197.91</v>
      </c>
      <c r="X11" s="1">
        <v>179.54</v>
      </c>
      <c r="Y11" s="1">
        <v>269.8</v>
      </c>
      <c r="Z11" s="1">
        <v>267.8</v>
      </c>
      <c r="AA11" s="1">
        <v>346.8</v>
      </c>
      <c r="AB11" s="1">
        <v>412</v>
      </c>
      <c r="AC11" s="1">
        <v>456.7</v>
      </c>
      <c r="AD11" s="1">
        <v>91.9</v>
      </c>
      <c r="AE11" s="1">
        <v>111.13</v>
      </c>
      <c r="AF11" s="1">
        <v>209.58</v>
      </c>
      <c r="AG11" s="1">
        <v>163.44999999999999</v>
      </c>
      <c r="AH11" s="1">
        <v>236.28</v>
      </c>
      <c r="AI11" s="1">
        <v>162.55000000000001</v>
      </c>
      <c r="AJ11" s="1">
        <v>75.459999999999994</v>
      </c>
      <c r="AK11" s="1">
        <v>308.13</v>
      </c>
      <c r="AL11" s="1">
        <v>126.03</v>
      </c>
      <c r="AM11" s="1">
        <v>113.38</v>
      </c>
      <c r="AN11" s="1">
        <v>113.13</v>
      </c>
      <c r="AO11" s="1">
        <v>91.84</v>
      </c>
      <c r="AP11" s="1">
        <v>91.26</v>
      </c>
      <c r="AQ11" s="1">
        <v>149.78</v>
      </c>
      <c r="AR11" s="1">
        <v>136.77000000000001</v>
      </c>
      <c r="AS11" s="1">
        <v>19.489999999999998</v>
      </c>
      <c r="AT11" s="1">
        <v>37.17</v>
      </c>
      <c r="AU11" s="1">
        <v>38.380000000000003</v>
      </c>
      <c r="AV11" s="1">
        <v>65.430000000000007</v>
      </c>
      <c r="AW11" s="1">
        <v>51.21</v>
      </c>
      <c r="AX11" s="1">
        <v>0</v>
      </c>
      <c r="AY11" s="1">
        <v>12.9</v>
      </c>
      <c r="AZ11" s="1">
        <v>20.010000000000002</v>
      </c>
      <c r="BA11" s="1">
        <v>21.27</v>
      </c>
      <c r="BB11" s="1">
        <v>7.03</v>
      </c>
    </row>
    <row r="12" spans="4:54">
      <c r="D12" s="1">
        <v>35</v>
      </c>
      <c r="E12" s="1">
        <v>740.03</v>
      </c>
      <c r="F12" s="1">
        <v>865.72</v>
      </c>
      <c r="G12" s="1">
        <v>810.77</v>
      </c>
      <c r="H12" s="1">
        <v>748.96</v>
      </c>
      <c r="I12" s="1">
        <v>1009.54</v>
      </c>
      <c r="J12" s="1">
        <v>607.71</v>
      </c>
      <c r="K12" s="1">
        <v>777.16</v>
      </c>
      <c r="L12" s="1">
        <v>843.44</v>
      </c>
      <c r="M12" s="1">
        <v>672.13</v>
      </c>
      <c r="N12" s="1">
        <v>676.55</v>
      </c>
      <c r="O12" s="1">
        <v>488.4</v>
      </c>
      <c r="P12" s="1">
        <v>347.99</v>
      </c>
      <c r="Q12" s="1">
        <v>402.51</v>
      </c>
      <c r="R12" s="1">
        <v>593.94000000000005</v>
      </c>
      <c r="S12" s="1">
        <v>567.63</v>
      </c>
      <c r="T12" s="1">
        <v>339.57</v>
      </c>
      <c r="U12" s="1">
        <v>489.53</v>
      </c>
      <c r="V12" s="1">
        <v>469.47</v>
      </c>
      <c r="W12" s="1">
        <v>417.18</v>
      </c>
      <c r="X12" s="1">
        <v>418.94</v>
      </c>
      <c r="Y12" s="1">
        <v>387.9</v>
      </c>
      <c r="Z12" s="1">
        <v>359.8</v>
      </c>
      <c r="AA12" s="1">
        <v>457.8</v>
      </c>
      <c r="AB12" s="1">
        <v>564.20000000000005</v>
      </c>
      <c r="AC12" s="1">
        <v>503.6</v>
      </c>
      <c r="AD12" s="1">
        <v>200.09</v>
      </c>
      <c r="AE12" s="1">
        <v>212</v>
      </c>
      <c r="AF12" s="1">
        <v>310.64999999999998</v>
      </c>
      <c r="AG12" s="1">
        <v>250.89</v>
      </c>
      <c r="AH12" s="1">
        <v>331.07</v>
      </c>
      <c r="AI12" s="1">
        <v>143.08000000000001</v>
      </c>
      <c r="AJ12" s="1">
        <v>127.52</v>
      </c>
      <c r="AK12" s="1">
        <v>401.1</v>
      </c>
      <c r="AL12" s="1">
        <v>341.11</v>
      </c>
      <c r="AM12" s="1">
        <v>257.41000000000003</v>
      </c>
      <c r="AN12" s="1">
        <v>138.76</v>
      </c>
      <c r="AO12" s="1">
        <v>103.19</v>
      </c>
      <c r="AP12" s="1">
        <v>195.3</v>
      </c>
      <c r="AQ12" s="1">
        <v>188.83</v>
      </c>
      <c r="AR12" s="1">
        <v>199.75</v>
      </c>
      <c r="AS12" s="1">
        <v>39.97</v>
      </c>
      <c r="AT12" s="1">
        <v>158.58000000000001</v>
      </c>
      <c r="AU12" s="1">
        <v>79.53</v>
      </c>
      <c r="AV12" s="1">
        <v>217.66</v>
      </c>
      <c r="AW12" s="1">
        <v>117.65</v>
      </c>
      <c r="AX12" s="1">
        <v>0</v>
      </c>
      <c r="AY12" s="1">
        <v>59.9</v>
      </c>
      <c r="AZ12" s="1">
        <v>79.87</v>
      </c>
      <c r="BA12" s="1">
        <v>101.69</v>
      </c>
      <c r="BB12" s="1">
        <v>37.53</v>
      </c>
    </row>
    <row r="13" spans="4:54">
      <c r="D13" s="1">
        <v>41</v>
      </c>
      <c r="E13" s="1">
        <v>1024</v>
      </c>
      <c r="F13" s="1">
        <v>1245</v>
      </c>
      <c r="G13" s="1">
        <v>1245</v>
      </c>
      <c r="H13" s="1">
        <v>1369</v>
      </c>
      <c r="I13" s="1">
        <v>1569</v>
      </c>
      <c r="J13" s="1">
        <v>984</v>
      </c>
      <c r="K13" s="1">
        <v>1230</v>
      </c>
      <c r="L13" s="1">
        <v>1024</v>
      </c>
      <c r="M13" s="1">
        <v>1246</v>
      </c>
      <c r="N13" s="1">
        <v>823</v>
      </c>
      <c r="O13" s="1">
        <v>756</v>
      </c>
      <c r="P13" s="1">
        <v>1256</v>
      </c>
      <c r="Q13" s="1">
        <v>951</v>
      </c>
      <c r="R13" s="1">
        <v>623</v>
      </c>
      <c r="S13" s="1">
        <v>914</v>
      </c>
      <c r="T13" s="1">
        <v>645</v>
      </c>
      <c r="U13" s="1">
        <v>523</v>
      </c>
      <c r="V13" s="1">
        <v>896</v>
      </c>
      <c r="W13" s="1">
        <v>1107</v>
      </c>
      <c r="X13" s="1">
        <v>689</v>
      </c>
      <c r="Y13" s="1">
        <v>746.5</v>
      </c>
      <c r="Z13" s="1">
        <v>621.4</v>
      </c>
      <c r="AA13" s="1">
        <v>889.4</v>
      </c>
      <c r="AB13" s="1">
        <v>1089.9000000000001</v>
      </c>
      <c r="AC13" s="1">
        <v>968.4</v>
      </c>
      <c r="AD13" s="1">
        <v>423</v>
      </c>
      <c r="AE13" s="1">
        <v>301</v>
      </c>
      <c r="AF13" s="1">
        <v>569</v>
      </c>
      <c r="AG13" s="1">
        <v>689</v>
      </c>
      <c r="AH13" s="1">
        <v>845</v>
      </c>
      <c r="AI13" s="1">
        <v>234</v>
      </c>
      <c r="AJ13" s="1">
        <v>201</v>
      </c>
      <c r="AK13" s="1">
        <v>426</v>
      </c>
      <c r="AL13" s="1">
        <v>523</v>
      </c>
      <c r="AM13" s="1">
        <v>478</v>
      </c>
      <c r="AN13" s="1">
        <v>412</v>
      </c>
      <c r="AO13" s="1">
        <v>206</v>
      </c>
      <c r="AP13" s="1">
        <v>214</v>
      </c>
      <c r="AQ13" s="1">
        <v>256</v>
      </c>
      <c r="AR13" s="1">
        <v>301</v>
      </c>
      <c r="AS13" s="1">
        <v>123</v>
      </c>
      <c r="AT13" s="1">
        <v>204</v>
      </c>
      <c r="AU13" s="1">
        <v>142</v>
      </c>
      <c r="AV13" s="1">
        <v>126</v>
      </c>
      <c r="AW13" s="1">
        <v>289</v>
      </c>
      <c r="AX13" s="1">
        <v>0</v>
      </c>
      <c r="AY13" s="1">
        <v>85</v>
      </c>
      <c r="AZ13" s="1">
        <v>126</v>
      </c>
      <c r="BA13" s="1">
        <v>123</v>
      </c>
      <c r="BB13" s="1">
        <v>46</v>
      </c>
    </row>
    <row r="14" spans="4:54">
      <c r="D14" s="1">
        <v>48</v>
      </c>
      <c r="E14" s="1">
        <v>1597.56</v>
      </c>
      <c r="F14" s="1">
        <v>1943.07</v>
      </c>
      <c r="G14" s="1">
        <v>1658.06</v>
      </c>
      <c r="H14" s="1">
        <v>1697.54</v>
      </c>
      <c r="I14" s="1">
        <v>1991.22</v>
      </c>
      <c r="J14" s="1">
        <v>1442.38</v>
      </c>
      <c r="K14" s="1">
        <v>1990.61</v>
      </c>
      <c r="L14" s="1">
        <v>1527.89</v>
      </c>
      <c r="M14" s="1">
        <v>1950.29</v>
      </c>
      <c r="N14" s="1">
        <v>1297.55</v>
      </c>
      <c r="O14" s="1">
        <v>1280.3399999999999</v>
      </c>
      <c r="P14" s="1">
        <v>1992.77</v>
      </c>
      <c r="Q14" s="1">
        <v>1399.61</v>
      </c>
      <c r="R14" s="1">
        <v>1081.2</v>
      </c>
      <c r="S14" s="1">
        <v>1161.8800000000001</v>
      </c>
      <c r="T14" s="1">
        <v>965.29</v>
      </c>
      <c r="U14" s="1">
        <v>1049.8</v>
      </c>
      <c r="V14" s="1">
        <v>1211.99</v>
      </c>
      <c r="W14" s="1">
        <v>1516.72</v>
      </c>
      <c r="X14" s="1">
        <v>1151.67</v>
      </c>
      <c r="Y14" s="1">
        <v>1126</v>
      </c>
      <c r="Z14" s="1">
        <v>1046</v>
      </c>
      <c r="AA14" s="1">
        <v>1386</v>
      </c>
      <c r="AB14" s="1">
        <v>1529</v>
      </c>
      <c r="AC14" s="1">
        <v>1448</v>
      </c>
      <c r="AD14" s="1">
        <v>874.45</v>
      </c>
      <c r="AE14" s="1">
        <v>680.43</v>
      </c>
      <c r="AF14" s="1">
        <v>1034.02</v>
      </c>
      <c r="AG14" s="1">
        <v>1183.1500000000001</v>
      </c>
      <c r="AH14" s="1">
        <v>1288.96</v>
      </c>
      <c r="AI14" s="1">
        <v>551.57000000000005</v>
      </c>
      <c r="AJ14" s="1">
        <v>474.3</v>
      </c>
      <c r="AK14" s="1">
        <v>1116.8499999999999</v>
      </c>
      <c r="AL14" s="1">
        <v>1124.19</v>
      </c>
      <c r="AM14" s="1">
        <v>1186.21</v>
      </c>
      <c r="AN14" s="1">
        <v>970.56</v>
      </c>
      <c r="AO14" s="1">
        <v>492.5</v>
      </c>
      <c r="AP14" s="1">
        <v>474.09</v>
      </c>
      <c r="AQ14" s="1">
        <v>726.31</v>
      </c>
      <c r="AR14" s="1">
        <v>708.72</v>
      </c>
      <c r="AS14" s="1">
        <v>225.27</v>
      </c>
      <c r="AT14" s="1">
        <v>405.41</v>
      </c>
      <c r="AU14" s="1">
        <v>286.89999999999998</v>
      </c>
      <c r="AV14" s="1">
        <v>577.23</v>
      </c>
      <c r="AW14" s="1">
        <v>583.85</v>
      </c>
      <c r="AX14" s="1">
        <v>1.2</v>
      </c>
      <c r="AY14" s="1">
        <v>160.16</v>
      </c>
      <c r="AZ14" s="1">
        <v>236.33</v>
      </c>
      <c r="BA14" s="1">
        <v>194.97</v>
      </c>
      <c r="BB14" s="1">
        <v>103.2</v>
      </c>
    </row>
  </sheetData>
  <mergeCells count="10">
    <mergeCell ref="AI6:AM6"/>
    <mergeCell ref="AN6:AR6"/>
    <mergeCell ref="AS6:AW6"/>
    <mergeCell ref="AX6:BB6"/>
    <mergeCell ref="E6:I6"/>
    <mergeCell ref="J6:N6"/>
    <mergeCell ref="O6:S6"/>
    <mergeCell ref="T6:X6"/>
    <mergeCell ref="Y6:AC6"/>
    <mergeCell ref="AD6:AH6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04D47-C0B1-454D-AF1D-373485232BA8}">
  <dimension ref="D8:AB9"/>
  <sheetViews>
    <sheetView workbookViewId="0">
      <selection activeCell="L30" sqref="L30"/>
    </sheetView>
  </sheetViews>
  <sheetFormatPr defaultRowHeight="14.4"/>
  <sheetData>
    <row r="8" spans="4:28">
      <c r="D8" s="39" t="s">
        <v>30</v>
      </c>
      <c r="E8" s="39"/>
      <c r="F8" s="39"/>
      <c r="G8" s="39"/>
      <c r="H8" s="39"/>
      <c r="I8" s="39" t="s">
        <v>31</v>
      </c>
      <c r="J8" s="39"/>
      <c r="K8" s="39"/>
      <c r="L8" s="39"/>
      <c r="M8" s="39"/>
      <c r="N8" s="39" t="s">
        <v>32</v>
      </c>
      <c r="O8" s="39"/>
      <c r="P8" s="39"/>
      <c r="Q8" s="39"/>
      <c r="R8" s="39"/>
      <c r="S8" s="39" t="s">
        <v>33</v>
      </c>
      <c r="T8" s="39"/>
      <c r="U8" s="39"/>
      <c r="V8" s="39"/>
      <c r="W8" s="39"/>
      <c r="X8" s="39" t="s">
        <v>34</v>
      </c>
      <c r="Y8" s="39"/>
      <c r="Z8" s="39"/>
      <c r="AA8" s="39"/>
      <c r="AB8" s="39"/>
    </row>
    <row r="9" spans="4:28">
      <c r="D9" s="1">
        <v>2.7E-2</v>
      </c>
      <c r="E9" s="1">
        <v>3.1E-2</v>
      </c>
      <c r="F9" s="1">
        <v>4.5999999999999999E-2</v>
      </c>
      <c r="G9" s="1">
        <v>2.5000000000000001E-2</v>
      </c>
      <c r="H9" s="1">
        <v>2.1000000000000001E-2</v>
      </c>
      <c r="I9" s="1">
        <v>2.1000000000000001E-2</v>
      </c>
      <c r="J9" s="1">
        <v>2.3E-2</v>
      </c>
      <c r="K9" s="1">
        <v>1.9E-2</v>
      </c>
      <c r="L9" s="1">
        <v>2.3E-2</v>
      </c>
      <c r="M9" s="1">
        <v>2.5000000000000001E-2</v>
      </c>
      <c r="N9" s="1">
        <v>2.5000000000000001E-2</v>
      </c>
      <c r="O9" s="1">
        <v>1.9E-2</v>
      </c>
      <c r="P9" s="1">
        <v>2.4E-2</v>
      </c>
      <c r="Q9" s="1">
        <v>3.4000000000000002E-2</v>
      </c>
      <c r="R9" s="1">
        <v>3.4000000000000002E-2</v>
      </c>
      <c r="S9" s="1">
        <v>0.43</v>
      </c>
      <c r="T9" s="1">
        <v>0.46</v>
      </c>
      <c r="U9" s="1">
        <v>0.38</v>
      </c>
      <c r="V9" s="1">
        <v>0.59</v>
      </c>
      <c r="W9" s="1">
        <v>0.37</v>
      </c>
      <c r="X9" s="1">
        <v>0.69</v>
      </c>
      <c r="Y9" s="1"/>
      <c r="Z9" s="1">
        <v>0.92</v>
      </c>
      <c r="AA9" s="1">
        <v>0.76</v>
      </c>
      <c r="AB9" s="1">
        <v>0.61</v>
      </c>
    </row>
  </sheetData>
  <mergeCells count="5">
    <mergeCell ref="D8:H8"/>
    <mergeCell ref="I8:M8"/>
    <mergeCell ref="N8:R8"/>
    <mergeCell ref="S8:W8"/>
    <mergeCell ref="X8:AB8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53B1-DA09-4FF0-857F-17F5D869AFCA}">
  <dimension ref="D6:BA7"/>
  <sheetViews>
    <sheetView workbookViewId="0">
      <selection activeCell="H12" sqref="H12"/>
    </sheetView>
  </sheetViews>
  <sheetFormatPr defaultRowHeight="14.4"/>
  <sheetData>
    <row r="6" spans="4:53">
      <c r="D6" s="39" t="s">
        <v>6</v>
      </c>
      <c r="E6" s="39"/>
      <c r="F6" s="39"/>
      <c r="G6" s="39"/>
      <c r="H6" s="39"/>
      <c r="I6" s="39" t="s">
        <v>30</v>
      </c>
      <c r="J6" s="39"/>
      <c r="K6" s="39"/>
      <c r="L6" s="39"/>
      <c r="M6" s="39"/>
      <c r="N6" s="39" t="s">
        <v>13</v>
      </c>
      <c r="O6" s="39"/>
      <c r="P6" s="39"/>
      <c r="Q6" s="39"/>
      <c r="R6" s="39"/>
      <c r="S6" s="39" t="s">
        <v>14</v>
      </c>
      <c r="T6" s="39"/>
      <c r="U6" s="39"/>
      <c r="V6" s="39"/>
      <c r="W6" s="39"/>
      <c r="X6" s="39" t="s">
        <v>22</v>
      </c>
      <c r="Y6" s="39"/>
      <c r="Z6" s="39"/>
      <c r="AA6" s="39"/>
      <c r="AB6" s="39"/>
      <c r="AC6" s="39" t="s">
        <v>31</v>
      </c>
      <c r="AD6" s="39"/>
      <c r="AE6" s="39"/>
      <c r="AF6" s="39"/>
      <c r="AG6" s="39"/>
      <c r="AH6" s="39" t="s">
        <v>19</v>
      </c>
      <c r="AI6" s="39"/>
      <c r="AJ6" s="39"/>
      <c r="AK6" s="39"/>
      <c r="AL6" s="39"/>
      <c r="AM6" s="39" t="s">
        <v>32</v>
      </c>
      <c r="AN6" s="39"/>
      <c r="AO6" s="39"/>
      <c r="AP6" s="39"/>
      <c r="AQ6" s="39"/>
      <c r="AR6" s="39" t="s">
        <v>33</v>
      </c>
      <c r="AS6" s="39"/>
      <c r="AT6" s="39"/>
      <c r="AU6" s="39"/>
      <c r="AV6" s="39"/>
      <c r="AW6" s="39" t="s">
        <v>34</v>
      </c>
      <c r="AX6" s="39"/>
      <c r="AY6" s="39"/>
      <c r="AZ6" s="39"/>
      <c r="BA6" s="39"/>
    </row>
    <row r="7" spans="4:53">
      <c r="D7" s="1">
        <v>28</v>
      </c>
      <c r="E7" s="1">
        <v>37.4</v>
      </c>
      <c r="F7" s="1">
        <v>55.2</v>
      </c>
      <c r="G7" s="1">
        <v>41.2</v>
      </c>
      <c r="H7" s="1">
        <v>50.26</v>
      </c>
      <c r="I7" s="1">
        <v>27.6</v>
      </c>
      <c r="J7" s="1">
        <v>31.5</v>
      </c>
      <c r="K7" s="1">
        <v>46.5</v>
      </c>
      <c r="L7" s="1">
        <v>25.4</v>
      </c>
      <c r="M7" s="1">
        <v>21.1</v>
      </c>
      <c r="N7" s="1">
        <v>23.2</v>
      </c>
      <c r="O7" s="1">
        <v>38.4</v>
      </c>
      <c r="P7" s="1">
        <v>25.4</v>
      </c>
      <c r="Q7" s="1">
        <v>26.7</v>
      </c>
      <c r="R7" s="1">
        <v>24.1</v>
      </c>
      <c r="S7" s="1">
        <v>24.5</v>
      </c>
      <c r="T7" s="1">
        <v>23.2</v>
      </c>
      <c r="U7" s="1">
        <v>29.5</v>
      </c>
      <c r="V7" s="1">
        <v>30.2</v>
      </c>
      <c r="W7" s="1">
        <v>27.4</v>
      </c>
      <c r="X7" s="1">
        <v>39.700000000000003</v>
      </c>
      <c r="Y7" s="1">
        <v>16.8</v>
      </c>
      <c r="Z7" s="1">
        <v>29.6</v>
      </c>
      <c r="AA7" s="1">
        <v>26.4</v>
      </c>
      <c r="AB7" s="1">
        <v>23.8</v>
      </c>
      <c r="AC7" s="1">
        <v>21.2</v>
      </c>
      <c r="AD7" s="1">
        <v>23.5</v>
      </c>
      <c r="AE7" s="1">
        <v>19.86</v>
      </c>
      <c r="AF7" s="1">
        <v>23.56</v>
      </c>
      <c r="AG7" s="1">
        <v>25.9</v>
      </c>
      <c r="AH7" s="1">
        <v>11.3</v>
      </c>
      <c r="AI7" s="1">
        <v>6.5</v>
      </c>
      <c r="AJ7" s="1">
        <v>10.6</v>
      </c>
      <c r="AK7" s="1">
        <v>13.7</v>
      </c>
      <c r="AL7" s="1">
        <v>8.4700000000000006</v>
      </c>
      <c r="AM7" s="1">
        <v>2.5</v>
      </c>
      <c r="AN7" s="1">
        <v>1.93</v>
      </c>
      <c r="AO7" s="1">
        <v>1.4</v>
      </c>
      <c r="AP7" s="1">
        <v>0.91</v>
      </c>
      <c r="AQ7" s="1">
        <v>0.63</v>
      </c>
      <c r="AR7" s="1">
        <v>0.08</v>
      </c>
      <c r="AS7" s="1">
        <v>0.09</v>
      </c>
      <c r="AT7" s="1">
        <v>0.12</v>
      </c>
      <c r="AU7" s="1">
        <v>7.0000000000000007E-2</v>
      </c>
      <c r="AV7" s="1">
        <v>0.01</v>
      </c>
      <c r="AW7" s="1">
        <v>0.01</v>
      </c>
      <c r="AX7" s="1">
        <v>5.0000000000000001E-3</v>
      </c>
      <c r="AY7" s="1">
        <v>1.4E-2</v>
      </c>
      <c r="AZ7" s="1">
        <v>2E-3</v>
      </c>
      <c r="BA7" s="1">
        <v>0</v>
      </c>
    </row>
  </sheetData>
  <mergeCells count="10">
    <mergeCell ref="AH6:AL6"/>
    <mergeCell ref="AM6:AQ6"/>
    <mergeCell ref="AR6:AV6"/>
    <mergeCell ref="AW6:BA6"/>
    <mergeCell ref="D6:H6"/>
    <mergeCell ref="I6:M6"/>
    <mergeCell ref="N6:R6"/>
    <mergeCell ref="S6:W6"/>
    <mergeCell ref="X6:AB6"/>
    <mergeCell ref="AC6:AG6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A274-87A6-4B8C-9D75-55A4366C9EB3}">
  <dimension ref="C3:M53"/>
  <sheetViews>
    <sheetView workbookViewId="0">
      <selection activeCell="C3" sqref="C3"/>
    </sheetView>
  </sheetViews>
  <sheetFormatPr defaultRowHeight="14.4"/>
  <cols>
    <col min="4" max="4" width="13.734375" customWidth="1"/>
    <col min="5" max="5" width="19.26171875" customWidth="1"/>
    <col min="6" max="6" width="11.26171875" customWidth="1"/>
    <col min="7" max="7" width="16.3671875" customWidth="1"/>
    <col min="8" max="8" width="28.15625" customWidth="1"/>
    <col min="9" max="9" width="22.83984375" customWidth="1"/>
    <col min="10" max="10" width="30.1015625" customWidth="1"/>
    <col min="11" max="11" width="24.3125" customWidth="1"/>
    <col min="12" max="12" width="26.89453125" customWidth="1"/>
    <col min="13" max="13" width="23.3125" customWidth="1"/>
  </cols>
  <sheetData>
    <row r="3" spans="3:13">
      <c r="C3" s="2" t="s">
        <v>36</v>
      </c>
      <c r="D3" s="2" t="s">
        <v>6</v>
      </c>
      <c r="E3" s="2" t="s">
        <v>30</v>
      </c>
      <c r="F3" s="2" t="s">
        <v>13</v>
      </c>
      <c r="G3" s="2" t="s">
        <v>14</v>
      </c>
      <c r="H3" s="2" t="s">
        <v>35</v>
      </c>
      <c r="I3" s="2" t="s">
        <v>19</v>
      </c>
      <c r="J3" s="2" t="s">
        <v>32</v>
      </c>
      <c r="K3" s="2" t="s">
        <v>33</v>
      </c>
      <c r="L3" s="2" t="s">
        <v>34</v>
      </c>
      <c r="M3" s="2" t="s">
        <v>22</v>
      </c>
    </row>
    <row r="4" spans="3:13">
      <c r="C4" s="1">
        <v>53</v>
      </c>
      <c r="D4" s="1">
        <v>1</v>
      </c>
      <c r="E4" s="1"/>
      <c r="F4" s="1"/>
      <c r="G4" s="1"/>
      <c r="H4" s="1"/>
      <c r="I4" s="1"/>
      <c r="J4" s="1"/>
      <c r="K4" s="1"/>
      <c r="L4" s="1"/>
      <c r="M4" s="1"/>
    </row>
    <row r="5" spans="3:13">
      <c r="C5" s="1">
        <v>48</v>
      </c>
      <c r="D5" s="1">
        <v>1</v>
      </c>
      <c r="E5" s="1"/>
      <c r="F5" s="1"/>
      <c r="G5" s="1"/>
      <c r="H5" s="1"/>
      <c r="I5" s="1"/>
      <c r="J5" s="1"/>
      <c r="K5" s="1"/>
      <c r="L5" s="1"/>
      <c r="M5" s="1"/>
    </row>
    <row r="6" spans="3:13">
      <c r="C6" s="1">
        <v>52</v>
      </c>
      <c r="D6" s="1">
        <v>1</v>
      </c>
      <c r="E6" s="1"/>
      <c r="F6" s="1"/>
      <c r="G6" s="1"/>
      <c r="H6" s="1"/>
      <c r="I6" s="1"/>
      <c r="J6" s="1"/>
      <c r="K6" s="1"/>
      <c r="L6" s="1"/>
      <c r="M6" s="1"/>
    </row>
    <row r="7" spans="3:13">
      <c r="C7" s="1">
        <v>48</v>
      </c>
      <c r="D7" s="1">
        <v>1</v>
      </c>
      <c r="E7" s="1"/>
      <c r="F7" s="1"/>
      <c r="G7" s="1"/>
      <c r="H7" s="1"/>
      <c r="I7" s="1"/>
      <c r="J7" s="1"/>
      <c r="K7" s="1"/>
      <c r="L7" s="1"/>
      <c r="M7" s="1"/>
    </row>
    <row r="8" spans="3:13">
      <c r="C8" s="1">
        <v>54</v>
      </c>
      <c r="D8" s="1">
        <v>1</v>
      </c>
      <c r="E8" s="1"/>
      <c r="F8" s="1"/>
      <c r="G8" s="1"/>
      <c r="H8" s="1"/>
      <c r="I8" s="1"/>
      <c r="J8" s="1"/>
      <c r="K8" s="1"/>
      <c r="L8" s="1"/>
      <c r="M8" s="1"/>
    </row>
    <row r="9" spans="3:13">
      <c r="C9" s="1">
        <v>55</v>
      </c>
      <c r="D9" s="1"/>
      <c r="E9" s="1">
        <v>1</v>
      </c>
      <c r="F9" s="1"/>
      <c r="G9" s="1"/>
      <c r="H9" s="1"/>
      <c r="I9" s="1"/>
      <c r="J9" s="1"/>
      <c r="K9" s="1"/>
      <c r="L9" s="1"/>
      <c r="M9" s="1"/>
    </row>
    <row r="10" spans="3:13">
      <c r="C10" s="1">
        <v>48</v>
      </c>
      <c r="D10" s="1"/>
      <c r="E10" s="1">
        <v>1</v>
      </c>
      <c r="F10" s="1"/>
      <c r="G10" s="1"/>
      <c r="H10" s="1"/>
      <c r="I10" s="1"/>
      <c r="J10" s="1"/>
      <c r="K10" s="1"/>
      <c r="L10" s="1"/>
      <c r="M10" s="1"/>
    </row>
    <row r="11" spans="3:13">
      <c r="C11" s="1">
        <v>54</v>
      </c>
      <c r="D11" s="1"/>
      <c r="E11" s="1">
        <v>1</v>
      </c>
      <c r="F11" s="1"/>
      <c r="G11" s="1"/>
      <c r="H11" s="1"/>
      <c r="I11" s="1"/>
      <c r="J11" s="1"/>
      <c r="K11" s="1"/>
      <c r="L11" s="1"/>
      <c r="M11" s="1"/>
    </row>
    <row r="12" spans="3:13">
      <c r="C12" s="1">
        <v>49</v>
      </c>
      <c r="D12" s="1"/>
      <c r="E12" s="1">
        <v>1</v>
      </c>
      <c r="F12" s="1"/>
      <c r="G12" s="1"/>
      <c r="H12" s="1"/>
      <c r="I12" s="1"/>
      <c r="J12" s="1"/>
      <c r="K12" s="1"/>
      <c r="L12" s="1"/>
      <c r="M12" s="1"/>
    </row>
    <row r="13" spans="3:13">
      <c r="C13" s="1">
        <v>53</v>
      </c>
      <c r="D13" s="1"/>
      <c r="E13" s="1">
        <v>1</v>
      </c>
      <c r="F13" s="1"/>
      <c r="G13" s="1"/>
      <c r="H13" s="1"/>
      <c r="I13" s="1"/>
      <c r="J13" s="1"/>
      <c r="K13" s="1"/>
      <c r="L13" s="1"/>
      <c r="M13" s="1"/>
    </row>
    <row r="14" spans="3:13">
      <c r="C14" s="1">
        <v>59</v>
      </c>
      <c r="D14" s="1"/>
      <c r="E14" s="1"/>
      <c r="F14" s="1">
        <v>1</v>
      </c>
      <c r="G14" s="1"/>
      <c r="H14" s="1"/>
      <c r="I14" s="1"/>
      <c r="J14" s="1"/>
      <c r="K14" s="1"/>
      <c r="L14" s="1"/>
      <c r="M14" s="1"/>
    </row>
    <row r="15" spans="3:13">
      <c r="C15" s="1">
        <v>50</v>
      </c>
      <c r="D15" s="1"/>
      <c r="E15" s="1"/>
      <c r="F15" s="1">
        <v>1</v>
      </c>
      <c r="G15" s="1"/>
      <c r="H15" s="1"/>
      <c r="I15" s="1"/>
      <c r="J15" s="1"/>
      <c r="K15" s="1"/>
      <c r="L15" s="1"/>
      <c r="M15" s="1"/>
    </row>
    <row r="16" spans="3:13">
      <c r="C16" s="1">
        <v>57</v>
      </c>
      <c r="D16" s="1"/>
      <c r="E16" s="1"/>
      <c r="F16" s="1">
        <v>1</v>
      </c>
      <c r="G16" s="1"/>
      <c r="H16" s="1"/>
      <c r="I16" s="1"/>
      <c r="J16" s="1"/>
      <c r="K16" s="1"/>
      <c r="L16" s="1"/>
      <c r="M16" s="1"/>
    </row>
    <row r="17" spans="3:13">
      <c r="C17" s="1">
        <v>61</v>
      </c>
      <c r="D17" s="1"/>
      <c r="E17" s="1"/>
      <c r="F17" s="1">
        <v>1</v>
      </c>
      <c r="G17" s="1"/>
      <c r="H17" s="1"/>
      <c r="I17" s="1"/>
      <c r="J17" s="1"/>
      <c r="K17" s="1"/>
      <c r="L17" s="1"/>
      <c r="M17" s="1"/>
    </row>
    <row r="18" spans="3:13">
      <c r="C18" s="1">
        <v>54</v>
      </c>
      <c r="D18" s="1"/>
      <c r="E18" s="1"/>
      <c r="F18" s="1">
        <v>1</v>
      </c>
      <c r="G18" s="1"/>
      <c r="H18" s="1"/>
      <c r="I18" s="1"/>
      <c r="J18" s="1"/>
      <c r="K18" s="1"/>
      <c r="L18" s="1"/>
      <c r="M18" s="1"/>
    </row>
    <row r="19" spans="3:13">
      <c r="C19" s="1">
        <v>66</v>
      </c>
      <c r="D19" s="1"/>
      <c r="E19" s="1"/>
      <c r="F19" s="1"/>
      <c r="G19" s="1">
        <v>1</v>
      </c>
      <c r="H19" s="1"/>
      <c r="I19" s="1"/>
      <c r="J19" s="1"/>
      <c r="K19" s="1"/>
      <c r="L19" s="1"/>
      <c r="M19" s="1"/>
    </row>
    <row r="20" spans="3:13">
      <c r="C20" s="1">
        <v>61</v>
      </c>
      <c r="D20" s="1"/>
      <c r="E20" s="1"/>
      <c r="F20" s="1"/>
      <c r="G20" s="1">
        <v>1</v>
      </c>
      <c r="H20" s="1"/>
      <c r="I20" s="1"/>
      <c r="J20" s="1"/>
      <c r="K20" s="1"/>
      <c r="L20" s="1"/>
      <c r="M20" s="1"/>
    </row>
    <row r="21" spans="3:13">
      <c r="C21" s="1">
        <v>61</v>
      </c>
      <c r="D21" s="1"/>
      <c r="E21" s="1"/>
      <c r="F21" s="1"/>
      <c r="G21" s="1">
        <v>1</v>
      </c>
      <c r="H21" s="1"/>
      <c r="I21" s="1"/>
      <c r="J21" s="1"/>
      <c r="K21" s="1"/>
      <c r="L21" s="1"/>
      <c r="M21" s="1"/>
    </row>
    <row r="22" spans="3:13">
      <c r="C22" s="1">
        <v>58</v>
      </c>
      <c r="D22" s="1"/>
      <c r="E22" s="1"/>
      <c r="F22" s="1"/>
      <c r="G22" s="1">
        <v>1</v>
      </c>
      <c r="H22" s="1"/>
      <c r="I22" s="1"/>
      <c r="J22" s="1"/>
      <c r="K22" s="1"/>
      <c r="L22" s="1"/>
      <c r="M22" s="1"/>
    </row>
    <row r="23" spans="3:13">
      <c r="C23" s="1">
        <v>62</v>
      </c>
      <c r="D23" s="1"/>
      <c r="E23" s="1"/>
      <c r="F23" s="1"/>
      <c r="G23" s="1">
        <v>1</v>
      </c>
      <c r="H23" s="1"/>
      <c r="I23" s="1"/>
      <c r="J23" s="1"/>
      <c r="K23" s="1"/>
      <c r="L23" s="1"/>
      <c r="M23" s="1"/>
    </row>
    <row r="24" spans="3:13">
      <c r="C24" s="1">
        <v>68</v>
      </c>
      <c r="D24" s="1"/>
      <c r="E24" s="1"/>
      <c r="F24" s="1"/>
      <c r="G24" s="1"/>
      <c r="H24" s="1">
        <v>1</v>
      </c>
      <c r="I24" s="1"/>
      <c r="J24" s="1"/>
      <c r="K24" s="1"/>
      <c r="L24" s="1"/>
      <c r="M24" s="1"/>
    </row>
    <row r="25" spans="3:13">
      <c r="C25" s="1">
        <v>65</v>
      </c>
      <c r="D25" s="1"/>
      <c r="E25" s="1"/>
      <c r="F25" s="1"/>
      <c r="G25" s="1"/>
      <c r="H25" s="1">
        <v>1</v>
      </c>
      <c r="I25" s="1"/>
      <c r="J25" s="1"/>
      <c r="K25" s="1"/>
      <c r="L25" s="1"/>
      <c r="M25" s="1"/>
    </row>
    <row r="26" spans="3:13">
      <c r="C26" s="1">
        <v>67</v>
      </c>
      <c r="D26" s="1"/>
      <c r="E26" s="1"/>
      <c r="F26" s="1"/>
      <c r="G26" s="1"/>
      <c r="H26" s="1">
        <v>1</v>
      </c>
      <c r="I26" s="1"/>
      <c r="J26" s="1"/>
      <c r="K26" s="1"/>
      <c r="L26" s="1"/>
      <c r="M26" s="1"/>
    </row>
    <row r="27" spans="3:13">
      <c r="C27" s="1">
        <v>59</v>
      </c>
      <c r="D27" s="1"/>
      <c r="E27" s="1"/>
      <c r="F27" s="1"/>
      <c r="G27" s="1"/>
      <c r="H27" s="1">
        <v>1</v>
      </c>
      <c r="I27" s="1"/>
      <c r="J27" s="1"/>
      <c r="K27" s="1"/>
      <c r="L27" s="1"/>
      <c r="M27" s="1"/>
    </row>
    <row r="28" spans="3:13">
      <c r="C28" s="1">
        <v>58</v>
      </c>
      <c r="D28" s="1"/>
      <c r="E28" s="1"/>
      <c r="F28" s="1"/>
      <c r="G28" s="1"/>
      <c r="H28" s="1">
        <v>1</v>
      </c>
      <c r="I28" s="1"/>
      <c r="J28" s="1"/>
      <c r="K28" s="1"/>
      <c r="L28" s="1"/>
      <c r="M28" s="1"/>
    </row>
    <row r="29" spans="3:13">
      <c r="C29" s="1">
        <v>62</v>
      </c>
      <c r="D29" s="1"/>
      <c r="E29" s="1"/>
      <c r="F29" s="1"/>
      <c r="G29" s="1"/>
      <c r="H29" s="1"/>
      <c r="I29" s="1">
        <v>1</v>
      </c>
      <c r="J29" s="1"/>
      <c r="K29" s="1"/>
      <c r="L29" s="1"/>
      <c r="M29" s="1"/>
    </row>
    <row r="30" spans="3:13">
      <c r="C30" s="1">
        <v>65</v>
      </c>
      <c r="D30" s="1"/>
      <c r="E30" s="1"/>
      <c r="F30" s="1"/>
      <c r="G30" s="1"/>
      <c r="H30" s="1"/>
      <c r="I30" s="1">
        <v>1</v>
      </c>
      <c r="J30" s="1"/>
      <c r="K30" s="1"/>
      <c r="L30" s="1"/>
      <c r="M30" s="1"/>
    </row>
    <row r="31" spans="3:13">
      <c r="C31" s="1">
        <v>67</v>
      </c>
      <c r="D31" s="1"/>
      <c r="E31" s="1"/>
      <c r="F31" s="1"/>
      <c r="G31" s="1"/>
      <c r="H31" s="1"/>
      <c r="I31" s="1">
        <v>1</v>
      </c>
      <c r="J31" s="1"/>
      <c r="K31" s="1"/>
      <c r="L31" s="1"/>
      <c r="M31" s="1"/>
    </row>
    <row r="32" spans="3:13">
      <c r="C32" s="1">
        <v>68</v>
      </c>
      <c r="D32" s="1"/>
      <c r="E32" s="1"/>
      <c r="F32" s="1"/>
      <c r="G32" s="1"/>
      <c r="H32" s="1"/>
      <c r="I32" s="1">
        <v>1</v>
      </c>
      <c r="J32" s="1"/>
      <c r="K32" s="1"/>
      <c r="L32" s="1"/>
      <c r="M32" s="1"/>
    </row>
    <row r="33" spans="3:13">
      <c r="C33" s="1">
        <v>69</v>
      </c>
      <c r="D33" s="1"/>
      <c r="E33" s="1"/>
      <c r="F33" s="1"/>
      <c r="G33" s="1"/>
      <c r="H33" s="1"/>
      <c r="I33" s="1">
        <v>1</v>
      </c>
      <c r="J33" s="1"/>
      <c r="K33" s="1"/>
      <c r="L33" s="1"/>
      <c r="M33" s="1"/>
    </row>
    <row r="34" spans="3:13">
      <c r="C34" s="1">
        <v>67</v>
      </c>
      <c r="D34" s="1"/>
      <c r="E34" s="1"/>
      <c r="F34" s="1"/>
      <c r="G34" s="1"/>
      <c r="H34" s="1"/>
      <c r="I34" s="1"/>
      <c r="J34" s="1">
        <v>1</v>
      </c>
      <c r="K34" s="1"/>
      <c r="L34" s="1"/>
      <c r="M34" s="1"/>
    </row>
    <row r="35" spans="3:13">
      <c r="C35" s="1">
        <v>71</v>
      </c>
      <c r="D35" s="1"/>
      <c r="E35" s="1"/>
      <c r="F35" s="1"/>
      <c r="G35" s="1"/>
      <c r="H35" s="1"/>
      <c r="I35" s="1"/>
      <c r="J35" s="1">
        <v>1</v>
      </c>
      <c r="K35" s="1"/>
      <c r="L35" s="1"/>
      <c r="M35" s="1"/>
    </row>
    <row r="36" spans="3:13">
      <c r="C36" s="1">
        <v>69</v>
      </c>
      <c r="D36" s="1"/>
      <c r="E36" s="1"/>
      <c r="F36" s="1"/>
      <c r="G36" s="1"/>
      <c r="H36" s="1"/>
      <c r="I36" s="1"/>
      <c r="J36" s="1">
        <v>1</v>
      </c>
      <c r="K36" s="1"/>
      <c r="L36" s="1"/>
      <c r="M36" s="1"/>
    </row>
    <row r="37" spans="3:13">
      <c r="C37" s="1">
        <v>68</v>
      </c>
      <c r="D37" s="1"/>
      <c r="E37" s="1"/>
      <c r="F37" s="1"/>
      <c r="G37" s="1"/>
      <c r="H37" s="1"/>
      <c r="I37" s="1"/>
      <c r="J37" s="1">
        <v>1</v>
      </c>
      <c r="K37" s="1"/>
      <c r="L37" s="1"/>
      <c r="M37" s="1"/>
    </row>
    <row r="38" spans="3:13">
      <c r="C38" s="1">
        <v>68</v>
      </c>
      <c r="D38" s="1"/>
      <c r="E38" s="1"/>
      <c r="F38" s="1"/>
      <c r="G38" s="1"/>
      <c r="H38" s="1"/>
      <c r="I38" s="1"/>
      <c r="J38" s="1">
        <v>1</v>
      </c>
      <c r="K38" s="1"/>
      <c r="L38" s="1"/>
      <c r="M38" s="1"/>
    </row>
    <row r="39" spans="3:13">
      <c r="C39" s="1">
        <v>73</v>
      </c>
      <c r="D39" s="1"/>
      <c r="E39" s="1"/>
      <c r="F39" s="1"/>
      <c r="G39" s="1"/>
      <c r="H39" s="1"/>
      <c r="I39" s="1"/>
      <c r="J39" s="1"/>
      <c r="K39" s="1">
        <v>1</v>
      </c>
      <c r="L39" s="1"/>
      <c r="M39" s="1"/>
    </row>
    <row r="40" spans="3:13">
      <c r="C40" s="1">
        <v>72</v>
      </c>
      <c r="D40" s="1"/>
      <c r="E40" s="1"/>
      <c r="F40" s="1"/>
      <c r="G40" s="1"/>
      <c r="H40" s="1"/>
      <c r="I40" s="1"/>
      <c r="J40" s="1"/>
      <c r="K40" s="1">
        <v>1</v>
      </c>
      <c r="L40" s="1"/>
      <c r="M40" s="1"/>
    </row>
    <row r="41" spans="3:13">
      <c r="C41" s="1">
        <v>69</v>
      </c>
      <c r="D41" s="1"/>
      <c r="E41" s="1"/>
      <c r="F41" s="1"/>
      <c r="G41" s="1"/>
      <c r="H41" s="1"/>
      <c r="I41" s="1"/>
      <c r="J41" s="1"/>
      <c r="K41" s="1">
        <v>1</v>
      </c>
      <c r="L41" s="1"/>
      <c r="M41" s="1"/>
    </row>
    <row r="42" spans="3:13">
      <c r="C42" s="1">
        <v>75</v>
      </c>
      <c r="D42" s="1"/>
      <c r="E42" s="1"/>
      <c r="F42" s="1"/>
      <c r="G42" s="1"/>
      <c r="H42" s="1"/>
      <c r="I42" s="1"/>
      <c r="J42" s="1"/>
      <c r="K42" s="1">
        <v>1</v>
      </c>
      <c r="L42" s="1"/>
      <c r="M42" s="1"/>
    </row>
    <row r="43" spans="3:13">
      <c r="C43" s="1">
        <v>71</v>
      </c>
      <c r="D43" s="1"/>
      <c r="E43" s="1"/>
      <c r="F43" s="1"/>
      <c r="G43" s="1"/>
      <c r="H43" s="1"/>
      <c r="I43" s="1"/>
      <c r="J43" s="1"/>
      <c r="K43" s="1">
        <v>1</v>
      </c>
      <c r="L43" s="1"/>
      <c r="M43" s="1"/>
    </row>
    <row r="44" spans="3:13">
      <c r="C44" s="1">
        <v>73</v>
      </c>
      <c r="D44" s="1"/>
      <c r="E44" s="1"/>
      <c r="F44" s="1"/>
      <c r="G44" s="1"/>
      <c r="H44" s="1"/>
      <c r="I44" s="1"/>
      <c r="J44" s="1"/>
      <c r="K44" s="1"/>
      <c r="L44" s="1">
        <v>1</v>
      </c>
      <c r="M44" s="1"/>
    </row>
    <row r="45" spans="3:13">
      <c r="C45" s="1">
        <v>75</v>
      </c>
      <c r="D45" s="1"/>
      <c r="E45" s="1"/>
      <c r="F45" s="1"/>
      <c r="G45" s="1"/>
      <c r="H45" s="1"/>
      <c r="I45" s="1"/>
      <c r="J45" s="1"/>
      <c r="K45" s="1"/>
      <c r="L45" s="1">
        <v>1</v>
      </c>
      <c r="M45" s="1"/>
    </row>
    <row r="46" spans="3:13">
      <c r="C46" s="1">
        <v>78</v>
      </c>
      <c r="D46" s="1"/>
      <c r="E46" s="1"/>
      <c r="F46" s="1"/>
      <c r="G46" s="1"/>
      <c r="H46" s="1"/>
      <c r="I46" s="1"/>
      <c r="J46" s="1"/>
      <c r="K46" s="1"/>
      <c r="L46" s="1">
        <v>1</v>
      </c>
      <c r="M46" s="1"/>
    </row>
    <row r="47" spans="3:13">
      <c r="C47" s="1">
        <v>79</v>
      </c>
      <c r="D47" s="1"/>
      <c r="E47" s="1"/>
      <c r="F47" s="1"/>
      <c r="G47" s="1"/>
      <c r="H47" s="1"/>
      <c r="I47" s="1"/>
      <c r="J47" s="1"/>
      <c r="K47" s="1"/>
      <c r="L47" s="1">
        <v>1</v>
      </c>
      <c r="M47" s="1"/>
    </row>
    <row r="48" spans="3:13">
      <c r="C48" s="1">
        <v>80</v>
      </c>
      <c r="D48" s="1"/>
      <c r="E48" s="1"/>
      <c r="F48" s="1"/>
      <c r="G48" s="1"/>
      <c r="H48" s="1"/>
      <c r="I48" s="1"/>
      <c r="J48" s="1"/>
      <c r="K48" s="1"/>
      <c r="L48" s="1">
        <v>0</v>
      </c>
      <c r="M48" s="1"/>
    </row>
    <row r="49" spans="3:13">
      <c r="C49" s="1">
        <v>52</v>
      </c>
      <c r="D49" s="1"/>
      <c r="E49" s="1"/>
      <c r="F49" s="1"/>
      <c r="G49" s="1"/>
      <c r="H49" s="1"/>
      <c r="I49" s="1"/>
      <c r="J49" s="1"/>
      <c r="K49" s="1"/>
      <c r="L49" s="1"/>
      <c r="M49" s="1">
        <v>1</v>
      </c>
    </row>
    <row r="50" spans="3:13">
      <c r="C50" s="1">
        <v>59</v>
      </c>
      <c r="D50" s="1"/>
      <c r="E50" s="1"/>
      <c r="F50" s="1"/>
      <c r="G50" s="1"/>
      <c r="H50" s="1"/>
      <c r="I50" s="1"/>
      <c r="J50" s="1"/>
      <c r="K50" s="1"/>
      <c r="L50" s="1"/>
      <c r="M50" s="1">
        <v>1</v>
      </c>
    </row>
    <row r="51" spans="3:13">
      <c r="C51" s="1">
        <v>58</v>
      </c>
      <c r="D51" s="1"/>
      <c r="E51" s="1"/>
      <c r="F51" s="1"/>
      <c r="G51" s="1"/>
      <c r="H51" s="1"/>
      <c r="I51" s="1"/>
      <c r="J51" s="1"/>
      <c r="K51" s="1"/>
      <c r="L51" s="1"/>
      <c r="M51" s="1">
        <v>1</v>
      </c>
    </row>
    <row r="52" spans="3:13">
      <c r="C52" s="1">
        <v>62</v>
      </c>
      <c r="D52" s="1"/>
      <c r="E52" s="1"/>
      <c r="F52" s="1"/>
      <c r="G52" s="1"/>
      <c r="H52" s="1"/>
      <c r="I52" s="1"/>
      <c r="J52" s="1"/>
      <c r="K52" s="1"/>
      <c r="L52" s="1"/>
      <c r="M52" s="1">
        <v>1</v>
      </c>
    </row>
    <row r="53" spans="3:13">
      <c r="C53" s="1">
        <v>61</v>
      </c>
      <c r="D53" s="1"/>
      <c r="E53" s="1"/>
      <c r="F53" s="1"/>
      <c r="G53" s="1"/>
      <c r="H53" s="1"/>
      <c r="I53" s="1"/>
      <c r="J53" s="1"/>
      <c r="K53" s="1"/>
      <c r="L53" s="1"/>
      <c r="M53" s="1">
        <v>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0EFF-FE98-45C2-A0AE-8438905F8471}">
  <dimension ref="B4:T8"/>
  <sheetViews>
    <sheetView workbookViewId="0">
      <selection activeCell="L18" sqref="L18"/>
    </sheetView>
  </sheetViews>
  <sheetFormatPr defaultRowHeight="14.4"/>
  <sheetData>
    <row r="4" spans="2:20">
      <c r="B4" s="2"/>
      <c r="C4" s="39" t="s">
        <v>22</v>
      </c>
      <c r="D4" s="39"/>
      <c r="E4" s="39"/>
      <c r="F4" s="39" t="s">
        <v>270</v>
      </c>
      <c r="G4" s="39"/>
      <c r="H4" s="39"/>
      <c r="I4" s="39" t="s">
        <v>271</v>
      </c>
      <c r="J4" s="39"/>
      <c r="K4" s="39"/>
      <c r="L4" s="39" t="s">
        <v>272</v>
      </c>
      <c r="M4" s="39"/>
      <c r="N4" s="39"/>
      <c r="O4" s="39" t="s">
        <v>273</v>
      </c>
      <c r="P4" s="39"/>
      <c r="Q4" s="39"/>
      <c r="R4" s="39" t="s">
        <v>238</v>
      </c>
      <c r="S4" s="39"/>
      <c r="T4" s="39"/>
    </row>
    <row r="5" spans="2:20">
      <c r="B5" s="3">
        <v>0</v>
      </c>
      <c r="C5" s="1">
        <v>83.09</v>
      </c>
      <c r="D5" s="1">
        <v>86.66</v>
      </c>
      <c r="E5" s="1">
        <v>84.14</v>
      </c>
      <c r="F5" s="1">
        <v>88.43</v>
      </c>
      <c r="G5" s="1">
        <v>81.91</v>
      </c>
      <c r="H5" s="1">
        <v>80.650000000000006</v>
      </c>
      <c r="I5" s="1">
        <v>80.150000000000006</v>
      </c>
      <c r="J5" s="1">
        <v>88.32</v>
      </c>
      <c r="K5" s="1">
        <v>78.709999999999994</v>
      </c>
      <c r="L5" s="1">
        <v>89.59</v>
      </c>
      <c r="M5" s="1">
        <v>81.22</v>
      </c>
      <c r="N5" s="1">
        <v>85.53</v>
      </c>
      <c r="O5" s="1">
        <v>99.29</v>
      </c>
      <c r="P5" s="1">
        <v>80.650000000000006</v>
      </c>
      <c r="Q5" s="1">
        <v>82.03</v>
      </c>
      <c r="R5" s="1">
        <v>82.92</v>
      </c>
      <c r="S5" s="1">
        <v>86.06</v>
      </c>
      <c r="T5" s="1">
        <v>83.83</v>
      </c>
    </row>
    <row r="6" spans="2:20">
      <c r="B6" s="3">
        <v>12</v>
      </c>
      <c r="C6" s="1">
        <v>122.52</v>
      </c>
      <c r="D6" s="1">
        <v>140.37</v>
      </c>
      <c r="E6" s="1">
        <v>106.41</v>
      </c>
      <c r="F6" s="1">
        <v>157.25</v>
      </c>
      <c r="G6" s="1">
        <v>162.41</v>
      </c>
      <c r="H6" s="1">
        <v>148.68</v>
      </c>
      <c r="I6" s="1">
        <v>169.58</v>
      </c>
      <c r="J6" s="1">
        <v>172.37</v>
      </c>
      <c r="K6" s="1">
        <v>168.33</v>
      </c>
      <c r="L6" s="1">
        <v>172.63</v>
      </c>
      <c r="M6" s="1">
        <v>160.84</v>
      </c>
      <c r="N6" s="1">
        <v>169.38</v>
      </c>
      <c r="O6" s="1">
        <v>154.54</v>
      </c>
      <c r="P6" s="1">
        <v>140.66999999999999</v>
      </c>
      <c r="Q6" s="1">
        <v>169.6</v>
      </c>
      <c r="R6" s="1">
        <v>160.47</v>
      </c>
      <c r="S6" s="1">
        <v>167.35</v>
      </c>
      <c r="T6" s="1">
        <v>151.49</v>
      </c>
    </row>
    <row r="7" spans="2:20">
      <c r="B7" s="3">
        <v>24</v>
      </c>
      <c r="C7" s="1">
        <v>169.4</v>
      </c>
      <c r="D7" s="1">
        <v>190.9</v>
      </c>
      <c r="E7" s="1">
        <v>137.30000000000001</v>
      </c>
      <c r="F7" s="1">
        <v>184.7</v>
      </c>
      <c r="G7" s="1">
        <v>181.6</v>
      </c>
      <c r="H7" s="1">
        <v>193.1</v>
      </c>
      <c r="I7" s="1">
        <v>175.7</v>
      </c>
      <c r="J7" s="1">
        <v>171.3</v>
      </c>
      <c r="K7" s="1">
        <v>174.3</v>
      </c>
      <c r="L7" s="1">
        <v>213.2</v>
      </c>
      <c r="M7" s="1">
        <v>209.2</v>
      </c>
      <c r="N7" s="1">
        <v>205.6</v>
      </c>
      <c r="O7" s="1">
        <v>181.1</v>
      </c>
      <c r="P7" s="1">
        <v>192.6</v>
      </c>
      <c r="Q7" s="1">
        <v>204.7</v>
      </c>
      <c r="R7" s="1">
        <v>193.6</v>
      </c>
      <c r="S7" s="1">
        <v>208.4</v>
      </c>
      <c r="T7" s="1">
        <v>214.1</v>
      </c>
    </row>
    <row r="8" spans="2:20">
      <c r="B8" s="3">
        <v>48</v>
      </c>
      <c r="C8" s="1">
        <v>221.3</v>
      </c>
      <c r="D8" s="1">
        <v>281.8</v>
      </c>
      <c r="E8" s="1">
        <v>205.3</v>
      </c>
      <c r="F8" s="1">
        <v>406.1</v>
      </c>
      <c r="G8" s="1">
        <v>446.1</v>
      </c>
      <c r="H8" s="1">
        <v>419.5</v>
      </c>
      <c r="I8" s="1">
        <v>374.6</v>
      </c>
      <c r="J8" s="1">
        <v>356.6</v>
      </c>
      <c r="K8" s="1">
        <v>329.5</v>
      </c>
      <c r="L8" s="1">
        <v>432.2</v>
      </c>
      <c r="M8" s="1">
        <v>411.1</v>
      </c>
      <c r="N8" s="1">
        <v>376.4</v>
      </c>
      <c r="O8" s="1">
        <v>413.2</v>
      </c>
      <c r="P8" s="1">
        <v>446.4</v>
      </c>
      <c r="Q8" s="1">
        <v>453.2</v>
      </c>
      <c r="R8" s="1">
        <v>404.3</v>
      </c>
      <c r="S8" s="1">
        <v>393.2</v>
      </c>
      <c r="T8" s="1">
        <v>427.7</v>
      </c>
    </row>
  </sheetData>
  <mergeCells count="6">
    <mergeCell ref="R4:T4"/>
    <mergeCell ref="C4:E4"/>
    <mergeCell ref="F4:H4"/>
    <mergeCell ref="I4:K4"/>
    <mergeCell ref="L4:N4"/>
    <mergeCell ref="O4:Q4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7E1D3-C559-4ED2-A758-DAE84CB36A52}">
  <dimension ref="D6:M9"/>
  <sheetViews>
    <sheetView workbookViewId="0">
      <selection activeCell="O19" sqref="O19"/>
    </sheetView>
  </sheetViews>
  <sheetFormatPr defaultRowHeight="14.4"/>
  <sheetData>
    <row r="6" spans="4:13">
      <c r="D6" s="2"/>
      <c r="E6" s="39" t="s">
        <v>16</v>
      </c>
      <c r="F6" s="39"/>
      <c r="G6" s="39"/>
      <c r="H6" s="39" t="s">
        <v>17</v>
      </c>
      <c r="I6" s="39"/>
      <c r="J6" s="39"/>
      <c r="K6" s="39" t="s">
        <v>15</v>
      </c>
      <c r="L6" s="39"/>
      <c r="M6" s="39"/>
    </row>
    <row r="7" spans="4:13">
      <c r="D7" s="3">
        <v>0</v>
      </c>
      <c r="E7" s="1">
        <v>102.7</v>
      </c>
      <c r="F7" s="1">
        <v>125.4</v>
      </c>
      <c r="G7" s="1">
        <v>112.4</v>
      </c>
      <c r="H7" s="1">
        <v>139.19999999999999</v>
      </c>
      <c r="I7" s="1">
        <v>117.4</v>
      </c>
      <c r="J7" s="1">
        <v>140.9</v>
      </c>
      <c r="K7" s="1">
        <v>102.7</v>
      </c>
      <c r="L7" s="1">
        <v>115.4</v>
      </c>
      <c r="M7" s="1">
        <v>112.4</v>
      </c>
    </row>
    <row r="8" spans="4:13">
      <c r="D8" s="3">
        <v>12</v>
      </c>
      <c r="E8" s="1">
        <v>157.69999999999999</v>
      </c>
      <c r="F8" s="1">
        <v>131.4</v>
      </c>
      <c r="G8" s="1">
        <v>162.4</v>
      </c>
      <c r="H8" s="1">
        <v>157.19999999999999</v>
      </c>
      <c r="I8" s="1">
        <v>166.4</v>
      </c>
      <c r="J8" s="1">
        <v>147.9</v>
      </c>
      <c r="K8" s="1">
        <v>159.6</v>
      </c>
      <c r="L8" s="1">
        <v>158</v>
      </c>
      <c r="M8" s="1">
        <v>146.19999999999999</v>
      </c>
    </row>
    <row r="9" spans="4:13">
      <c r="D9" s="3">
        <v>24</v>
      </c>
      <c r="E9" s="1">
        <v>185.3</v>
      </c>
      <c r="F9" s="1">
        <v>162.4</v>
      </c>
      <c r="G9" s="1">
        <v>171.5</v>
      </c>
      <c r="H9" s="1">
        <v>157.19999999999999</v>
      </c>
      <c r="I9" s="1">
        <v>176.4</v>
      </c>
      <c r="J9" s="1">
        <v>167.9</v>
      </c>
      <c r="K9" s="1">
        <v>195.6</v>
      </c>
      <c r="L9" s="1">
        <v>178</v>
      </c>
      <c r="M9" s="1">
        <v>170.2</v>
      </c>
    </row>
  </sheetData>
  <mergeCells count="3">
    <mergeCell ref="E6:G6"/>
    <mergeCell ref="H6:J6"/>
    <mergeCell ref="K6:M6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A91F-E144-4A39-8EC1-B54871DBA7FF}">
  <dimension ref="D5:S13"/>
  <sheetViews>
    <sheetView workbookViewId="0">
      <selection activeCell="D6" sqref="D6:S14"/>
    </sheetView>
  </sheetViews>
  <sheetFormatPr defaultRowHeight="14.4"/>
  <sheetData>
    <row r="5" spans="4:19">
      <c r="D5" s="2"/>
      <c r="E5" s="39" t="s">
        <v>198</v>
      </c>
      <c r="F5" s="39"/>
      <c r="G5" s="39"/>
      <c r="H5" s="39" t="s">
        <v>199</v>
      </c>
      <c r="I5" s="39"/>
      <c r="J5" s="39"/>
      <c r="K5" s="39" t="s">
        <v>200</v>
      </c>
      <c r="L5" s="39"/>
      <c r="M5" s="39"/>
      <c r="N5" s="39" t="s">
        <v>201</v>
      </c>
      <c r="O5" s="39"/>
      <c r="P5" s="39"/>
      <c r="Q5" s="39" t="s">
        <v>202</v>
      </c>
      <c r="R5" s="39"/>
      <c r="S5" s="39"/>
    </row>
    <row r="6" spans="4:19">
      <c r="D6" s="1">
        <v>1</v>
      </c>
      <c r="E6" s="1">
        <v>102.4</v>
      </c>
      <c r="F6" s="1">
        <v>99.2</v>
      </c>
      <c r="G6" s="1">
        <v>105.3</v>
      </c>
      <c r="H6" s="1">
        <v>165.4</v>
      </c>
      <c r="I6" s="1">
        <v>134.69999999999999</v>
      </c>
      <c r="J6" s="1">
        <v>146.69999999999999</v>
      </c>
      <c r="K6" s="1">
        <v>189.6</v>
      </c>
      <c r="L6" s="1">
        <v>173.2</v>
      </c>
      <c r="M6" s="1">
        <v>192.4</v>
      </c>
      <c r="N6" s="1">
        <v>208.3</v>
      </c>
      <c r="O6" s="1">
        <v>212.7</v>
      </c>
      <c r="P6" s="1">
        <v>199.3</v>
      </c>
      <c r="Q6" s="1">
        <v>223.5</v>
      </c>
      <c r="R6" s="1">
        <v>243.1</v>
      </c>
      <c r="S6" s="1">
        <v>229.8</v>
      </c>
    </row>
    <row r="7" spans="4:19">
      <c r="D7" s="1">
        <v>3</v>
      </c>
      <c r="E7" s="1">
        <v>105.6</v>
      </c>
      <c r="F7" s="1">
        <v>100.2</v>
      </c>
      <c r="G7" s="1">
        <v>108.6</v>
      </c>
      <c r="H7" s="1">
        <v>172.3</v>
      </c>
      <c r="I7" s="1">
        <v>142.6</v>
      </c>
      <c r="J7" s="1">
        <v>152.4</v>
      </c>
      <c r="K7" s="1">
        <v>196.3</v>
      </c>
      <c r="L7" s="1">
        <v>182.4</v>
      </c>
      <c r="M7" s="1">
        <v>207.1</v>
      </c>
      <c r="N7" s="1">
        <v>211.4</v>
      </c>
      <c r="O7" s="1">
        <v>222.8</v>
      </c>
      <c r="P7" s="1">
        <v>208.7</v>
      </c>
      <c r="Q7" s="1">
        <v>229.8</v>
      </c>
      <c r="R7" s="1">
        <v>251.4</v>
      </c>
      <c r="S7" s="1">
        <v>237.4</v>
      </c>
    </row>
    <row r="8" spans="4:19">
      <c r="D8" s="1">
        <v>5</v>
      </c>
      <c r="E8" s="1">
        <v>102.3</v>
      </c>
      <c r="F8" s="1">
        <v>106.8</v>
      </c>
      <c r="G8" s="1">
        <v>94.2</v>
      </c>
      <c r="H8" s="1">
        <v>182.6</v>
      </c>
      <c r="I8" s="1">
        <v>153.1</v>
      </c>
      <c r="J8" s="1">
        <v>155.4</v>
      </c>
      <c r="K8" s="1">
        <v>208.6</v>
      </c>
      <c r="L8" s="1">
        <v>196.5</v>
      </c>
      <c r="M8" s="1">
        <v>217.5</v>
      </c>
      <c r="N8" s="1">
        <v>225.7</v>
      </c>
      <c r="O8" s="1">
        <v>234.7</v>
      </c>
      <c r="P8" s="1">
        <v>216.8</v>
      </c>
      <c r="Q8" s="1">
        <v>234.5</v>
      </c>
      <c r="R8" s="1">
        <v>262.10000000000002</v>
      </c>
      <c r="S8" s="1">
        <v>241.7</v>
      </c>
    </row>
    <row r="9" spans="4:19">
      <c r="D9" s="1">
        <v>7</v>
      </c>
      <c r="E9" s="1">
        <v>100.8</v>
      </c>
      <c r="F9" s="1">
        <v>103.6</v>
      </c>
      <c r="G9" s="1">
        <v>97.5</v>
      </c>
      <c r="H9" s="1">
        <v>191.3</v>
      </c>
      <c r="I9" s="1">
        <v>167.4</v>
      </c>
      <c r="J9" s="1">
        <v>162.4</v>
      </c>
      <c r="K9" s="1">
        <v>212.9</v>
      </c>
      <c r="L9" s="1">
        <v>207.5</v>
      </c>
      <c r="M9" s="1">
        <v>224.6</v>
      </c>
      <c r="N9" s="1">
        <v>234.1</v>
      </c>
      <c r="O9" s="1">
        <v>248.7</v>
      </c>
      <c r="P9" s="1">
        <v>226.4</v>
      </c>
      <c r="Q9" s="1">
        <v>241.8</v>
      </c>
      <c r="R9" s="1">
        <v>271.39999999999998</v>
      </c>
      <c r="S9" s="1">
        <v>252.4</v>
      </c>
    </row>
    <row r="10" spans="4:19">
      <c r="D10" s="1">
        <v>9</v>
      </c>
      <c r="E10" s="1">
        <v>107.5</v>
      </c>
      <c r="F10" s="1">
        <v>112.3</v>
      </c>
      <c r="G10" s="1">
        <v>102</v>
      </c>
      <c r="H10" s="1">
        <v>199.3</v>
      </c>
      <c r="I10" s="1">
        <v>172.4</v>
      </c>
      <c r="J10" s="1">
        <v>175.4</v>
      </c>
      <c r="K10" s="1">
        <v>225.7</v>
      </c>
      <c r="L10" s="1">
        <v>218.7</v>
      </c>
      <c r="M10" s="1">
        <v>236.5</v>
      </c>
      <c r="N10" s="1">
        <v>246.5</v>
      </c>
      <c r="O10" s="1">
        <v>252.4</v>
      </c>
      <c r="P10" s="1">
        <v>237.4</v>
      </c>
      <c r="Q10" s="1">
        <v>248.2</v>
      </c>
      <c r="R10" s="1">
        <v>283.39999999999998</v>
      </c>
      <c r="S10" s="1">
        <v>261.7</v>
      </c>
    </row>
    <row r="11" spans="4:19">
      <c r="D11" s="1">
        <v>11</v>
      </c>
      <c r="E11" s="1">
        <v>106.4</v>
      </c>
      <c r="F11" s="1">
        <v>109.6</v>
      </c>
      <c r="G11" s="1">
        <v>104.1</v>
      </c>
      <c r="H11" s="1">
        <v>203.4</v>
      </c>
      <c r="I11" s="1">
        <v>185.4</v>
      </c>
      <c r="J11" s="1">
        <v>184.2</v>
      </c>
      <c r="K11" s="1">
        <v>231.4</v>
      </c>
      <c r="L11" s="1">
        <v>226.5</v>
      </c>
      <c r="M11" s="1">
        <v>248.7</v>
      </c>
      <c r="N11" s="1">
        <v>251.4</v>
      </c>
      <c r="O11" s="1">
        <v>261.39999999999998</v>
      </c>
      <c r="P11" s="1">
        <v>243.1</v>
      </c>
      <c r="Q11" s="1">
        <v>251.4</v>
      </c>
      <c r="R11" s="1">
        <v>288.7</v>
      </c>
      <c r="S11" s="1">
        <v>268.89999999999998</v>
      </c>
    </row>
    <row r="12" spans="4:19">
      <c r="D12" s="1">
        <v>13</v>
      </c>
      <c r="E12" s="1">
        <v>102.4</v>
      </c>
      <c r="F12" s="1">
        <v>106.4</v>
      </c>
      <c r="G12" s="1">
        <v>98.4</v>
      </c>
      <c r="H12" s="1">
        <v>224.7</v>
      </c>
      <c r="I12" s="1">
        <v>198.7</v>
      </c>
      <c r="J12" s="1">
        <v>191.4</v>
      </c>
      <c r="K12" s="1">
        <v>258.89999999999998</v>
      </c>
      <c r="L12" s="1">
        <v>238.7</v>
      </c>
      <c r="M12" s="1">
        <v>254.9</v>
      </c>
      <c r="N12" s="1">
        <v>268.7</v>
      </c>
      <c r="O12" s="1">
        <v>271.3</v>
      </c>
      <c r="P12" s="1">
        <v>256.39999999999998</v>
      </c>
      <c r="Q12" s="1">
        <v>268.7</v>
      </c>
      <c r="R12" s="1">
        <v>291.39999999999998</v>
      </c>
      <c r="S12" s="1">
        <v>274.10000000000002</v>
      </c>
    </row>
    <row r="13" spans="4:19">
      <c r="D13" s="1">
        <v>15</v>
      </c>
      <c r="E13" s="1">
        <v>104.6</v>
      </c>
      <c r="F13" s="1">
        <v>108.26</v>
      </c>
      <c r="G13" s="1">
        <v>100.2</v>
      </c>
      <c r="H13" s="1">
        <v>241.5</v>
      </c>
      <c r="I13" s="1">
        <v>209.7</v>
      </c>
      <c r="J13" s="1">
        <v>208.4</v>
      </c>
      <c r="K13" s="1">
        <v>278.10000000000002</v>
      </c>
      <c r="L13" s="1">
        <v>246.5</v>
      </c>
      <c r="M13" s="1">
        <v>268.2</v>
      </c>
      <c r="N13" s="1">
        <v>272.60000000000002</v>
      </c>
      <c r="O13" s="1">
        <v>286.5</v>
      </c>
      <c r="P13" s="1">
        <v>274.10000000000002</v>
      </c>
      <c r="Q13" s="1">
        <v>273</v>
      </c>
      <c r="R13" s="1">
        <v>296.5</v>
      </c>
      <c r="S13" s="1">
        <v>283.60000000000002</v>
      </c>
    </row>
  </sheetData>
  <mergeCells count="5">
    <mergeCell ref="E5:G5"/>
    <mergeCell ref="H5:J5"/>
    <mergeCell ref="K5:M5"/>
    <mergeCell ref="N5:P5"/>
    <mergeCell ref="Q5:S5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1768-1900-45BE-812E-B4D7E067D6B4}">
  <dimension ref="D6:S14"/>
  <sheetViews>
    <sheetView workbookViewId="0">
      <selection activeCell="D6" sqref="D6:S14"/>
    </sheetView>
  </sheetViews>
  <sheetFormatPr defaultRowHeight="14.4"/>
  <sheetData>
    <row r="6" spans="4:19">
      <c r="D6" s="2"/>
      <c r="E6" s="39" t="s">
        <v>198</v>
      </c>
      <c r="F6" s="39"/>
      <c r="G6" s="39"/>
      <c r="H6" s="39" t="s">
        <v>199</v>
      </c>
      <c r="I6" s="39"/>
      <c r="J6" s="39"/>
      <c r="K6" s="39" t="s">
        <v>200</v>
      </c>
      <c r="L6" s="39"/>
      <c r="M6" s="39"/>
      <c r="N6" s="39" t="s">
        <v>201</v>
      </c>
      <c r="O6" s="39"/>
      <c r="P6" s="39"/>
      <c r="Q6" s="39" t="s">
        <v>202</v>
      </c>
      <c r="R6" s="39"/>
      <c r="S6" s="39"/>
    </row>
    <row r="7" spans="4:19">
      <c r="D7" s="1">
        <v>1</v>
      </c>
      <c r="E7" s="1">
        <v>-33.1</v>
      </c>
      <c r="F7" s="1">
        <v>-30.2</v>
      </c>
      <c r="G7" s="1">
        <v>-36.5</v>
      </c>
      <c r="H7" s="1">
        <v>-22.6</v>
      </c>
      <c r="I7" s="1">
        <v>-25.4</v>
      </c>
      <c r="J7" s="1">
        <v>-28.7</v>
      </c>
      <c r="K7" s="1">
        <v>-24.6</v>
      </c>
      <c r="L7" s="1">
        <v>-20.100000000000001</v>
      </c>
      <c r="M7" s="1">
        <v>-26.8</v>
      </c>
      <c r="N7" s="1">
        <v>-35.4</v>
      </c>
      <c r="O7" s="1">
        <v>-28.7</v>
      </c>
      <c r="P7" s="1">
        <v>-26.9</v>
      </c>
      <c r="Q7" s="1">
        <v>-28.7</v>
      </c>
      <c r="R7" s="1">
        <v>-23.4</v>
      </c>
      <c r="S7" s="1">
        <v>-30.1</v>
      </c>
    </row>
    <row r="8" spans="4:19">
      <c r="D8" s="1">
        <v>3</v>
      </c>
      <c r="E8" s="1">
        <v>-35.799999999999997</v>
      </c>
      <c r="F8" s="1">
        <v>-31.5</v>
      </c>
      <c r="G8" s="1">
        <v>-39.799999999999997</v>
      </c>
      <c r="H8" s="1">
        <v>-18.899999999999999</v>
      </c>
      <c r="I8" s="1">
        <v>-22.1</v>
      </c>
      <c r="J8" s="1">
        <v>-26.7</v>
      </c>
      <c r="K8" s="1">
        <v>-22.7</v>
      </c>
      <c r="L8" s="1">
        <v>-16.8</v>
      </c>
      <c r="M8" s="1">
        <v>-20.7</v>
      </c>
      <c r="N8" s="1">
        <v>-32.4</v>
      </c>
      <c r="O8" s="1">
        <v>-25.4</v>
      </c>
      <c r="P8" s="1">
        <v>-24.6</v>
      </c>
      <c r="Q8" s="1">
        <v>-26.8</v>
      </c>
      <c r="R8" s="1">
        <v>-24.7</v>
      </c>
      <c r="S8" s="1">
        <v>-29.9</v>
      </c>
    </row>
    <row r="9" spans="4:19">
      <c r="D9" s="1">
        <v>5</v>
      </c>
      <c r="E9" s="1">
        <v>-32.1</v>
      </c>
      <c r="F9" s="1">
        <v>-30.1</v>
      </c>
      <c r="G9" s="1">
        <v>-34.799999999999997</v>
      </c>
      <c r="H9" s="1">
        <v>-19.600000000000001</v>
      </c>
      <c r="I9" s="1">
        <v>-20.399999999999999</v>
      </c>
      <c r="J9" s="1">
        <v>-22.8</v>
      </c>
      <c r="K9" s="1">
        <v>-20.7</v>
      </c>
      <c r="L9" s="1">
        <v>-18.600000000000001</v>
      </c>
      <c r="M9" s="1">
        <v>-18.399999999999999</v>
      </c>
      <c r="N9" s="1">
        <v>-31.6</v>
      </c>
      <c r="O9" s="1">
        <v>-24.7</v>
      </c>
      <c r="P9" s="1">
        <v>-23.8</v>
      </c>
      <c r="Q9" s="1">
        <v>-24.7</v>
      </c>
      <c r="R9" s="1">
        <v>-23.6</v>
      </c>
      <c r="S9" s="1">
        <v>-28.7</v>
      </c>
    </row>
    <row r="10" spans="4:19">
      <c r="D10" s="1">
        <v>7</v>
      </c>
      <c r="E10" s="1">
        <v>-30.2</v>
      </c>
      <c r="F10" s="1">
        <v>-34.700000000000003</v>
      </c>
      <c r="G10" s="1">
        <v>-26.8</v>
      </c>
      <c r="H10" s="1">
        <v>-20.2</v>
      </c>
      <c r="I10" s="1">
        <v>-18.7</v>
      </c>
      <c r="J10" s="1">
        <v>-17.600000000000001</v>
      </c>
      <c r="K10" s="1">
        <v>-19.600000000000001</v>
      </c>
      <c r="L10" s="1">
        <v>-18.100000000000001</v>
      </c>
      <c r="M10" s="1">
        <v>-18.600000000000001</v>
      </c>
      <c r="N10" s="1">
        <v>-30.7</v>
      </c>
      <c r="O10" s="1">
        <v>-21.8</v>
      </c>
      <c r="P10" s="1">
        <v>-20.7</v>
      </c>
      <c r="Q10" s="1">
        <v>-23.8</v>
      </c>
      <c r="R10" s="1">
        <v>-22.9</v>
      </c>
      <c r="S10" s="1">
        <v>-28.4</v>
      </c>
    </row>
    <row r="11" spans="4:19">
      <c r="D11" s="1">
        <v>9</v>
      </c>
      <c r="E11" s="1">
        <v>-33.200000000000003</v>
      </c>
      <c r="F11" s="1">
        <v>-38.6</v>
      </c>
      <c r="G11" s="1">
        <v>-28.4</v>
      </c>
      <c r="H11" s="1">
        <v>-22.6</v>
      </c>
      <c r="I11" s="1">
        <v>-21.6</v>
      </c>
      <c r="J11" s="1">
        <v>-19.5</v>
      </c>
      <c r="K11" s="1">
        <v>-20.399999999999999</v>
      </c>
      <c r="L11" s="1">
        <v>-17.399999999999999</v>
      </c>
      <c r="M11" s="1">
        <v>-17.8</v>
      </c>
      <c r="N11" s="1">
        <v>-28.9</v>
      </c>
      <c r="O11" s="1">
        <v>-22.8</v>
      </c>
      <c r="P11" s="1">
        <v>-19.8</v>
      </c>
      <c r="Q11" s="1">
        <v>-22.8</v>
      </c>
      <c r="R11" s="1">
        <v>-23.4</v>
      </c>
      <c r="S11" s="1">
        <v>-27.9</v>
      </c>
    </row>
    <row r="12" spans="4:19">
      <c r="D12" s="1">
        <v>11</v>
      </c>
      <c r="E12" s="1">
        <v>-31.2</v>
      </c>
      <c r="F12" s="1">
        <v>-37.6</v>
      </c>
      <c r="G12" s="1">
        <v>-26.4</v>
      </c>
      <c r="H12" s="1">
        <v>-19.600000000000001</v>
      </c>
      <c r="I12" s="1">
        <v>-24.8</v>
      </c>
      <c r="J12" s="1">
        <v>-21.4</v>
      </c>
      <c r="K12" s="1">
        <v>-18.600000000000001</v>
      </c>
      <c r="L12" s="1">
        <v>-15.7</v>
      </c>
      <c r="M12" s="1">
        <v>-16.899999999999999</v>
      </c>
      <c r="N12" s="1">
        <v>-28.4</v>
      </c>
      <c r="O12" s="1">
        <v>-21.1</v>
      </c>
      <c r="P12" s="1">
        <v>-18.600000000000001</v>
      </c>
      <c r="Q12" s="1">
        <v>-23.4</v>
      </c>
      <c r="R12" s="1">
        <v>-21.6</v>
      </c>
      <c r="S12" s="1">
        <v>-26.4</v>
      </c>
    </row>
    <row r="13" spans="4:19">
      <c r="D13" s="1">
        <v>13</v>
      </c>
      <c r="E13" s="1">
        <v>-30.2</v>
      </c>
      <c r="F13" s="1">
        <v>-34.5</v>
      </c>
      <c r="G13" s="1">
        <v>-26.4</v>
      </c>
      <c r="H13" s="1">
        <v>-20.7</v>
      </c>
      <c r="I13" s="1">
        <v>-22.4</v>
      </c>
      <c r="J13" s="1">
        <v>-19.600000000000001</v>
      </c>
      <c r="K13" s="1">
        <v>-19.399999999999999</v>
      </c>
      <c r="L13" s="1">
        <v>-16.8</v>
      </c>
      <c r="M13" s="1">
        <v>-17.2</v>
      </c>
      <c r="N13" s="1">
        <v>-28.1</v>
      </c>
      <c r="O13" s="1">
        <v>-20.399999999999999</v>
      </c>
      <c r="P13" s="1">
        <v>-18.399999999999999</v>
      </c>
      <c r="Q13" s="1">
        <v>-22.8</v>
      </c>
      <c r="R13" s="1">
        <v>-20.8</v>
      </c>
      <c r="S13" s="1">
        <v>-24.1</v>
      </c>
    </row>
    <row r="14" spans="4:19">
      <c r="D14" s="1">
        <v>15</v>
      </c>
      <c r="E14" s="1">
        <v>-33.5</v>
      </c>
      <c r="F14" s="1">
        <v>-36.6</v>
      </c>
      <c r="G14" s="1">
        <v>-30.1</v>
      </c>
      <c r="H14" s="1">
        <v>-22.7</v>
      </c>
      <c r="I14" s="1">
        <v>-26.5</v>
      </c>
      <c r="J14" s="1">
        <v>-21.7</v>
      </c>
      <c r="K14" s="1">
        <v>-20.100000000000001</v>
      </c>
      <c r="L14" s="1">
        <v>-21.4</v>
      </c>
      <c r="M14" s="1">
        <v>-19.600000000000001</v>
      </c>
      <c r="N14" s="1">
        <v>-27.6</v>
      </c>
      <c r="O14" s="1">
        <v>-20.100000000000001</v>
      </c>
      <c r="P14" s="1">
        <v>-17.600000000000001</v>
      </c>
      <c r="Q14" s="1">
        <v>-21.8</v>
      </c>
      <c r="R14" s="1">
        <v>-20.100000000000001</v>
      </c>
      <c r="S14" s="1">
        <v>-23.7</v>
      </c>
    </row>
  </sheetData>
  <mergeCells count="5">
    <mergeCell ref="E6:G6"/>
    <mergeCell ref="H6:J6"/>
    <mergeCell ref="K6:M6"/>
    <mergeCell ref="N6:P6"/>
    <mergeCell ref="Q6:S6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89BEA-79A9-48BE-A1C5-05B76EAEA704}">
  <dimension ref="D5:S13"/>
  <sheetViews>
    <sheetView workbookViewId="0">
      <selection activeCell="D6" sqref="D6:S14"/>
    </sheetView>
  </sheetViews>
  <sheetFormatPr defaultRowHeight="14.4"/>
  <sheetData>
    <row r="5" spans="4:19">
      <c r="D5" s="2"/>
      <c r="E5" s="39" t="s">
        <v>203</v>
      </c>
      <c r="F5" s="39"/>
      <c r="G5" s="39"/>
      <c r="H5" s="39" t="s">
        <v>204</v>
      </c>
      <c r="I5" s="39"/>
      <c r="J5" s="39"/>
      <c r="K5" s="39" t="s">
        <v>205</v>
      </c>
      <c r="L5" s="39"/>
      <c r="M5" s="39"/>
      <c r="N5" s="39" t="s">
        <v>206</v>
      </c>
      <c r="O5" s="39"/>
      <c r="P5" s="39"/>
      <c r="Q5" s="39" t="s">
        <v>207</v>
      </c>
      <c r="R5" s="39"/>
      <c r="S5" s="39"/>
    </row>
    <row r="6" spans="4:19">
      <c r="D6" s="1">
        <v>1</v>
      </c>
      <c r="E6" s="1">
        <v>99.2</v>
      </c>
      <c r="F6" s="1">
        <v>101.7</v>
      </c>
      <c r="G6" s="1">
        <v>97.1</v>
      </c>
      <c r="H6" s="1">
        <v>145.69999999999999</v>
      </c>
      <c r="I6" s="1">
        <v>158.4</v>
      </c>
      <c r="J6" s="1">
        <v>155.19999999999999</v>
      </c>
      <c r="K6" s="1">
        <v>172.3</v>
      </c>
      <c r="L6" s="1">
        <v>177.9</v>
      </c>
      <c r="M6" s="1">
        <v>183.9</v>
      </c>
      <c r="N6" s="1">
        <v>203.4</v>
      </c>
      <c r="O6" s="1">
        <v>195.4</v>
      </c>
      <c r="P6" s="1">
        <v>214.3</v>
      </c>
      <c r="Q6" s="1">
        <v>223.5</v>
      </c>
      <c r="R6" s="1">
        <v>245.8</v>
      </c>
      <c r="S6" s="1">
        <v>252.9</v>
      </c>
    </row>
    <row r="7" spans="4:19">
      <c r="D7" s="1">
        <v>3</v>
      </c>
      <c r="E7" s="1">
        <v>95.6</v>
      </c>
      <c r="F7" s="1">
        <v>99.6</v>
      </c>
      <c r="G7" s="1">
        <v>91.5</v>
      </c>
      <c r="H7" s="1">
        <v>152.4</v>
      </c>
      <c r="I7" s="1">
        <v>163.80000000000001</v>
      </c>
      <c r="J7" s="1">
        <v>159.9</v>
      </c>
      <c r="K7" s="1">
        <v>186.2</v>
      </c>
      <c r="L7" s="1">
        <v>189.6</v>
      </c>
      <c r="M7" s="1">
        <v>192.7</v>
      </c>
      <c r="N7" s="1">
        <v>206.8</v>
      </c>
      <c r="O7" s="1">
        <v>198.7</v>
      </c>
      <c r="P7" s="1">
        <v>219.8</v>
      </c>
      <c r="Q7" s="1">
        <v>226.9</v>
      </c>
      <c r="R7" s="1">
        <v>248.9</v>
      </c>
      <c r="S7" s="1">
        <v>257.39999999999998</v>
      </c>
    </row>
    <row r="8" spans="4:19">
      <c r="D8" s="1">
        <v>5</v>
      </c>
      <c r="E8" s="1">
        <v>96.5</v>
      </c>
      <c r="F8" s="1">
        <v>99.58</v>
      </c>
      <c r="G8" s="1">
        <v>93.2</v>
      </c>
      <c r="H8" s="1">
        <v>164.8</v>
      </c>
      <c r="I8" s="1">
        <v>169.4</v>
      </c>
      <c r="J8" s="1">
        <v>160.5</v>
      </c>
      <c r="K8" s="1">
        <v>192.4</v>
      </c>
      <c r="L8" s="1">
        <v>196.8</v>
      </c>
      <c r="M8" s="1">
        <v>201.4</v>
      </c>
      <c r="N8" s="1">
        <v>209.7</v>
      </c>
      <c r="O8" s="1">
        <v>200.1</v>
      </c>
      <c r="P8" s="1">
        <v>223.4</v>
      </c>
      <c r="Q8" s="1">
        <v>229.8</v>
      </c>
      <c r="R8" s="1">
        <v>251.7</v>
      </c>
      <c r="S8" s="1">
        <v>261.3</v>
      </c>
    </row>
    <row r="9" spans="4:19">
      <c r="D9" s="1">
        <v>7</v>
      </c>
      <c r="E9" s="1">
        <v>97.8</v>
      </c>
      <c r="F9" s="1">
        <v>102.2</v>
      </c>
      <c r="G9" s="1">
        <v>92.3</v>
      </c>
      <c r="H9" s="1">
        <v>170.4</v>
      </c>
      <c r="I9" s="1">
        <v>175.6</v>
      </c>
      <c r="J9" s="1">
        <v>179.1</v>
      </c>
      <c r="K9" s="1">
        <v>202.5</v>
      </c>
      <c r="L9" s="1">
        <v>213.4</v>
      </c>
      <c r="M9" s="1">
        <v>221.2</v>
      </c>
      <c r="N9" s="1">
        <v>213.5</v>
      </c>
      <c r="O9" s="1">
        <v>203.7</v>
      </c>
      <c r="P9" s="1">
        <v>225.7</v>
      </c>
      <c r="Q9" s="1">
        <v>232.5</v>
      </c>
      <c r="R9" s="1">
        <v>254.6</v>
      </c>
      <c r="S9" s="1">
        <v>264.8</v>
      </c>
    </row>
    <row r="10" spans="4:19">
      <c r="D10" s="1">
        <v>9</v>
      </c>
      <c r="E10" s="1">
        <v>98.7</v>
      </c>
      <c r="F10" s="1">
        <v>103.6</v>
      </c>
      <c r="G10" s="1">
        <v>93.1</v>
      </c>
      <c r="H10" s="1">
        <v>183.1</v>
      </c>
      <c r="I10" s="1">
        <v>177.6</v>
      </c>
      <c r="J10" s="1">
        <v>188.4</v>
      </c>
      <c r="K10" s="1">
        <v>216.1</v>
      </c>
      <c r="L10" s="1">
        <v>228.8</v>
      </c>
      <c r="M10" s="1">
        <v>237.4</v>
      </c>
      <c r="N10" s="1">
        <v>215.8</v>
      </c>
      <c r="O10" s="1">
        <v>205.6</v>
      </c>
      <c r="P10" s="1">
        <v>227.6</v>
      </c>
      <c r="Q10" s="1">
        <v>236.8</v>
      </c>
      <c r="R10" s="1">
        <v>257.39999999999998</v>
      </c>
      <c r="S10" s="1">
        <v>268.2</v>
      </c>
    </row>
    <row r="11" spans="4:19">
      <c r="D11" s="1">
        <v>11</v>
      </c>
      <c r="E11" s="1">
        <v>100.26</v>
      </c>
      <c r="F11" s="1">
        <v>104.2</v>
      </c>
      <c r="G11" s="1">
        <v>97.2</v>
      </c>
      <c r="H11" s="1">
        <v>192.4</v>
      </c>
      <c r="I11" s="1">
        <v>184.7</v>
      </c>
      <c r="J11" s="1">
        <v>192.2</v>
      </c>
      <c r="K11" s="1">
        <v>226.9</v>
      </c>
      <c r="L11" s="1">
        <v>236.5</v>
      </c>
      <c r="M11" s="1">
        <v>241.8</v>
      </c>
      <c r="N11" s="1">
        <v>219.8</v>
      </c>
      <c r="O11" s="1">
        <v>208.9</v>
      </c>
      <c r="P11" s="1">
        <v>229.8</v>
      </c>
      <c r="Q11" s="1">
        <v>238.9</v>
      </c>
      <c r="R11" s="1">
        <v>261.39999999999998</v>
      </c>
      <c r="S11" s="1">
        <v>271.3</v>
      </c>
    </row>
    <row r="12" spans="4:19">
      <c r="D12" s="1">
        <v>13</v>
      </c>
      <c r="E12" s="1">
        <v>99.5</v>
      </c>
      <c r="F12" s="1">
        <v>105.54</v>
      </c>
      <c r="G12" s="1">
        <v>94.3</v>
      </c>
      <c r="H12" s="1">
        <v>204.6</v>
      </c>
      <c r="I12" s="1">
        <v>191.8</v>
      </c>
      <c r="J12" s="1">
        <v>199.3</v>
      </c>
      <c r="K12" s="1">
        <v>231.7</v>
      </c>
      <c r="L12" s="1">
        <v>241.6</v>
      </c>
      <c r="M12" s="1">
        <v>253.4</v>
      </c>
      <c r="N12" s="1">
        <v>221.4</v>
      </c>
      <c r="O12" s="1">
        <v>211.3</v>
      </c>
      <c r="P12" s="1">
        <v>233.2</v>
      </c>
      <c r="Q12" s="1">
        <v>241.3</v>
      </c>
      <c r="R12" s="1">
        <v>264.8</v>
      </c>
      <c r="S12" s="1">
        <v>273.8</v>
      </c>
    </row>
    <row r="13" spans="4:19">
      <c r="D13" s="1">
        <v>15</v>
      </c>
      <c r="E13" s="1">
        <v>98.7</v>
      </c>
      <c r="F13" s="1">
        <v>101.58</v>
      </c>
      <c r="G13" s="1">
        <v>95.2</v>
      </c>
      <c r="H13" s="1">
        <v>214.6</v>
      </c>
      <c r="I13" s="1">
        <v>202.7</v>
      </c>
      <c r="J13" s="1">
        <v>226.7</v>
      </c>
      <c r="K13" s="1">
        <v>247.8</v>
      </c>
      <c r="L13" s="1">
        <v>256.89999999999998</v>
      </c>
      <c r="M13" s="1">
        <v>267.39999999999998</v>
      </c>
      <c r="N13" s="1">
        <v>225.9</v>
      </c>
      <c r="O13" s="1">
        <v>214.8</v>
      </c>
      <c r="P13" s="1">
        <v>238.7</v>
      </c>
      <c r="Q13" s="1">
        <v>243.8</v>
      </c>
      <c r="R13" s="1">
        <v>268.7</v>
      </c>
      <c r="S13" s="1">
        <v>276.8</v>
      </c>
    </row>
  </sheetData>
  <mergeCells count="5">
    <mergeCell ref="E5:G5"/>
    <mergeCell ref="H5:J5"/>
    <mergeCell ref="K5:M5"/>
    <mergeCell ref="N5:P5"/>
    <mergeCell ref="Q5:S5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63ECD-5421-4D7F-9258-48A6105902E9}">
  <dimension ref="D6:S14"/>
  <sheetViews>
    <sheetView workbookViewId="0">
      <selection activeCell="D6" sqref="D6:S14"/>
    </sheetView>
  </sheetViews>
  <sheetFormatPr defaultRowHeight="14.4"/>
  <sheetData>
    <row r="6" spans="4:19">
      <c r="D6" s="2"/>
      <c r="E6" s="39" t="s">
        <v>203</v>
      </c>
      <c r="F6" s="39"/>
      <c r="G6" s="39"/>
      <c r="H6" s="39" t="s">
        <v>204</v>
      </c>
      <c r="I6" s="39"/>
      <c r="J6" s="39"/>
      <c r="K6" s="39" t="s">
        <v>205</v>
      </c>
      <c r="L6" s="39"/>
      <c r="M6" s="39"/>
      <c r="N6" s="39" t="s">
        <v>206</v>
      </c>
      <c r="O6" s="39"/>
      <c r="P6" s="39"/>
      <c r="Q6" s="39" t="s">
        <v>207</v>
      </c>
      <c r="R6" s="39"/>
      <c r="S6" s="39"/>
    </row>
    <row r="7" spans="4:19">
      <c r="D7" s="1">
        <v>1</v>
      </c>
      <c r="E7" s="1">
        <v>-38.4</v>
      </c>
      <c r="F7" s="1">
        <v>-40.1</v>
      </c>
      <c r="G7" s="1">
        <v>-36.5</v>
      </c>
      <c r="H7" s="1">
        <v>-22.6</v>
      </c>
      <c r="I7" s="1">
        <v>-25.7</v>
      </c>
      <c r="J7" s="1">
        <v>-29.1</v>
      </c>
      <c r="K7" s="1">
        <v>-20.8</v>
      </c>
      <c r="L7" s="1">
        <v>-26.9</v>
      </c>
      <c r="M7" s="1">
        <v>-27.4</v>
      </c>
      <c r="N7" s="1">
        <v>-18.899999999999999</v>
      </c>
      <c r="O7" s="1">
        <v>-26.7</v>
      </c>
      <c r="P7" s="1">
        <v>-25.8</v>
      </c>
      <c r="Q7" s="1">
        <v>-20.399999999999999</v>
      </c>
      <c r="R7" s="1">
        <v>-23.8</v>
      </c>
      <c r="S7" s="1">
        <v>-27.4</v>
      </c>
    </row>
    <row r="8" spans="4:19">
      <c r="D8" s="1">
        <v>3</v>
      </c>
      <c r="E8" s="1">
        <v>-36.89</v>
      </c>
      <c r="F8" s="1">
        <v>-41.2</v>
      </c>
      <c r="G8" s="1">
        <v>-31.2</v>
      </c>
      <c r="H8" s="1">
        <v>-21.3</v>
      </c>
      <c r="I8" s="1">
        <v>-23.5</v>
      </c>
      <c r="J8" s="1">
        <v>-26.8</v>
      </c>
      <c r="K8" s="1">
        <v>-21.6</v>
      </c>
      <c r="L8" s="1">
        <v>-25.7</v>
      </c>
      <c r="M8" s="1">
        <v>-26.9</v>
      </c>
      <c r="N8" s="1">
        <v>-19.600000000000001</v>
      </c>
      <c r="O8" s="1">
        <v>-27.4</v>
      </c>
      <c r="P8" s="1">
        <v>-26.3</v>
      </c>
      <c r="Q8" s="1">
        <v>-21.8</v>
      </c>
      <c r="R8" s="1">
        <v>-26.8</v>
      </c>
      <c r="S8" s="1">
        <v>-29.7</v>
      </c>
    </row>
    <row r="9" spans="4:19">
      <c r="D9" s="1">
        <v>5</v>
      </c>
      <c r="E9" s="1">
        <v>-36.700000000000003</v>
      </c>
      <c r="F9" s="1">
        <v>-40.200000000000003</v>
      </c>
      <c r="G9" s="1">
        <v>-31.4</v>
      </c>
      <c r="H9" s="1">
        <v>-22.8</v>
      </c>
      <c r="I9" s="1">
        <v>-24.6</v>
      </c>
      <c r="J9" s="1">
        <v>-24.8</v>
      </c>
      <c r="K9" s="1">
        <v>-20.399999999999999</v>
      </c>
      <c r="L9" s="1">
        <v>-24.9</v>
      </c>
      <c r="M9" s="1">
        <v>-27.1</v>
      </c>
      <c r="N9" s="1">
        <v>-18.899999999999999</v>
      </c>
      <c r="O9" s="1">
        <v>-28.4</v>
      </c>
      <c r="P9" s="1">
        <v>-24.8</v>
      </c>
      <c r="Q9" s="1">
        <v>-19.8</v>
      </c>
      <c r="R9" s="1">
        <v>-24.1</v>
      </c>
      <c r="S9" s="1">
        <v>-26.8</v>
      </c>
    </row>
    <row r="10" spans="4:19">
      <c r="D10" s="1">
        <v>7</v>
      </c>
      <c r="E10" s="1">
        <v>-37.450000000000003</v>
      </c>
      <c r="F10" s="1">
        <v>-39.5</v>
      </c>
      <c r="G10" s="1">
        <v>-30.1</v>
      </c>
      <c r="H10" s="1">
        <v>-22.3</v>
      </c>
      <c r="I10" s="1">
        <v>-23.5</v>
      </c>
      <c r="J10" s="1">
        <v>-24.1</v>
      </c>
      <c r="K10" s="1">
        <v>-20.3</v>
      </c>
      <c r="L10" s="1">
        <v>-25.1</v>
      </c>
      <c r="M10" s="1">
        <v>-26.4</v>
      </c>
      <c r="N10" s="1">
        <v>-18.600000000000001</v>
      </c>
      <c r="O10" s="1">
        <v>-29.3</v>
      </c>
      <c r="P10" s="1">
        <v>-25.4</v>
      </c>
      <c r="Q10" s="1">
        <v>-18.7</v>
      </c>
      <c r="R10" s="1">
        <v>-23.1</v>
      </c>
      <c r="S10" s="1">
        <v>-25.1</v>
      </c>
    </row>
    <row r="11" spans="4:19">
      <c r="D11" s="1">
        <v>9</v>
      </c>
      <c r="E11" s="1">
        <v>-35.6</v>
      </c>
      <c r="F11" s="1">
        <v>-38.4</v>
      </c>
      <c r="G11" s="1">
        <v>-29.4</v>
      </c>
      <c r="H11" s="1">
        <v>-22.6</v>
      </c>
      <c r="I11" s="1">
        <v>-25.7</v>
      </c>
      <c r="J11" s="1">
        <v>-23.4</v>
      </c>
      <c r="K11" s="1">
        <v>-19.8</v>
      </c>
      <c r="L11" s="1">
        <v>-24.7</v>
      </c>
      <c r="M11" s="1">
        <v>-24.8</v>
      </c>
      <c r="N11" s="1">
        <v>-20.8</v>
      </c>
      <c r="O11" s="1">
        <v>-27.9</v>
      </c>
      <c r="P11" s="1">
        <v>-26.1</v>
      </c>
      <c r="Q11" s="1">
        <v>-19.8</v>
      </c>
      <c r="R11" s="1">
        <v>-22.8</v>
      </c>
      <c r="S11" s="1">
        <v>-24.1</v>
      </c>
    </row>
    <row r="12" spans="4:19">
      <c r="D12" s="1">
        <v>11</v>
      </c>
      <c r="E12" s="1">
        <v>-37.4</v>
      </c>
      <c r="F12" s="1">
        <v>-38.9</v>
      </c>
      <c r="G12" s="1">
        <v>-30.2</v>
      </c>
      <c r="H12" s="1">
        <v>-22.4</v>
      </c>
      <c r="I12" s="1">
        <v>-23.5</v>
      </c>
      <c r="J12" s="1">
        <v>-22.8</v>
      </c>
      <c r="K12" s="1">
        <v>-18.899999999999999</v>
      </c>
      <c r="L12" s="1">
        <v>-23.8</v>
      </c>
      <c r="M12" s="1">
        <v>-24.1</v>
      </c>
      <c r="N12" s="1">
        <v>-22.1</v>
      </c>
      <c r="O12" s="1">
        <v>-26.8</v>
      </c>
      <c r="P12" s="1">
        <v>-27.4</v>
      </c>
      <c r="Q12" s="1">
        <v>-18.899999999999999</v>
      </c>
      <c r="R12" s="1">
        <v>-21.8</v>
      </c>
      <c r="S12" s="1">
        <v>-23.8</v>
      </c>
    </row>
    <row r="13" spans="4:19">
      <c r="D13" s="1">
        <v>13</v>
      </c>
      <c r="E13" s="1">
        <v>-36.799999999999997</v>
      </c>
      <c r="F13" s="1">
        <v>-37.1</v>
      </c>
      <c r="G13" s="1">
        <v>-28.7</v>
      </c>
      <c r="H13" s="1">
        <v>-20.7</v>
      </c>
      <c r="I13" s="1">
        <v>-24.6</v>
      </c>
      <c r="J13" s="1">
        <v>-24.1</v>
      </c>
      <c r="K13" s="1">
        <v>-19.600000000000001</v>
      </c>
      <c r="L13" s="1">
        <v>-22.3</v>
      </c>
      <c r="M13" s="1">
        <v>-24.9</v>
      </c>
      <c r="N13" s="1">
        <v>-23.1</v>
      </c>
      <c r="O13" s="1">
        <v>-25.7</v>
      </c>
      <c r="P13" s="1">
        <v>-28.4</v>
      </c>
      <c r="Q13" s="1">
        <v>-19.399999999999999</v>
      </c>
      <c r="R13" s="1">
        <v>-20.9</v>
      </c>
      <c r="S13" s="1">
        <v>-24.3</v>
      </c>
    </row>
    <row r="14" spans="4:19">
      <c r="D14" s="1">
        <v>15</v>
      </c>
      <c r="E14" s="1">
        <v>-37.4</v>
      </c>
      <c r="F14" s="1">
        <v>-40.200000000000003</v>
      </c>
      <c r="G14" s="1">
        <v>-32.4</v>
      </c>
      <c r="H14" s="1">
        <v>-22.8</v>
      </c>
      <c r="I14" s="1">
        <v>-25.4</v>
      </c>
      <c r="J14" s="1">
        <v>-26.9</v>
      </c>
      <c r="K14" s="1">
        <v>-19.5</v>
      </c>
      <c r="L14" s="1">
        <v>-22.4</v>
      </c>
      <c r="M14" s="1">
        <v>-25.1</v>
      </c>
      <c r="N14" s="1">
        <v>-22.8</v>
      </c>
      <c r="O14" s="1">
        <v>-24.1</v>
      </c>
      <c r="P14" s="1">
        <v>-26.4</v>
      </c>
      <c r="Q14" s="1">
        <v>-19.8</v>
      </c>
      <c r="R14" s="1">
        <v>-21.8</v>
      </c>
      <c r="S14" s="1">
        <v>-22.9</v>
      </c>
    </row>
  </sheetData>
  <mergeCells count="5">
    <mergeCell ref="E6:G6"/>
    <mergeCell ref="H6:J6"/>
    <mergeCell ref="K6:M6"/>
    <mergeCell ref="N6:P6"/>
    <mergeCell ref="Q6:S6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9D1A-3926-4B37-AED6-661878B46A2B}">
  <dimension ref="C7:R15"/>
  <sheetViews>
    <sheetView workbookViewId="0">
      <selection activeCell="I21" sqref="I21"/>
    </sheetView>
  </sheetViews>
  <sheetFormatPr defaultRowHeight="14.4"/>
  <sheetData>
    <row r="7" spans="3:18">
      <c r="C7" s="2"/>
      <c r="D7" s="39" t="s">
        <v>208</v>
      </c>
      <c r="E7" s="39"/>
      <c r="F7" s="39"/>
      <c r="G7" s="39" t="s">
        <v>209</v>
      </c>
      <c r="H7" s="39"/>
      <c r="I7" s="39"/>
      <c r="J7" s="39" t="s">
        <v>210</v>
      </c>
      <c r="K7" s="39"/>
      <c r="L7" s="39"/>
      <c r="M7" s="39" t="s">
        <v>211</v>
      </c>
      <c r="N7" s="39"/>
      <c r="O7" s="39"/>
      <c r="P7" s="39" t="s">
        <v>212</v>
      </c>
      <c r="Q7" s="39"/>
      <c r="R7" s="39"/>
    </row>
    <row r="8" spans="3:18">
      <c r="C8" s="1">
        <v>1</v>
      </c>
      <c r="D8" s="1">
        <v>135.30000000000001</v>
      </c>
      <c r="E8" s="1">
        <v>130.80000000000001</v>
      </c>
      <c r="F8" s="1">
        <v>140.19999999999999</v>
      </c>
      <c r="G8" s="1">
        <v>153.19999999999999</v>
      </c>
      <c r="H8" s="1">
        <v>162.1</v>
      </c>
      <c r="I8" s="1">
        <v>171.5</v>
      </c>
      <c r="J8" s="1">
        <v>185.6</v>
      </c>
      <c r="K8" s="1">
        <v>193.4</v>
      </c>
      <c r="L8" s="1">
        <v>201.4</v>
      </c>
      <c r="M8" s="1">
        <v>222.8</v>
      </c>
      <c r="N8" s="1">
        <v>239.4</v>
      </c>
      <c r="O8" s="1">
        <v>241.8</v>
      </c>
      <c r="P8" s="1">
        <v>256.3</v>
      </c>
      <c r="Q8" s="1">
        <v>278.2</v>
      </c>
      <c r="R8" s="1">
        <v>275.39999999999998</v>
      </c>
    </row>
    <row r="9" spans="3:18">
      <c r="C9" s="1">
        <v>3</v>
      </c>
      <c r="D9" s="1">
        <v>138.4</v>
      </c>
      <c r="E9" s="1">
        <v>134.19999999999999</v>
      </c>
      <c r="F9" s="1">
        <v>141.19999999999999</v>
      </c>
      <c r="G9" s="1">
        <v>156.30000000000001</v>
      </c>
      <c r="H9" s="1">
        <v>168.7</v>
      </c>
      <c r="I9" s="1">
        <v>173.8</v>
      </c>
      <c r="J9" s="1">
        <v>192.4</v>
      </c>
      <c r="K9" s="1">
        <v>207.4</v>
      </c>
      <c r="L9" s="1">
        <v>216.5</v>
      </c>
      <c r="M9" s="1">
        <v>229.6</v>
      </c>
      <c r="N9" s="1">
        <v>243.5</v>
      </c>
      <c r="O9" s="1">
        <v>253.4</v>
      </c>
      <c r="P9" s="1">
        <v>261.2</v>
      </c>
      <c r="Q9" s="1">
        <v>281.39999999999998</v>
      </c>
      <c r="R9" s="1">
        <v>276.89999999999998</v>
      </c>
    </row>
    <row r="10" spans="3:18">
      <c r="C10" s="1">
        <v>5</v>
      </c>
      <c r="D10" s="1">
        <v>134.80000000000001</v>
      </c>
      <c r="E10" s="1">
        <v>128.5</v>
      </c>
      <c r="F10" s="1">
        <v>138.4</v>
      </c>
      <c r="G10" s="1">
        <v>159.80000000000001</v>
      </c>
      <c r="H10" s="1">
        <v>173.9</v>
      </c>
      <c r="I10" s="1">
        <v>182.4</v>
      </c>
      <c r="J10" s="1">
        <v>203.2</v>
      </c>
      <c r="K10" s="1">
        <v>217.5</v>
      </c>
      <c r="L10" s="1">
        <v>220.9</v>
      </c>
      <c r="M10" s="1">
        <v>231.7</v>
      </c>
      <c r="N10" s="1">
        <v>249.8</v>
      </c>
      <c r="O10" s="1">
        <v>261.39999999999998</v>
      </c>
      <c r="P10" s="1">
        <v>263.8</v>
      </c>
      <c r="Q10" s="1">
        <v>283.89999999999998</v>
      </c>
      <c r="R10" s="1">
        <v>279.60000000000002</v>
      </c>
    </row>
    <row r="11" spans="3:18">
      <c r="C11" s="1">
        <v>7</v>
      </c>
      <c r="D11" s="1">
        <v>141.30000000000001</v>
      </c>
      <c r="E11" s="1">
        <v>135.6</v>
      </c>
      <c r="F11" s="1">
        <v>144.19999999999999</v>
      </c>
      <c r="G11" s="1">
        <v>169.2</v>
      </c>
      <c r="H11" s="1">
        <v>186.4</v>
      </c>
      <c r="I11" s="1">
        <v>193.5</v>
      </c>
      <c r="J11" s="1">
        <v>214.5</v>
      </c>
      <c r="K11" s="1">
        <v>223.4</v>
      </c>
      <c r="L11" s="1">
        <v>225.4</v>
      </c>
      <c r="M11" s="1">
        <v>235.7</v>
      </c>
      <c r="N11" s="1">
        <v>254.9</v>
      </c>
      <c r="O11" s="1">
        <v>269.8</v>
      </c>
      <c r="P11" s="1">
        <v>265.89999999999998</v>
      </c>
      <c r="Q11" s="1">
        <v>286.39999999999998</v>
      </c>
      <c r="R11" s="1">
        <v>283.7</v>
      </c>
    </row>
    <row r="12" spans="3:18">
      <c r="C12" s="1">
        <v>9</v>
      </c>
      <c r="D12" s="1">
        <v>138</v>
      </c>
      <c r="E12" s="1">
        <v>132.4</v>
      </c>
      <c r="F12" s="1">
        <v>142.1</v>
      </c>
      <c r="G12" s="1">
        <v>172.6</v>
      </c>
      <c r="H12" s="1">
        <v>192.4</v>
      </c>
      <c r="I12" s="1">
        <v>204.6</v>
      </c>
      <c r="J12" s="1">
        <v>219.8</v>
      </c>
      <c r="K12" s="1">
        <v>234.7</v>
      </c>
      <c r="L12" s="1">
        <v>229.8</v>
      </c>
      <c r="M12" s="1">
        <v>241.5</v>
      </c>
      <c r="N12" s="1">
        <v>263.8</v>
      </c>
      <c r="O12" s="1">
        <v>271.3</v>
      </c>
      <c r="P12" s="1">
        <v>269.7</v>
      </c>
      <c r="Q12" s="1">
        <v>289.60000000000002</v>
      </c>
      <c r="R12" s="1">
        <v>287.39999999999998</v>
      </c>
    </row>
    <row r="13" spans="3:18">
      <c r="C13" s="1">
        <v>11</v>
      </c>
      <c r="D13" s="1">
        <v>136.80000000000001</v>
      </c>
      <c r="E13" s="1">
        <v>130.1</v>
      </c>
      <c r="F13" s="1">
        <v>142.30000000000001</v>
      </c>
      <c r="G13" s="1">
        <v>183.4</v>
      </c>
      <c r="H13" s="1">
        <v>196.8</v>
      </c>
      <c r="I13" s="1">
        <v>217.8</v>
      </c>
      <c r="J13" s="1">
        <v>223.4</v>
      </c>
      <c r="K13" s="1">
        <v>240.8</v>
      </c>
      <c r="L13" s="1">
        <v>238.7</v>
      </c>
      <c r="M13" s="1">
        <v>245.6</v>
      </c>
      <c r="N13" s="1">
        <v>268.7</v>
      </c>
      <c r="O13" s="1">
        <v>276.8</v>
      </c>
      <c r="P13" s="1">
        <v>271.3</v>
      </c>
      <c r="Q13" s="1">
        <v>290.8</v>
      </c>
      <c r="R13" s="1">
        <v>291.7</v>
      </c>
    </row>
    <row r="14" spans="3:18">
      <c r="C14" s="1">
        <v>13</v>
      </c>
      <c r="D14" s="1">
        <v>138</v>
      </c>
      <c r="E14" s="1">
        <v>133.19999999999999</v>
      </c>
      <c r="F14" s="1">
        <v>143.5</v>
      </c>
      <c r="G14" s="1">
        <v>196.8</v>
      </c>
      <c r="H14" s="1">
        <v>204.6</v>
      </c>
      <c r="I14" s="1">
        <v>224.6</v>
      </c>
      <c r="J14" s="1">
        <v>238.1</v>
      </c>
      <c r="K14" s="1">
        <v>248.5</v>
      </c>
      <c r="L14" s="1">
        <v>241.9</v>
      </c>
      <c r="M14" s="1">
        <v>249.8</v>
      </c>
      <c r="N14" s="1">
        <v>271.60000000000002</v>
      </c>
      <c r="O14" s="1">
        <v>280.39999999999998</v>
      </c>
      <c r="P14" s="1">
        <v>273.8</v>
      </c>
      <c r="Q14" s="1">
        <v>292.60000000000002</v>
      </c>
      <c r="R14" s="1">
        <v>293.2</v>
      </c>
    </row>
    <row r="15" spans="3:18">
      <c r="C15" s="1">
        <v>15</v>
      </c>
      <c r="D15" s="1">
        <v>138</v>
      </c>
      <c r="E15" s="1">
        <v>132.4</v>
      </c>
      <c r="F15" s="1">
        <v>144.19999999999999</v>
      </c>
      <c r="G15" s="1">
        <v>204.5</v>
      </c>
      <c r="H15" s="1">
        <v>212.9</v>
      </c>
      <c r="I15" s="1">
        <v>231.8</v>
      </c>
      <c r="J15" s="1">
        <v>246.5</v>
      </c>
      <c r="K15" s="1">
        <v>259.8</v>
      </c>
      <c r="L15" s="1">
        <v>259.8</v>
      </c>
      <c r="M15" s="1">
        <v>256.3</v>
      </c>
      <c r="N15" s="1">
        <v>277.60000000000002</v>
      </c>
      <c r="O15" s="1">
        <v>283.5</v>
      </c>
      <c r="P15" s="1">
        <v>276.89999999999998</v>
      </c>
      <c r="Q15" s="1">
        <v>294.8</v>
      </c>
      <c r="R15" s="1">
        <v>294.7</v>
      </c>
    </row>
  </sheetData>
  <mergeCells count="5">
    <mergeCell ref="D7:F7"/>
    <mergeCell ref="G7:I7"/>
    <mergeCell ref="J7:L7"/>
    <mergeCell ref="M7:O7"/>
    <mergeCell ref="P7:R7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2DAF9-D7C1-4F9D-98C9-95C1844AA3B7}">
  <dimension ref="D6:S14"/>
  <sheetViews>
    <sheetView workbookViewId="0">
      <selection activeCell="D6" sqref="D6:S14"/>
    </sheetView>
  </sheetViews>
  <sheetFormatPr defaultRowHeight="14.4"/>
  <sheetData>
    <row r="6" spans="4:19">
      <c r="D6" s="2"/>
      <c r="E6" s="39" t="s">
        <v>208</v>
      </c>
      <c r="F6" s="39"/>
      <c r="G6" s="39"/>
      <c r="H6" s="39" t="s">
        <v>209</v>
      </c>
      <c r="I6" s="39"/>
      <c r="J6" s="39"/>
      <c r="K6" s="39" t="s">
        <v>210</v>
      </c>
      <c r="L6" s="39"/>
      <c r="M6" s="39"/>
      <c r="N6" s="39" t="s">
        <v>211</v>
      </c>
      <c r="O6" s="39"/>
      <c r="P6" s="39"/>
      <c r="Q6" s="39" t="s">
        <v>212</v>
      </c>
      <c r="R6" s="39"/>
      <c r="S6" s="39"/>
    </row>
    <row r="7" spans="4:19">
      <c r="D7" s="1">
        <v>1</v>
      </c>
      <c r="E7" s="1">
        <v>-30.7</v>
      </c>
      <c r="F7" s="1">
        <v>-34.200000000000003</v>
      </c>
      <c r="G7" s="1">
        <v>-26.4</v>
      </c>
      <c r="H7" s="1">
        <v>-33.1</v>
      </c>
      <c r="I7" s="1">
        <v>-28.4</v>
      </c>
      <c r="J7" s="1">
        <v>-24.9</v>
      </c>
      <c r="K7" s="1">
        <v>-32.700000000000003</v>
      </c>
      <c r="L7" s="1">
        <v>-27.3</v>
      </c>
      <c r="M7" s="1">
        <v>-28.4</v>
      </c>
      <c r="N7" s="1">
        <v>-22.6</v>
      </c>
      <c r="O7" s="1">
        <v>-29.7</v>
      </c>
      <c r="P7" s="1">
        <v>-26.4</v>
      </c>
      <c r="Q7" s="1">
        <v>-24.7</v>
      </c>
      <c r="R7" s="1">
        <v>-34.200000000000003</v>
      </c>
      <c r="S7" s="1">
        <v>-33.799999999999997</v>
      </c>
    </row>
    <row r="8" spans="4:19">
      <c r="D8" s="1">
        <v>3</v>
      </c>
      <c r="E8" s="1">
        <v>-31.2</v>
      </c>
      <c r="F8" s="1">
        <v>-33.799999999999997</v>
      </c>
      <c r="G8" s="1">
        <v>-28.5</v>
      </c>
      <c r="H8" s="1">
        <v>-32.1</v>
      </c>
      <c r="I8" s="1">
        <v>-29.6</v>
      </c>
      <c r="J8" s="1">
        <v>-23.5</v>
      </c>
      <c r="K8" s="1">
        <v>-33.9</v>
      </c>
      <c r="L8" s="1">
        <v>-24.1</v>
      </c>
      <c r="M8" s="1">
        <v>-23.5</v>
      </c>
      <c r="N8" s="1">
        <v>-20.100000000000001</v>
      </c>
      <c r="O8" s="1">
        <v>-27.5</v>
      </c>
      <c r="P8" s="1">
        <v>-24.1</v>
      </c>
      <c r="Q8" s="1">
        <v>-20.399999999999999</v>
      </c>
      <c r="R8" s="1">
        <v>-32.799999999999997</v>
      </c>
      <c r="S8" s="1">
        <v>-31.4</v>
      </c>
    </row>
    <row r="9" spans="4:19">
      <c r="D9" s="1">
        <v>5</v>
      </c>
      <c r="E9" s="1">
        <v>-29.4</v>
      </c>
      <c r="F9" s="1">
        <v>-32.1</v>
      </c>
      <c r="G9" s="1">
        <v>-27.1</v>
      </c>
      <c r="H9" s="1">
        <v>-30.2</v>
      </c>
      <c r="I9" s="1">
        <v>-28.7</v>
      </c>
      <c r="J9" s="1">
        <v>-23.8</v>
      </c>
      <c r="K9" s="1">
        <v>-28.7</v>
      </c>
      <c r="L9" s="1">
        <v>-22.8</v>
      </c>
      <c r="M9" s="1">
        <v>-21.8</v>
      </c>
      <c r="N9" s="1">
        <v>-18.600000000000001</v>
      </c>
      <c r="O9" s="1">
        <v>-25.4</v>
      </c>
      <c r="P9" s="1">
        <v>-22.8</v>
      </c>
      <c r="Q9" s="1">
        <v>-19.8</v>
      </c>
      <c r="R9" s="1">
        <v>-30.1</v>
      </c>
      <c r="S9" s="1">
        <v>-28.6</v>
      </c>
    </row>
    <row r="10" spans="4:19">
      <c r="D10" s="1">
        <v>7</v>
      </c>
      <c r="E10" s="1">
        <v>-30.8</v>
      </c>
      <c r="F10" s="1">
        <v>-35.9</v>
      </c>
      <c r="G10" s="1">
        <v>-26.4</v>
      </c>
      <c r="H10" s="1">
        <v>-32.9</v>
      </c>
      <c r="I10" s="1">
        <v>-28.6</v>
      </c>
      <c r="J10" s="1">
        <v>-23.9</v>
      </c>
      <c r="K10" s="1">
        <v>-26.8</v>
      </c>
      <c r="L10" s="1">
        <v>-21.7</v>
      </c>
      <c r="M10" s="1">
        <v>-22.4</v>
      </c>
      <c r="N10" s="1">
        <v>-19.600000000000001</v>
      </c>
      <c r="O10" s="1">
        <v>-24.5</v>
      </c>
      <c r="P10" s="1">
        <v>-20.399999999999999</v>
      </c>
      <c r="Q10" s="1">
        <v>-20.8</v>
      </c>
      <c r="R10" s="1">
        <v>-29.8</v>
      </c>
      <c r="S10" s="1">
        <v>-27.4</v>
      </c>
    </row>
    <row r="11" spans="4:19">
      <c r="D11" s="1">
        <v>9</v>
      </c>
      <c r="E11" s="1">
        <v>-33.200000000000003</v>
      </c>
      <c r="F11" s="1">
        <v>-37.5</v>
      </c>
      <c r="G11" s="1">
        <v>-27.6</v>
      </c>
      <c r="H11" s="1">
        <v>-31.8</v>
      </c>
      <c r="I11" s="1">
        <v>-29.4</v>
      </c>
      <c r="J11" s="1">
        <v>-22.8</v>
      </c>
      <c r="K11" s="1">
        <v>-25.4</v>
      </c>
      <c r="L11" s="1">
        <v>-22.1</v>
      </c>
      <c r="M11" s="1">
        <v>-22.1</v>
      </c>
      <c r="N11" s="1">
        <v>-18.899999999999999</v>
      </c>
      <c r="O11" s="1">
        <v>-21.8</v>
      </c>
      <c r="P11" s="1">
        <v>-21.8</v>
      </c>
      <c r="Q11" s="1">
        <v>-18.899999999999999</v>
      </c>
      <c r="R11" s="1">
        <v>-28.6</v>
      </c>
      <c r="S11" s="1">
        <v>-26.1</v>
      </c>
    </row>
    <row r="12" spans="4:19">
      <c r="D12" s="1">
        <v>11</v>
      </c>
      <c r="E12" s="1">
        <v>-31.7</v>
      </c>
      <c r="F12" s="1">
        <v>-36.200000000000003</v>
      </c>
      <c r="G12" s="1">
        <v>-26.2</v>
      </c>
      <c r="H12" s="1">
        <v>-31.6</v>
      </c>
      <c r="I12" s="1">
        <v>-30.2</v>
      </c>
      <c r="J12" s="1">
        <v>-22.9</v>
      </c>
      <c r="K12" s="1">
        <v>-24.6</v>
      </c>
      <c r="L12" s="1">
        <v>-21.8</v>
      </c>
      <c r="M12" s="1">
        <v>-22.7</v>
      </c>
      <c r="N12" s="1">
        <v>-17.899999999999999</v>
      </c>
      <c r="O12" s="1">
        <v>-20.399999999999999</v>
      </c>
      <c r="P12" s="1">
        <v>-20.3</v>
      </c>
      <c r="Q12" s="1">
        <v>-19.8</v>
      </c>
      <c r="R12" s="1">
        <v>-27.4</v>
      </c>
      <c r="S12" s="1">
        <v>-25.3</v>
      </c>
    </row>
    <row r="13" spans="4:19">
      <c r="D13" s="1">
        <v>13</v>
      </c>
      <c r="E13" s="1">
        <v>-32.5</v>
      </c>
      <c r="F13" s="1">
        <v>-37.9</v>
      </c>
      <c r="G13" s="1">
        <v>-27.8</v>
      </c>
      <c r="H13" s="1">
        <v>-33.799999999999997</v>
      </c>
      <c r="I13" s="1">
        <v>-31.4</v>
      </c>
      <c r="J13" s="1">
        <v>-23.8</v>
      </c>
      <c r="K13" s="1">
        <v>-23.4</v>
      </c>
      <c r="L13" s="1">
        <v>-20.6</v>
      </c>
      <c r="M13" s="1">
        <v>-22.6</v>
      </c>
      <c r="N13" s="1">
        <v>-18.399999999999999</v>
      </c>
      <c r="O13" s="1">
        <v>-20.9</v>
      </c>
      <c r="P13" s="1">
        <v>-18.7</v>
      </c>
      <c r="Q13" s="1">
        <v>-19.600000000000001</v>
      </c>
      <c r="R13" s="1">
        <v>-26.3</v>
      </c>
      <c r="S13" s="1">
        <v>-27.3</v>
      </c>
    </row>
    <row r="14" spans="4:19">
      <c r="D14" s="1">
        <v>15</v>
      </c>
      <c r="E14" s="1">
        <v>-30.2</v>
      </c>
      <c r="F14" s="1">
        <v>-35.4</v>
      </c>
      <c r="G14" s="1">
        <v>-28.2</v>
      </c>
      <c r="H14" s="1">
        <v>-30.7</v>
      </c>
      <c r="I14" s="1">
        <v>-30.6</v>
      </c>
      <c r="J14" s="1">
        <v>-24.1</v>
      </c>
      <c r="K14" s="1">
        <v>-22.8</v>
      </c>
      <c r="L14" s="1">
        <v>-20.399999999999999</v>
      </c>
      <c r="M14" s="1">
        <v>-21.7</v>
      </c>
      <c r="N14" s="1">
        <v>-19.2</v>
      </c>
      <c r="O14" s="1">
        <v>-17.600000000000001</v>
      </c>
      <c r="P14" s="1">
        <v>-19.8</v>
      </c>
      <c r="Q14" s="1">
        <v>-20.5</v>
      </c>
      <c r="R14" s="1">
        <v>-27.4</v>
      </c>
      <c r="S14" s="1">
        <v>-24.7</v>
      </c>
    </row>
  </sheetData>
  <mergeCells count="5">
    <mergeCell ref="E6:G6"/>
    <mergeCell ref="H6:J6"/>
    <mergeCell ref="K6:M6"/>
    <mergeCell ref="N6:P6"/>
    <mergeCell ref="Q6:S6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54EC3-D73A-42C1-A7D6-1E8044E870E2}">
  <dimension ref="D6:P15"/>
  <sheetViews>
    <sheetView workbookViewId="0">
      <selection activeCell="H23" sqref="H23"/>
    </sheetView>
  </sheetViews>
  <sheetFormatPr defaultRowHeight="14.4"/>
  <sheetData>
    <row r="6" spans="4:16">
      <c r="D6" s="2" t="s">
        <v>89</v>
      </c>
      <c r="E6" s="39" t="s">
        <v>220</v>
      </c>
      <c r="F6" s="39"/>
      <c r="G6" s="39"/>
      <c r="H6" s="39" t="s">
        <v>221</v>
      </c>
      <c r="I6" s="39"/>
      <c r="J6" s="39"/>
      <c r="K6" s="39" t="s">
        <v>222</v>
      </c>
      <c r="L6" s="39"/>
      <c r="M6" s="39"/>
      <c r="N6" s="39" t="s">
        <v>223</v>
      </c>
      <c r="O6" s="39"/>
      <c r="P6" s="39"/>
    </row>
    <row r="7" spans="4:16"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4:16">
      <c r="D8" s="1">
        <v>1</v>
      </c>
      <c r="E8" s="1">
        <v>0.2</v>
      </c>
      <c r="F8" s="1">
        <v>0.1</v>
      </c>
      <c r="G8" s="1">
        <v>0.3</v>
      </c>
      <c r="H8" s="1">
        <v>0.16</v>
      </c>
      <c r="I8" s="1">
        <v>0.33</v>
      </c>
      <c r="J8" s="1">
        <v>0.09</v>
      </c>
      <c r="K8" s="1">
        <v>0.14000000000000001</v>
      </c>
      <c r="L8" s="1">
        <v>0.09</v>
      </c>
      <c r="M8" s="1">
        <v>0.19</v>
      </c>
      <c r="N8" s="1">
        <v>0.62</v>
      </c>
      <c r="O8" s="1">
        <v>2.73</v>
      </c>
      <c r="P8" s="1">
        <v>3.18</v>
      </c>
    </row>
    <row r="9" spans="4:16">
      <c r="D9" s="1">
        <v>4</v>
      </c>
      <c r="E9" s="1">
        <v>0.4</v>
      </c>
      <c r="F9" s="1">
        <v>0.5</v>
      </c>
      <c r="G9" s="1">
        <v>0.3</v>
      </c>
      <c r="H9" s="1">
        <v>0.85</v>
      </c>
      <c r="I9" s="1">
        <v>0.52</v>
      </c>
      <c r="J9" s="1">
        <v>0.28000000000000003</v>
      </c>
      <c r="K9" s="1">
        <v>0.38</v>
      </c>
      <c r="L9" s="1">
        <v>0.49</v>
      </c>
      <c r="M9" s="1">
        <v>0.64</v>
      </c>
      <c r="N9" s="1">
        <v>6.53</v>
      </c>
      <c r="O9" s="1">
        <v>9.86</v>
      </c>
      <c r="P9" s="1">
        <v>10.42</v>
      </c>
    </row>
    <row r="10" spans="4:16">
      <c r="D10" s="1">
        <v>12</v>
      </c>
      <c r="E10" s="1">
        <v>0.8</v>
      </c>
      <c r="F10" s="1">
        <v>0.9</v>
      </c>
      <c r="G10" s="1">
        <v>1</v>
      </c>
      <c r="H10" s="1">
        <v>0.59</v>
      </c>
      <c r="I10" s="1">
        <v>1.79</v>
      </c>
      <c r="J10" s="1">
        <v>1.96</v>
      </c>
      <c r="K10" s="1">
        <v>1.1399999999999999</v>
      </c>
      <c r="L10" s="1">
        <v>0.96</v>
      </c>
      <c r="M10" s="1">
        <v>1.86</v>
      </c>
      <c r="N10" s="1">
        <v>18.760000000000002</v>
      </c>
      <c r="O10" s="1">
        <v>19.739999999999998</v>
      </c>
      <c r="P10" s="1">
        <v>25.47</v>
      </c>
    </row>
    <row r="11" spans="4:16">
      <c r="D11" s="1">
        <v>24</v>
      </c>
      <c r="E11" s="1">
        <v>1.8</v>
      </c>
      <c r="F11" s="1">
        <v>1.2</v>
      </c>
      <c r="G11" s="1">
        <v>1.6</v>
      </c>
      <c r="H11" s="1">
        <v>3.59</v>
      </c>
      <c r="I11" s="1">
        <v>4.8899999999999997</v>
      </c>
      <c r="J11" s="1">
        <v>2.46</v>
      </c>
      <c r="K11" s="1">
        <v>2.41</v>
      </c>
      <c r="L11" s="1">
        <v>1.38</v>
      </c>
      <c r="M11" s="1">
        <v>1.49</v>
      </c>
      <c r="N11" s="1">
        <v>36.590000000000003</v>
      </c>
      <c r="O11" s="1">
        <v>28.76</v>
      </c>
      <c r="P11" s="1">
        <v>43.16</v>
      </c>
    </row>
    <row r="12" spans="4:16">
      <c r="D12" s="1">
        <v>48</v>
      </c>
      <c r="E12" s="1">
        <v>2.2000000000000002</v>
      </c>
      <c r="F12" s="1">
        <v>3.5</v>
      </c>
      <c r="G12" s="1">
        <v>2.7</v>
      </c>
      <c r="H12" s="1">
        <v>4.1500000000000004</v>
      </c>
      <c r="I12" s="1">
        <v>5.69</v>
      </c>
      <c r="J12" s="1">
        <v>3.69</v>
      </c>
      <c r="K12" s="1">
        <v>3.58</v>
      </c>
      <c r="L12" s="1">
        <v>2.89</v>
      </c>
      <c r="M12" s="1">
        <v>2.81</v>
      </c>
      <c r="N12" s="1">
        <v>45.96</v>
      </c>
      <c r="O12" s="1">
        <v>58.49</v>
      </c>
      <c r="P12" s="1">
        <v>62</v>
      </c>
    </row>
    <row r="13" spans="4:16">
      <c r="D13" s="1">
        <v>72</v>
      </c>
      <c r="E13" s="1">
        <v>4.3600000000000003</v>
      </c>
      <c r="F13" s="1">
        <v>4.1500000000000004</v>
      </c>
      <c r="G13" s="1">
        <v>3.02</v>
      </c>
      <c r="H13" s="1">
        <v>6.85</v>
      </c>
      <c r="I13" s="1">
        <v>7.48</v>
      </c>
      <c r="J13" s="1">
        <v>6.42</v>
      </c>
      <c r="K13" s="1">
        <v>4.96</v>
      </c>
      <c r="L13" s="1">
        <v>5.96</v>
      </c>
      <c r="M13" s="1">
        <v>4.12</v>
      </c>
      <c r="N13" s="1">
        <v>56.17</v>
      </c>
      <c r="O13" s="1">
        <v>72.489999999999995</v>
      </c>
      <c r="P13" s="1">
        <v>79.540000000000006</v>
      </c>
    </row>
    <row r="14" spans="4:16">
      <c r="D14" s="1">
        <v>96</v>
      </c>
      <c r="E14" s="1">
        <v>6.15</v>
      </c>
      <c r="F14" s="1">
        <v>5.49</v>
      </c>
      <c r="G14" s="1">
        <v>7.48</v>
      </c>
      <c r="H14" s="1">
        <v>10.25</v>
      </c>
      <c r="I14" s="1">
        <v>9.4700000000000006</v>
      </c>
      <c r="J14" s="1">
        <v>11.26</v>
      </c>
      <c r="K14" s="1">
        <v>8.77</v>
      </c>
      <c r="L14" s="1">
        <v>7.49</v>
      </c>
      <c r="M14" s="1">
        <v>5.85</v>
      </c>
      <c r="N14" s="1">
        <v>68.47</v>
      </c>
      <c r="O14" s="1">
        <v>67.58</v>
      </c>
      <c r="P14" s="1">
        <v>80.739999999999995</v>
      </c>
    </row>
    <row r="15" spans="4:16">
      <c r="D15" s="1">
        <v>120</v>
      </c>
      <c r="E15" s="1">
        <v>9.52</v>
      </c>
      <c r="F15" s="1">
        <v>7.12</v>
      </c>
      <c r="G15" s="1">
        <v>8.15</v>
      </c>
      <c r="H15" s="1">
        <v>18.79</v>
      </c>
      <c r="I15" s="1">
        <v>20.45</v>
      </c>
      <c r="J15" s="1">
        <v>15.78</v>
      </c>
      <c r="K15" s="1">
        <v>10.56</v>
      </c>
      <c r="L15" s="1">
        <v>13.76</v>
      </c>
      <c r="M15" s="1">
        <v>11.65</v>
      </c>
      <c r="N15" s="1">
        <v>70.16</v>
      </c>
      <c r="O15" s="1">
        <v>70.150000000000006</v>
      </c>
      <c r="P15" s="1">
        <v>83.2</v>
      </c>
    </row>
  </sheetData>
  <mergeCells count="4">
    <mergeCell ref="E6:G6"/>
    <mergeCell ref="H6:J6"/>
    <mergeCell ref="K6:M6"/>
    <mergeCell ref="N6:P6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73A8-09E1-4BFF-B882-30F120867239}">
  <dimension ref="F7:R16"/>
  <sheetViews>
    <sheetView workbookViewId="0">
      <selection activeCell="I20" sqref="I20"/>
    </sheetView>
  </sheetViews>
  <sheetFormatPr defaultRowHeight="14.4"/>
  <sheetData>
    <row r="7" spans="6:18">
      <c r="F7" s="2" t="s">
        <v>89</v>
      </c>
      <c r="G7" s="39" t="s">
        <v>220</v>
      </c>
      <c r="H7" s="39"/>
      <c r="I7" s="39"/>
      <c r="J7" s="39" t="s">
        <v>221</v>
      </c>
      <c r="K7" s="39"/>
      <c r="L7" s="39"/>
      <c r="M7" s="39" t="s">
        <v>222</v>
      </c>
      <c r="N7" s="39"/>
      <c r="O7" s="39"/>
      <c r="P7" s="39" t="s">
        <v>224</v>
      </c>
      <c r="Q7" s="39"/>
      <c r="R7" s="39"/>
    </row>
    <row r="8" spans="6:18"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</row>
    <row r="9" spans="6:18">
      <c r="F9" s="1">
        <v>1</v>
      </c>
      <c r="G9" s="1">
        <v>0.43</v>
      </c>
      <c r="H9" s="1">
        <v>0.21</v>
      </c>
      <c r="I9" s="1">
        <v>0.17</v>
      </c>
      <c r="J9" s="1">
        <v>0.28999999999999998</v>
      </c>
      <c r="K9" s="1">
        <v>0.34</v>
      </c>
      <c r="L9" s="1">
        <v>0.17</v>
      </c>
      <c r="M9" s="1">
        <v>0.25</v>
      </c>
      <c r="N9" s="1">
        <v>0.19</v>
      </c>
      <c r="O9" s="1">
        <v>0.31</v>
      </c>
      <c r="P9" s="1">
        <v>1.59</v>
      </c>
      <c r="Q9" s="1">
        <v>5.47</v>
      </c>
      <c r="R9" s="1">
        <v>3.58</v>
      </c>
    </row>
    <row r="10" spans="6:18">
      <c r="F10" s="1">
        <v>4</v>
      </c>
      <c r="G10" s="1">
        <v>0.68</v>
      </c>
      <c r="H10" s="1">
        <v>0.72</v>
      </c>
      <c r="I10" s="1">
        <v>0.34</v>
      </c>
      <c r="J10" s="1">
        <v>1.54</v>
      </c>
      <c r="K10" s="1">
        <v>1.69</v>
      </c>
      <c r="L10" s="1">
        <v>1.73</v>
      </c>
      <c r="M10" s="1">
        <v>1.29</v>
      </c>
      <c r="N10" s="1">
        <v>1.29</v>
      </c>
      <c r="O10" s="1">
        <v>1.34</v>
      </c>
      <c r="P10" s="1">
        <v>15.89</v>
      </c>
      <c r="Q10" s="1">
        <v>12.47</v>
      </c>
      <c r="R10" s="1">
        <v>9.86</v>
      </c>
    </row>
    <row r="11" spans="6:18">
      <c r="F11" s="1">
        <v>12</v>
      </c>
      <c r="G11" s="1">
        <v>1.02</v>
      </c>
      <c r="H11" s="1">
        <v>1.83</v>
      </c>
      <c r="I11" s="1">
        <v>1.04</v>
      </c>
      <c r="J11" s="1">
        <v>2.2599999999999998</v>
      </c>
      <c r="K11" s="1">
        <v>2.89</v>
      </c>
      <c r="L11" s="1">
        <v>3.98</v>
      </c>
      <c r="M11" s="1">
        <v>2.2599999999999998</v>
      </c>
      <c r="N11" s="1">
        <v>2.17</v>
      </c>
      <c r="O11" s="1">
        <v>3.26</v>
      </c>
      <c r="P11" s="1">
        <v>28.96</v>
      </c>
      <c r="Q11" s="1">
        <v>22.85</v>
      </c>
      <c r="R11" s="1">
        <v>33.270000000000003</v>
      </c>
    </row>
    <row r="12" spans="6:18">
      <c r="F12" s="1">
        <v>24</v>
      </c>
      <c r="G12" s="1">
        <v>1.75</v>
      </c>
      <c r="H12" s="1">
        <v>2.96</v>
      </c>
      <c r="I12" s="1">
        <v>1.83</v>
      </c>
      <c r="J12" s="1">
        <v>4.96</v>
      </c>
      <c r="K12" s="1">
        <v>5.47</v>
      </c>
      <c r="L12" s="1">
        <v>6.25</v>
      </c>
      <c r="M12" s="1">
        <v>3.89</v>
      </c>
      <c r="N12" s="1">
        <v>4.58</v>
      </c>
      <c r="O12" s="1">
        <v>4.67</v>
      </c>
      <c r="P12" s="1">
        <v>49.56</v>
      </c>
      <c r="Q12" s="1">
        <v>38.79</v>
      </c>
      <c r="R12" s="1">
        <v>49.86</v>
      </c>
    </row>
    <row r="13" spans="6:18">
      <c r="F13" s="1">
        <v>48</v>
      </c>
      <c r="G13" s="1">
        <v>6.89</v>
      </c>
      <c r="H13" s="1">
        <v>5.96</v>
      </c>
      <c r="I13" s="1">
        <v>4.7300000000000004</v>
      </c>
      <c r="J13" s="1">
        <v>7.48</v>
      </c>
      <c r="K13" s="1">
        <v>8.9600000000000009</v>
      </c>
      <c r="L13" s="1">
        <v>9.4700000000000006</v>
      </c>
      <c r="M13" s="1">
        <v>6.59</v>
      </c>
      <c r="N13" s="1">
        <v>7.15</v>
      </c>
      <c r="O13" s="1">
        <v>8.42</v>
      </c>
      <c r="P13" s="1">
        <v>66.59</v>
      </c>
      <c r="Q13" s="1">
        <v>59.32</v>
      </c>
      <c r="R13" s="1">
        <v>61.47</v>
      </c>
    </row>
    <row r="14" spans="6:18">
      <c r="F14" s="1">
        <v>72</v>
      </c>
      <c r="G14" s="1">
        <v>9.9600000000000009</v>
      </c>
      <c r="H14" s="1">
        <v>8.49</v>
      </c>
      <c r="I14" s="1">
        <v>7.89</v>
      </c>
      <c r="J14" s="1">
        <v>10.28</v>
      </c>
      <c r="K14" s="1">
        <v>13.45</v>
      </c>
      <c r="L14" s="1">
        <v>14.73</v>
      </c>
      <c r="M14" s="1">
        <v>10.28</v>
      </c>
      <c r="N14" s="1">
        <v>9.48</v>
      </c>
      <c r="O14" s="1">
        <v>12.45</v>
      </c>
      <c r="P14" s="1">
        <v>76.42</v>
      </c>
      <c r="Q14" s="1">
        <v>67.959999999999994</v>
      </c>
      <c r="R14" s="1">
        <v>78.41</v>
      </c>
    </row>
    <row r="15" spans="6:18">
      <c r="F15" s="1">
        <v>96</v>
      </c>
      <c r="G15" s="1">
        <v>11.26</v>
      </c>
      <c r="H15" s="1">
        <v>9.69</v>
      </c>
      <c r="I15" s="1">
        <v>10.25</v>
      </c>
      <c r="J15" s="1">
        <v>14.85</v>
      </c>
      <c r="K15" s="1">
        <v>16.87</v>
      </c>
      <c r="L15" s="1">
        <v>19.3</v>
      </c>
      <c r="M15" s="1">
        <v>11.69</v>
      </c>
      <c r="N15" s="1">
        <v>15.47</v>
      </c>
      <c r="O15" s="1">
        <v>13.74</v>
      </c>
      <c r="P15" s="1">
        <v>78.64</v>
      </c>
      <c r="Q15" s="1">
        <v>82.17</v>
      </c>
      <c r="R15" s="1">
        <v>86.47</v>
      </c>
    </row>
    <row r="16" spans="6:18">
      <c r="F16" s="1">
        <v>120</v>
      </c>
      <c r="G16" s="1">
        <v>13.59</v>
      </c>
      <c r="H16" s="1">
        <v>12.47</v>
      </c>
      <c r="I16" s="1">
        <v>11.26</v>
      </c>
      <c r="J16" s="1">
        <v>19.579999999999998</v>
      </c>
      <c r="K16" s="1">
        <v>26.47</v>
      </c>
      <c r="L16" s="1">
        <v>25.33</v>
      </c>
      <c r="M16" s="1">
        <v>16.98</v>
      </c>
      <c r="N16" s="1">
        <v>18.47</v>
      </c>
      <c r="O16" s="1">
        <v>19.420000000000002</v>
      </c>
      <c r="P16" s="1">
        <v>82.23</v>
      </c>
      <c r="Q16" s="1">
        <v>85.96</v>
      </c>
      <c r="R16" s="1">
        <v>91.76</v>
      </c>
    </row>
  </sheetData>
  <mergeCells count="4">
    <mergeCell ref="G7:I7"/>
    <mergeCell ref="J7:L7"/>
    <mergeCell ref="M7:O7"/>
    <mergeCell ref="P7:R7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E79BA-8314-4D2E-AADC-25162BFE718F}">
  <dimension ref="E6:Q15"/>
  <sheetViews>
    <sheetView workbookViewId="0">
      <selection activeCell="L22" sqref="L22"/>
    </sheetView>
  </sheetViews>
  <sheetFormatPr defaultRowHeight="14.4"/>
  <sheetData>
    <row r="6" spans="5:17" ht="14.7">
      <c r="E6" s="2" t="s">
        <v>89</v>
      </c>
      <c r="F6" s="39" t="s">
        <v>220</v>
      </c>
      <c r="G6" s="39"/>
      <c r="H6" s="39"/>
      <c r="I6" s="39" t="s">
        <v>221</v>
      </c>
      <c r="J6" s="39"/>
      <c r="K6" s="39"/>
      <c r="L6" s="39" t="s">
        <v>222</v>
      </c>
      <c r="M6" s="39"/>
      <c r="N6" s="39"/>
      <c r="O6" s="39" t="s">
        <v>225</v>
      </c>
      <c r="P6" s="39"/>
      <c r="Q6" s="39"/>
    </row>
    <row r="7" spans="5:17"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5:17">
      <c r="E8" s="1">
        <v>1</v>
      </c>
      <c r="F8" s="1">
        <v>0.16</v>
      </c>
      <c r="G8" s="1">
        <v>0.25</v>
      </c>
      <c r="H8" s="1">
        <v>0.47</v>
      </c>
      <c r="I8" s="1">
        <v>0.28000000000000003</v>
      </c>
      <c r="J8" s="1">
        <v>0.19</v>
      </c>
      <c r="K8" s="1">
        <v>0.82</v>
      </c>
      <c r="L8" s="1">
        <v>0.18</v>
      </c>
      <c r="M8" s="1">
        <v>0.26</v>
      </c>
      <c r="N8" s="1">
        <v>0.42</v>
      </c>
      <c r="O8" s="1">
        <v>1.26</v>
      </c>
      <c r="P8" s="1">
        <v>2.58</v>
      </c>
      <c r="Q8" s="1">
        <v>1.69</v>
      </c>
    </row>
    <row r="9" spans="5:17">
      <c r="E9" s="1">
        <v>4</v>
      </c>
      <c r="F9" s="1">
        <v>0.52</v>
      </c>
      <c r="G9" s="1">
        <v>0.86</v>
      </c>
      <c r="H9" s="1">
        <v>0.92</v>
      </c>
      <c r="I9" s="1">
        <v>1.59</v>
      </c>
      <c r="J9" s="1">
        <v>2.48</v>
      </c>
      <c r="K9" s="1">
        <v>2.2400000000000002</v>
      </c>
      <c r="L9" s="1">
        <v>1.68</v>
      </c>
      <c r="M9" s="1">
        <v>2.4700000000000002</v>
      </c>
      <c r="N9" s="1">
        <v>1.55</v>
      </c>
      <c r="O9" s="1">
        <v>5.89</v>
      </c>
      <c r="P9" s="1">
        <v>4.5599999999999996</v>
      </c>
      <c r="Q9" s="1">
        <v>3.26</v>
      </c>
    </row>
    <row r="10" spans="5:17">
      <c r="E10" s="1">
        <v>12</v>
      </c>
      <c r="F10" s="1">
        <v>1.26</v>
      </c>
      <c r="G10" s="1">
        <v>1.96</v>
      </c>
      <c r="H10" s="1">
        <v>1.27</v>
      </c>
      <c r="I10" s="1">
        <v>3.96</v>
      </c>
      <c r="J10" s="1">
        <v>4.58</v>
      </c>
      <c r="K10" s="1">
        <v>4.1500000000000004</v>
      </c>
      <c r="L10" s="1">
        <v>3.47</v>
      </c>
      <c r="M10" s="1">
        <v>2.88</v>
      </c>
      <c r="N10" s="1">
        <v>2.58</v>
      </c>
      <c r="O10" s="1">
        <v>16.89</v>
      </c>
      <c r="P10" s="1">
        <v>12.47</v>
      </c>
      <c r="Q10" s="1">
        <v>11.47</v>
      </c>
    </row>
    <row r="11" spans="5:17">
      <c r="E11" s="1">
        <v>24</v>
      </c>
      <c r="F11" s="1">
        <v>2.2599999999999998</v>
      </c>
      <c r="G11" s="1">
        <v>3.24</v>
      </c>
      <c r="H11" s="1">
        <v>2.2799999999999998</v>
      </c>
      <c r="I11" s="1">
        <v>5.68</v>
      </c>
      <c r="J11" s="1">
        <v>6.47</v>
      </c>
      <c r="K11" s="1">
        <v>7.12</v>
      </c>
      <c r="L11" s="1">
        <v>5.16</v>
      </c>
      <c r="M11" s="1">
        <v>4.5199999999999996</v>
      </c>
      <c r="N11" s="1">
        <v>6.58</v>
      </c>
      <c r="O11" s="1">
        <v>38.42</v>
      </c>
      <c r="P11" s="1">
        <v>28.47</v>
      </c>
      <c r="Q11" s="1">
        <v>44.15</v>
      </c>
    </row>
    <row r="12" spans="5:17">
      <c r="E12" s="1">
        <v>48</v>
      </c>
      <c r="F12" s="1">
        <v>7.49</v>
      </c>
      <c r="G12" s="1">
        <v>6.98</v>
      </c>
      <c r="H12" s="1">
        <v>8.4700000000000006</v>
      </c>
      <c r="I12" s="1">
        <v>7.96</v>
      </c>
      <c r="J12" s="1">
        <v>9.4499999999999993</v>
      </c>
      <c r="K12" s="1">
        <v>8.4700000000000006</v>
      </c>
      <c r="L12" s="1">
        <v>7.48</v>
      </c>
      <c r="M12" s="1">
        <v>5.49</v>
      </c>
      <c r="N12" s="1">
        <v>7.41</v>
      </c>
      <c r="O12" s="1">
        <v>46.89</v>
      </c>
      <c r="P12" s="1">
        <v>56.83</v>
      </c>
      <c r="Q12" s="1">
        <v>62.47</v>
      </c>
    </row>
    <row r="13" spans="5:17">
      <c r="E13" s="1">
        <v>72</v>
      </c>
      <c r="F13" s="1">
        <v>10.25</v>
      </c>
      <c r="G13" s="1">
        <v>7.58</v>
      </c>
      <c r="H13" s="1">
        <v>10.26</v>
      </c>
      <c r="I13" s="1">
        <v>9.86</v>
      </c>
      <c r="J13" s="1">
        <v>12.47</v>
      </c>
      <c r="K13" s="1">
        <v>15.47</v>
      </c>
      <c r="L13" s="1">
        <v>9.89</v>
      </c>
      <c r="M13" s="1">
        <v>6.25</v>
      </c>
      <c r="N13" s="1">
        <v>13.41</v>
      </c>
      <c r="O13" s="1">
        <v>59.84</v>
      </c>
      <c r="P13" s="1">
        <v>66.42</v>
      </c>
      <c r="Q13" s="1">
        <v>77.48</v>
      </c>
    </row>
    <row r="14" spans="5:17">
      <c r="E14" s="1">
        <v>96</v>
      </c>
      <c r="F14" s="1">
        <v>11.56</v>
      </c>
      <c r="G14" s="1">
        <v>8.27</v>
      </c>
      <c r="H14" s="1">
        <v>11.24</v>
      </c>
      <c r="I14" s="1">
        <v>10.28</v>
      </c>
      <c r="J14" s="1">
        <v>15.79</v>
      </c>
      <c r="K14" s="1">
        <v>18.79</v>
      </c>
      <c r="L14" s="1">
        <v>11.69</v>
      </c>
      <c r="M14" s="1">
        <v>15.47</v>
      </c>
      <c r="N14" s="1">
        <v>13.74</v>
      </c>
      <c r="O14" s="1">
        <v>76.12</v>
      </c>
      <c r="P14" s="1">
        <v>74.59</v>
      </c>
      <c r="Q14" s="1">
        <v>82.47</v>
      </c>
    </row>
    <row r="15" spans="5:17">
      <c r="E15" s="1">
        <v>120</v>
      </c>
      <c r="F15" s="1">
        <v>12.59</v>
      </c>
      <c r="G15" s="1">
        <v>9.2799999999999994</v>
      </c>
      <c r="H15" s="1">
        <v>11.47</v>
      </c>
      <c r="I15" s="1">
        <v>16.59</v>
      </c>
      <c r="J15" s="1">
        <v>20.14</v>
      </c>
      <c r="K15" s="1">
        <v>27.89</v>
      </c>
      <c r="L15" s="1">
        <v>12.47</v>
      </c>
      <c r="M15" s="1">
        <v>16.579999999999998</v>
      </c>
      <c r="N15" s="1">
        <v>15.47</v>
      </c>
      <c r="O15" s="1">
        <v>78.959999999999994</v>
      </c>
      <c r="P15" s="1">
        <v>80.14</v>
      </c>
      <c r="Q15" s="1">
        <v>85.47</v>
      </c>
    </row>
  </sheetData>
  <mergeCells count="4">
    <mergeCell ref="F6:H6"/>
    <mergeCell ref="I6:K6"/>
    <mergeCell ref="L6:N6"/>
    <mergeCell ref="O6:Q6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289B-4CC6-4F95-8CEA-AFE2485782FD}">
  <dimension ref="C5:AL13"/>
  <sheetViews>
    <sheetView workbookViewId="0">
      <selection activeCell="O19" sqref="O19"/>
    </sheetView>
  </sheetViews>
  <sheetFormatPr defaultRowHeight="14.4"/>
  <sheetData>
    <row r="5" spans="3:38">
      <c r="C5" s="2"/>
      <c r="D5" s="39" t="s">
        <v>6</v>
      </c>
      <c r="E5" s="39"/>
      <c r="F5" s="39"/>
      <c r="G5" s="39"/>
      <c r="H5" s="39"/>
      <c r="I5" s="39" t="s">
        <v>13</v>
      </c>
      <c r="J5" s="39"/>
      <c r="K5" s="39"/>
      <c r="L5" s="39"/>
      <c r="M5" s="39"/>
      <c r="N5" s="39" t="s">
        <v>22</v>
      </c>
      <c r="O5" s="39"/>
      <c r="P5" s="39"/>
      <c r="Q5" s="39"/>
      <c r="R5" s="39"/>
      <c r="S5" s="39" t="s">
        <v>14</v>
      </c>
      <c r="T5" s="39"/>
      <c r="U5" s="39"/>
      <c r="V5" s="39"/>
      <c r="W5" s="39"/>
      <c r="X5" s="39" t="s">
        <v>15</v>
      </c>
      <c r="Y5" s="39"/>
      <c r="Z5" s="39"/>
      <c r="AA5" s="39"/>
      <c r="AB5" s="39"/>
      <c r="AC5" s="39" t="s">
        <v>16</v>
      </c>
      <c r="AD5" s="39"/>
      <c r="AE5" s="39"/>
      <c r="AF5" s="39"/>
      <c r="AG5" s="39"/>
      <c r="AH5" s="39" t="s">
        <v>17</v>
      </c>
      <c r="AI5" s="39"/>
      <c r="AJ5" s="39"/>
      <c r="AK5" s="39"/>
      <c r="AL5" s="39"/>
    </row>
    <row r="6" spans="3:38">
      <c r="C6" s="1" t="s">
        <v>36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</row>
    <row r="7" spans="3:38">
      <c r="C7" s="1">
        <v>9</v>
      </c>
      <c r="D7" s="1">
        <v>103</v>
      </c>
      <c r="E7" s="1">
        <v>113.19</v>
      </c>
      <c r="F7" s="1">
        <v>103.4</v>
      </c>
      <c r="G7" s="1">
        <v>100.38</v>
      </c>
      <c r="H7" s="1">
        <v>115.88</v>
      </c>
      <c r="I7" s="1">
        <v>104.06</v>
      </c>
      <c r="J7" s="1">
        <v>120.3</v>
      </c>
      <c r="K7" s="1">
        <v>102.12</v>
      </c>
      <c r="L7" s="1">
        <v>114.17</v>
      </c>
      <c r="M7" s="1">
        <v>111.03</v>
      </c>
      <c r="N7" s="1">
        <v>102</v>
      </c>
      <c r="O7" s="1">
        <v>110</v>
      </c>
      <c r="P7" s="1">
        <v>95</v>
      </c>
      <c r="Q7" s="1">
        <v>105</v>
      </c>
      <c r="R7" s="1">
        <v>99</v>
      </c>
      <c r="S7" s="1">
        <v>113.52</v>
      </c>
      <c r="T7" s="1">
        <v>124.73</v>
      </c>
      <c r="U7" s="1">
        <v>113.68</v>
      </c>
      <c r="V7" s="1">
        <v>126.17</v>
      </c>
      <c r="W7" s="1">
        <v>108.51</v>
      </c>
      <c r="X7" s="1">
        <v>116.19</v>
      </c>
      <c r="Y7" s="1">
        <v>96.69</v>
      </c>
      <c r="Z7" s="1">
        <v>109.06</v>
      </c>
      <c r="AA7" s="1">
        <v>103</v>
      </c>
      <c r="AB7" s="1">
        <v>100.77</v>
      </c>
      <c r="AC7" s="1">
        <v>108.83</v>
      </c>
      <c r="AD7" s="1">
        <v>101.86</v>
      </c>
      <c r="AE7" s="1">
        <v>106.35</v>
      </c>
      <c r="AF7" s="1">
        <v>100.24</v>
      </c>
      <c r="AG7" s="1">
        <v>101.69</v>
      </c>
      <c r="AH7" s="1">
        <v>102.22</v>
      </c>
      <c r="AI7" s="1">
        <v>98.92</v>
      </c>
      <c r="AJ7" s="1">
        <v>109.53</v>
      </c>
      <c r="AK7" s="1">
        <v>108.35</v>
      </c>
      <c r="AL7" s="1">
        <v>104</v>
      </c>
    </row>
    <row r="8" spans="3:38">
      <c r="C8" s="1">
        <v>14</v>
      </c>
      <c r="D8" s="1">
        <v>170.36</v>
      </c>
      <c r="E8" s="1">
        <v>344.61</v>
      </c>
      <c r="F8" s="1">
        <v>176.49</v>
      </c>
      <c r="G8" s="1">
        <v>182.86</v>
      </c>
      <c r="H8" s="1">
        <v>167.53</v>
      </c>
      <c r="I8" s="1">
        <v>151.32</v>
      </c>
      <c r="J8" s="1">
        <v>142.28</v>
      </c>
      <c r="K8" s="1">
        <v>206.09</v>
      </c>
      <c r="L8" s="1">
        <v>197.02</v>
      </c>
      <c r="M8" s="1">
        <v>203.69</v>
      </c>
      <c r="N8" s="1">
        <v>139</v>
      </c>
      <c r="O8" s="1">
        <v>141</v>
      </c>
      <c r="P8" s="1">
        <v>208</v>
      </c>
      <c r="Q8" s="1">
        <v>176</v>
      </c>
      <c r="R8" s="1">
        <v>221</v>
      </c>
      <c r="S8" s="1">
        <v>190.54</v>
      </c>
      <c r="T8" s="1">
        <v>169.44</v>
      </c>
      <c r="U8" s="1">
        <v>217.17</v>
      </c>
      <c r="V8" s="1">
        <v>115.66</v>
      </c>
      <c r="W8" s="1">
        <v>196.32</v>
      </c>
      <c r="X8" s="1">
        <v>191.47</v>
      </c>
      <c r="Y8" s="1">
        <v>82.73</v>
      </c>
      <c r="Z8" s="1">
        <v>148.35</v>
      </c>
      <c r="AA8" s="1">
        <v>202.76</v>
      </c>
      <c r="AB8" s="1">
        <v>222.39</v>
      </c>
      <c r="AC8" s="1">
        <v>63.07</v>
      </c>
      <c r="AD8" s="1">
        <v>90.68</v>
      </c>
      <c r="AE8" s="1">
        <v>89.85</v>
      </c>
      <c r="AF8" s="1">
        <v>194.46</v>
      </c>
      <c r="AG8" s="1">
        <v>44.64</v>
      </c>
      <c r="AH8" s="1">
        <v>123.68</v>
      </c>
      <c r="AI8" s="1">
        <v>90.5</v>
      </c>
      <c r="AJ8" s="1">
        <v>102.47</v>
      </c>
      <c r="AK8" s="1">
        <v>137.16999999999999</v>
      </c>
      <c r="AL8" s="1">
        <v>174.59</v>
      </c>
    </row>
    <row r="9" spans="3:38">
      <c r="C9" s="1">
        <v>19</v>
      </c>
      <c r="D9" s="1">
        <v>277.23</v>
      </c>
      <c r="E9" s="1">
        <v>453.67</v>
      </c>
      <c r="F9" s="1">
        <v>389.76</v>
      </c>
      <c r="G9" s="1">
        <v>358.05</v>
      </c>
      <c r="H9" s="1">
        <v>348.28</v>
      </c>
      <c r="I9" s="1">
        <v>184.84</v>
      </c>
      <c r="J9" s="1">
        <v>152.26</v>
      </c>
      <c r="K9" s="1">
        <v>245.61</v>
      </c>
      <c r="L9" s="1">
        <v>267.88</v>
      </c>
      <c r="M9" s="1">
        <v>264.62</v>
      </c>
      <c r="N9" s="1">
        <v>195</v>
      </c>
      <c r="O9" s="1">
        <v>398</v>
      </c>
      <c r="P9" s="1">
        <v>328</v>
      </c>
      <c r="Q9" s="1">
        <v>359</v>
      </c>
      <c r="R9" s="1">
        <v>356</v>
      </c>
      <c r="S9" s="1">
        <v>280.85000000000002</v>
      </c>
      <c r="T9" s="1">
        <v>262.29000000000002</v>
      </c>
      <c r="U9" s="1">
        <v>280.42</v>
      </c>
      <c r="V9" s="1">
        <v>242.92</v>
      </c>
      <c r="W9" s="1">
        <v>261.14999999999998</v>
      </c>
      <c r="X9" s="1">
        <v>352.09</v>
      </c>
      <c r="Y9" s="1">
        <v>185.74</v>
      </c>
      <c r="Z9" s="1">
        <v>298.83</v>
      </c>
      <c r="AA9" s="1">
        <v>369.37</v>
      </c>
      <c r="AB9" s="1">
        <v>408.15</v>
      </c>
      <c r="AC9" s="1">
        <v>112.19</v>
      </c>
      <c r="AD9" s="1">
        <v>153.38</v>
      </c>
      <c r="AE9" s="1">
        <v>128.81</v>
      </c>
      <c r="AF9" s="1">
        <v>189.2</v>
      </c>
      <c r="AG9" s="1">
        <v>57.98</v>
      </c>
      <c r="AH9" s="1">
        <v>144.09</v>
      </c>
      <c r="AI9" s="1">
        <v>170.27</v>
      </c>
      <c r="AJ9" s="1">
        <v>311.66000000000003</v>
      </c>
      <c r="AK9" s="1">
        <v>320.37</v>
      </c>
      <c r="AL9" s="1">
        <v>304.70999999999998</v>
      </c>
    </row>
    <row r="10" spans="3:38">
      <c r="C10" s="1">
        <v>24</v>
      </c>
      <c r="D10" s="1">
        <v>381.36</v>
      </c>
      <c r="E10" s="1">
        <v>604.17999999999995</v>
      </c>
      <c r="F10" s="1">
        <v>548.52</v>
      </c>
      <c r="G10" s="1">
        <v>530.39</v>
      </c>
      <c r="H10" s="1">
        <v>480.75</v>
      </c>
      <c r="I10" s="1">
        <v>296.61</v>
      </c>
      <c r="J10" s="1">
        <v>412.85</v>
      </c>
      <c r="K10" s="1">
        <v>509.37</v>
      </c>
      <c r="L10" s="1">
        <v>320.57</v>
      </c>
      <c r="M10" s="1">
        <v>300.87</v>
      </c>
      <c r="N10" s="1">
        <v>267</v>
      </c>
      <c r="O10" s="1">
        <v>568</v>
      </c>
      <c r="P10" s="1">
        <v>412</v>
      </c>
      <c r="Q10" s="1">
        <v>547</v>
      </c>
      <c r="R10" s="1">
        <v>489</v>
      </c>
      <c r="S10" s="1">
        <v>495.71</v>
      </c>
      <c r="T10" s="1">
        <v>353.79</v>
      </c>
      <c r="U10" s="1">
        <v>468.99</v>
      </c>
      <c r="V10" s="1">
        <v>333.29</v>
      </c>
      <c r="W10" s="1">
        <v>372.95</v>
      </c>
      <c r="X10" s="1">
        <v>496.42</v>
      </c>
      <c r="Y10" s="1">
        <v>206.23</v>
      </c>
      <c r="Z10" s="1">
        <v>325.68</v>
      </c>
      <c r="AA10" s="1">
        <v>502.3</v>
      </c>
      <c r="AB10" s="1">
        <v>531.42999999999995</v>
      </c>
      <c r="AC10" s="1">
        <v>193.18</v>
      </c>
      <c r="AD10" s="1">
        <v>231.76</v>
      </c>
      <c r="AE10" s="1">
        <v>226.41</v>
      </c>
      <c r="AF10" s="1">
        <v>94.6</v>
      </c>
      <c r="AG10" s="1">
        <v>74.17</v>
      </c>
      <c r="AH10" s="1">
        <v>218.24</v>
      </c>
      <c r="AI10" s="1">
        <v>222.43</v>
      </c>
      <c r="AJ10" s="1">
        <v>442.4</v>
      </c>
      <c r="AK10" s="1">
        <v>475.24</v>
      </c>
      <c r="AL10" s="1">
        <v>489.34</v>
      </c>
    </row>
    <row r="11" spans="3:38">
      <c r="C11" s="1">
        <v>29</v>
      </c>
      <c r="D11" s="1">
        <v>786.31</v>
      </c>
      <c r="E11" s="1">
        <v>1202.23</v>
      </c>
      <c r="F11" s="1">
        <v>581.61</v>
      </c>
      <c r="G11" s="1">
        <v>650.39</v>
      </c>
      <c r="H11" s="1">
        <v>710.7</v>
      </c>
      <c r="I11" s="1">
        <v>418.38</v>
      </c>
      <c r="J11" s="1">
        <v>472.43</v>
      </c>
      <c r="K11" s="1">
        <v>634.20000000000005</v>
      </c>
      <c r="L11" s="1">
        <v>423.77</v>
      </c>
      <c r="M11" s="1">
        <v>589.45000000000005</v>
      </c>
      <c r="N11" s="1">
        <v>358.27</v>
      </c>
      <c r="O11" s="1">
        <v>837.71</v>
      </c>
      <c r="P11" s="1">
        <v>504.94</v>
      </c>
      <c r="Q11" s="1">
        <v>653.13</v>
      </c>
      <c r="R11" s="1">
        <v>656.77</v>
      </c>
      <c r="S11" s="1">
        <v>504.66</v>
      </c>
      <c r="T11" s="1">
        <v>455.16</v>
      </c>
      <c r="U11" s="1">
        <v>606.27</v>
      </c>
      <c r="V11" s="1">
        <v>647.74</v>
      </c>
      <c r="W11" s="1">
        <v>589.45000000000005</v>
      </c>
      <c r="X11" s="1">
        <v>551.64</v>
      </c>
      <c r="Y11" s="1">
        <v>450.07</v>
      </c>
      <c r="Z11" s="1">
        <v>449.8</v>
      </c>
      <c r="AA11" s="1">
        <v>771.14</v>
      </c>
      <c r="AB11" s="1">
        <v>555.66999999999996</v>
      </c>
      <c r="AC11" s="1">
        <v>327.52</v>
      </c>
      <c r="AD11" s="1">
        <v>284.8</v>
      </c>
      <c r="AE11" s="1">
        <v>370.6</v>
      </c>
      <c r="AF11" s="1">
        <v>304.89999999999998</v>
      </c>
      <c r="AG11" s="1">
        <v>181.9</v>
      </c>
      <c r="AH11" s="1">
        <v>449.04</v>
      </c>
      <c r="AI11" s="1">
        <v>385.35</v>
      </c>
      <c r="AJ11" s="1">
        <v>649.79999999999995</v>
      </c>
      <c r="AK11" s="1">
        <v>869.38</v>
      </c>
      <c r="AL11" s="1">
        <v>744.96</v>
      </c>
    </row>
    <row r="12" spans="3:38">
      <c r="C12" s="1">
        <v>36</v>
      </c>
      <c r="D12" s="1">
        <v>1132.48</v>
      </c>
      <c r="E12" s="1">
        <v>1817.04</v>
      </c>
      <c r="F12" s="1">
        <v>1090.29</v>
      </c>
      <c r="G12" s="1">
        <v>1192.78</v>
      </c>
      <c r="H12" s="1">
        <v>1057.53</v>
      </c>
      <c r="I12" s="1">
        <v>1212.96</v>
      </c>
      <c r="J12" s="1">
        <v>1078.69</v>
      </c>
      <c r="K12" s="1">
        <v>1015.68</v>
      </c>
      <c r="L12" s="1">
        <v>685.07</v>
      </c>
      <c r="M12" s="1">
        <v>843.28</v>
      </c>
      <c r="N12" s="1">
        <v>534</v>
      </c>
      <c r="O12" s="1">
        <v>1278</v>
      </c>
      <c r="P12" s="1">
        <v>787</v>
      </c>
      <c r="Q12" s="1">
        <v>1145</v>
      </c>
      <c r="R12" s="1">
        <v>843</v>
      </c>
      <c r="S12" s="1">
        <v>792.4</v>
      </c>
      <c r="T12" s="1">
        <v>565.49</v>
      </c>
      <c r="U12" s="1">
        <v>1483.56</v>
      </c>
      <c r="V12" s="1">
        <v>685.81</v>
      </c>
      <c r="W12" s="1">
        <v>796.14</v>
      </c>
      <c r="X12" s="1">
        <v>701.69</v>
      </c>
      <c r="Y12" s="1">
        <v>715.05</v>
      </c>
      <c r="Z12" s="1">
        <v>718.76</v>
      </c>
      <c r="AA12" s="1">
        <v>884.8</v>
      </c>
      <c r="AB12" s="1">
        <v>695.72</v>
      </c>
      <c r="AC12" s="1">
        <v>560.45000000000005</v>
      </c>
      <c r="AD12" s="1">
        <v>452.64</v>
      </c>
      <c r="AE12" s="1">
        <v>557.02</v>
      </c>
      <c r="AF12" s="1">
        <v>326.77999999999997</v>
      </c>
      <c r="AG12" s="1">
        <v>527.67999999999995</v>
      </c>
      <c r="AH12" s="1">
        <v>620.96</v>
      </c>
      <c r="AI12" s="1">
        <v>611.6</v>
      </c>
      <c r="AJ12" s="1">
        <v>803.05</v>
      </c>
      <c r="AK12" s="1">
        <v>1225.6400000000001</v>
      </c>
      <c r="AL12" s="1">
        <v>1028.03</v>
      </c>
    </row>
    <row r="13" spans="3:38">
      <c r="C13" s="1">
        <v>42</v>
      </c>
      <c r="D13" s="1">
        <v>1448.73</v>
      </c>
      <c r="E13" s="1">
        <v>2567.7800000000002</v>
      </c>
      <c r="F13" s="1">
        <v>1977.52</v>
      </c>
      <c r="G13" s="1">
        <v>1948.54</v>
      </c>
      <c r="H13" s="1">
        <v>1518.98</v>
      </c>
      <c r="I13" s="1">
        <v>1903.42</v>
      </c>
      <c r="J13" s="1">
        <v>1481.88</v>
      </c>
      <c r="K13" s="1">
        <v>1609.1</v>
      </c>
      <c r="L13" s="1">
        <v>862.33</v>
      </c>
      <c r="M13" s="1">
        <v>1315.91</v>
      </c>
      <c r="N13" s="1">
        <v>925.16</v>
      </c>
      <c r="O13" s="1">
        <v>1659.45</v>
      </c>
      <c r="P13" s="1">
        <v>1095.21</v>
      </c>
      <c r="Q13" s="1">
        <v>1470.7</v>
      </c>
      <c r="R13" s="1">
        <v>1182.2</v>
      </c>
      <c r="S13" s="1">
        <v>1104.77</v>
      </c>
      <c r="T13" s="1">
        <v>869.11</v>
      </c>
      <c r="U13" s="1">
        <v>1583.34</v>
      </c>
      <c r="V13" s="1">
        <v>1320.18</v>
      </c>
      <c r="W13" s="1">
        <v>894.5</v>
      </c>
      <c r="X13" s="1">
        <v>1102.32</v>
      </c>
      <c r="Y13" s="1">
        <v>1359.62</v>
      </c>
      <c r="Z13" s="1">
        <v>1085.8900000000001</v>
      </c>
      <c r="AA13" s="1">
        <v>1064.23</v>
      </c>
      <c r="AB13" s="1">
        <v>1150.22</v>
      </c>
      <c r="AC13" s="1">
        <v>846.43</v>
      </c>
      <c r="AD13" s="1">
        <v>324.8</v>
      </c>
      <c r="AE13" s="1">
        <v>653.67999999999995</v>
      </c>
      <c r="AF13" s="1">
        <v>471.38</v>
      </c>
      <c r="AG13" s="1">
        <v>847.01</v>
      </c>
      <c r="AH13" s="1">
        <v>826.74</v>
      </c>
      <c r="AI13" s="1">
        <v>729.52</v>
      </c>
      <c r="AJ13" s="1">
        <v>815.62</v>
      </c>
      <c r="AK13" s="1">
        <v>2352.2199999999998</v>
      </c>
      <c r="AL13" s="1">
        <v>1115.95</v>
      </c>
    </row>
  </sheetData>
  <mergeCells count="7">
    <mergeCell ref="AH5:AL5"/>
    <mergeCell ref="D5:H5"/>
    <mergeCell ref="I5:M5"/>
    <mergeCell ref="N5:R5"/>
    <mergeCell ref="S5:W5"/>
    <mergeCell ref="X5:AB5"/>
    <mergeCell ref="AC5:AG5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5A918-441C-4F72-9B34-40E779AA1C87}">
  <dimension ref="C5:U14"/>
  <sheetViews>
    <sheetView workbookViewId="0">
      <selection activeCell="H21" sqref="H21"/>
    </sheetView>
  </sheetViews>
  <sheetFormatPr defaultRowHeight="14.4"/>
  <sheetData>
    <row r="5" spans="3:21">
      <c r="C5" t="s">
        <v>286</v>
      </c>
      <c r="D5" s="39" t="s">
        <v>280</v>
      </c>
      <c r="E5" s="39"/>
      <c r="F5" s="39"/>
      <c r="G5" s="39" t="s">
        <v>281</v>
      </c>
      <c r="H5" s="39"/>
      <c r="I5" s="39"/>
      <c r="J5" s="39" t="s">
        <v>282</v>
      </c>
      <c r="K5" s="39"/>
      <c r="L5" s="39"/>
      <c r="M5" s="39" t="s">
        <v>283</v>
      </c>
      <c r="N5" s="39"/>
      <c r="O5" s="39"/>
      <c r="P5" s="39" t="s">
        <v>284</v>
      </c>
      <c r="Q5" s="39"/>
      <c r="R5" s="39"/>
      <c r="S5" s="39" t="s">
        <v>285</v>
      </c>
      <c r="T5" s="39"/>
      <c r="U5" s="39"/>
    </row>
    <row r="6" spans="3:21">
      <c r="D6" s="1">
        <v>102.515</v>
      </c>
      <c r="E6" s="1">
        <v>94.43</v>
      </c>
      <c r="F6" s="1">
        <v>81.040999999999997</v>
      </c>
      <c r="G6" s="1">
        <v>87.134</v>
      </c>
      <c r="H6" s="1">
        <v>95.983999999999995</v>
      </c>
      <c r="I6" s="1">
        <v>87.945999999999998</v>
      </c>
      <c r="J6" s="1">
        <v>81.903999999999996</v>
      </c>
      <c r="K6" s="1">
        <v>83.677999999999997</v>
      </c>
      <c r="L6" s="1">
        <v>99.936000000000007</v>
      </c>
      <c r="M6" s="1">
        <v>95.453999999999994</v>
      </c>
      <c r="N6" s="1">
        <v>100.974</v>
      </c>
      <c r="O6" s="1">
        <v>102.029</v>
      </c>
      <c r="P6" s="1">
        <v>93.76</v>
      </c>
      <c r="Q6" s="1">
        <v>103.71899999999999</v>
      </c>
      <c r="R6" s="1">
        <v>97.923000000000002</v>
      </c>
      <c r="S6" s="1">
        <v>166.643</v>
      </c>
      <c r="T6" s="1">
        <v>175.14699999999999</v>
      </c>
      <c r="U6" s="1">
        <v>177.88499999999999</v>
      </c>
    </row>
    <row r="9" spans="3:21">
      <c r="C9" t="s">
        <v>287</v>
      </c>
      <c r="D9" s="39" t="s">
        <v>280</v>
      </c>
      <c r="E9" s="39"/>
      <c r="F9" s="39"/>
      <c r="G9" s="39" t="s">
        <v>281</v>
      </c>
      <c r="H9" s="39"/>
      <c r="I9" s="39"/>
      <c r="J9" s="39" t="s">
        <v>282</v>
      </c>
      <c r="K9" s="39"/>
      <c r="L9" s="39"/>
      <c r="M9" s="39" t="s">
        <v>283</v>
      </c>
      <c r="N9" s="39"/>
      <c r="O9" s="39"/>
      <c r="P9" s="39" t="s">
        <v>284</v>
      </c>
      <c r="Q9" s="39"/>
      <c r="R9" s="39"/>
      <c r="S9" s="39" t="s">
        <v>285</v>
      </c>
      <c r="T9" s="39"/>
      <c r="U9" s="39"/>
    </row>
    <row r="10" spans="3:21">
      <c r="D10" s="1">
        <v>63.331000000000003</v>
      </c>
      <c r="E10" s="1">
        <v>72.314999999999998</v>
      </c>
      <c r="F10" s="1">
        <v>66.483999999999995</v>
      </c>
      <c r="G10" s="1">
        <v>75.747</v>
      </c>
      <c r="H10" s="1">
        <v>62.445</v>
      </c>
      <c r="I10" s="1">
        <v>53.820999999999998</v>
      </c>
      <c r="J10" s="1">
        <v>63.384</v>
      </c>
      <c r="K10" s="1">
        <v>54.249000000000002</v>
      </c>
      <c r="L10" s="1">
        <v>51.061</v>
      </c>
      <c r="M10" s="1">
        <v>57.01</v>
      </c>
      <c r="N10" s="1">
        <v>68.790999999999997</v>
      </c>
      <c r="O10" s="1">
        <v>54.354999999999997</v>
      </c>
      <c r="P10" s="1">
        <v>67.120999999999995</v>
      </c>
      <c r="Q10" s="1">
        <v>64.998999999999995</v>
      </c>
      <c r="R10" s="1">
        <v>59.558</v>
      </c>
      <c r="S10" s="1">
        <v>141.345</v>
      </c>
      <c r="T10" s="1">
        <v>140.97399999999999</v>
      </c>
      <c r="U10" s="1">
        <v>148.30799999999999</v>
      </c>
    </row>
    <row r="13" spans="3:21">
      <c r="C13" t="s">
        <v>288</v>
      </c>
      <c r="D13" s="39" t="s">
        <v>280</v>
      </c>
      <c r="E13" s="39"/>
      <c r="F13" s="39"/>
      <c r="G13" s="39" t="s">
        <v>281</v>
      </c>
      <c r="H13" s="39"/>
      <c r="I13" s="39"/>
      <c r="J13" s="39" t="s">
        <v>282</v>
      </c>
      <c r="K13" s="39"/>
      <c r="L13" s="39"/>
      <c r="M13" s="39" t="s">
        <v>283</v>
      </c>
      <c r="N13" s="39"/>
      <c r="O13" s="39"/>
      <c r="P13" s="39" t="s">
        <v>284</v>
      </c>
      <c r="Q13" s="39"/>
      <c r="R13" s="39"/>
      <c r="S13" s="39" t="s">
        <v>285</v>
      </c>
      <c r="T13" s="39"/>
      <c r="U13" s="39"/>
    </row>
    <row r="14" spans="3:21">
      <c r="D14" s="1">
        <v>62.241</v>
      </c>
      <c r="E14" s="1">
        <v>47.326999999999998</v>
      </c>
      <c r="F14" s="1">
        <v>56.581000000000003</v>
      </c>
      <c r="G14" s="1">
        <v>54.097000000000001</v>
      </c>
      <c r="H14" s="1">
        <v>57.7</v>
      </c>
      <c r="I14" s="1">
        <v>65.614999999999995</v>
      </c>
      <c r="J14" s="1">
        <v>52.656999999999996</v>
      </c>
      <c r="K14" s="1">
        <v>55.771000000000001</v>
      </c>
      <c r="L14" s="1">
        <v>58.454999999999998</v>
      </c>
      <c r="M14" s="1">
        <v>56.359000000000002</v>
      </c>
      <c r="N14" s="1">
        <v>73.296999999999997</v>
      </c>
      <c r="O14" s="1">
        <v>62.218000000000004</v>
      </c>
      <c r="P14" s="1">
        <v>70.884</v>
      </c>
      <c r="Q14" s="1">
        <v>64.789000000000001</v>
      </c>
      <c r="R14" s="1">
        <v>59.118000000000002</v>
      </c>
      <c r="S14" s="1">
        <v>111.649</v>
      </c>
      <c r="T14" s="1">
        <v>99.406999999999996</v>
      </c>
      <c r="U14" s="1">
        <v>109.729</v>
      </c>
    </row>
  </sheetData>
  <mergeCells count="18">
    <mergeCell ref="S5:U5"/>
    <mergeCell ref="D5:F5"/>
    <mergeCell ref="G5:I5"/>
    <mergeCell ref="J5:L5"/>
    <mergeCell ref="M5:O5"/>
    <mergeCell ref="P5:R5"/>
    <mergeCell ref="S13:U13"/>
    <mergeCell ref="D9:F9"/>
    <mergeCell ref="G9:I9"/>
    <mergeCell ref="J9:L9"/>
    <mergeCell ref="M9:O9"/>
    <mergeCell ref="P9:R9"/>
    <mergeCell ref="S9:U9"/>
    <mergeCell ref="D13:F13"/>
    <mergeCell ref="G13:I13"/>
    <mergeCell ref="J13:L13"/>
    <mergeCell ref="M13:O13"/>
    <mergeCell ref="P13:R13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329A5-E53E-45DE-833C-06F7E45BA1C0}">
  <dimension ref="C3:I10"/>
  <sheetViews>
    <sheetView workbookViewId="0">
      <selection activeCell="O18" sqref="O18"/>
    </sheetView>
  </sheetViews>
  <sheetFormatPr defaultRowHeight="14.4"/>
  <sheetData>
    <row r="3" spans="3:9">
      <c r="C3" s="2"/>
      <c r="D3" s="39" t="s">
        <v>15</v>
      </c>
      <c r="E3" s="39"/>
      <c r="F3" s="39"/>
      <c r="G3" s="39" t="s">
        <v>17</v>
      </c>
      <c r="H3" s="39"/>
      <c r="I3" s="39"/>
    </row>
    <row r="4" spans="3:9">
      <c r="C4" s="1">
        <v>8.3333000000000004E-2</v>
      </c>
      <c r="D4" s="1">
        <v>99.06</v>
      </c>
      <c r="E4" s="1">
        <v>98.65</v>
      </c>
      <c r="F4" s="1">
        <v>99.26</v>
      </c>
      <c r="G4" s="1">
        <v>98.44</v>
      </c>
      <c r="H4" s="1">
        <v>100.2</v>
      </c>
      <c r="I4" s="1">
        <v>99.84</v>
      </c>
    </row>
    <row r="5" spans="3:9">
      <c r="C5" s="1">
        <v>0.3333333</v>
      </c>
      <c r="D5" s="1">
        <v>95.74</v>
      </c>
      <c r="E5" s="1">
        <v>95.47</v>
      </c>
      <c r="F5" s="1">
        <v>94.56</v>
      </c>
      <c r="G5" s="1">
        <v>86.47</v>
      </c>
      <c r="H5" s="1">
        <v>84.2</v>
      </c>
      <c r="I5" s="1">
        <v>96.15</v>
      </c>
    </row>
    <row r="6" spans="3:9">
      <c r="C6" s="1">
        <v>1</v>
      </c>
      <c r="D6" s="1">
        <v>69.040000000000006</v>
      </c>
      <c r="E6" s="1">
        <v>79.78</v>
      </c>
      <c r="F6" s="1">
        <v>80.31</v>
      </c>
      <c r="G6" s="1">
        <v>42.24</v>
      </c>
      <c r="H6" s="1">
        <v>38.47</v>
      </c>
      <c r="I6" s="1">
        <v>78.64</v>
      </c>
    </row>
    <row r="7" spans="3:9">
      <c r="C7" s="1">
        <v>2.5</v>
      </c>
      <c r="D7" s="1">
        <v>33.409999999999997</v>
      </c>
      <c r="E7" s="1">
        <v>29.99</v>
      </c>
      <c r="F7" s="1">
        <v>32.06</v>
      </c>
      <c r="G7" s="1">
        <v>20.52</v>
      </c>
      <c r="H7" s="1">
        <v>14.96</v>
      </c>
      <c r="I7" s="1">
        <v>18.66</v>
      </c>
    </row>
    <row r="8" spans="3:9">
      <c r="C8" s="1">
        <v>8</v>
      </c>
      <c r="D8" s="1">
        <v>1.56</v>
      </c>
      <c r="E8" s="1">
        <v>2.4300000000000002</v>
      </c>
      <c r="F8" s="1">
        <v>1.62</v>
      </c>
      <c r="G8" s="1">
        <v>1.71</v>
      </c>
      <c r="H8" s="1">
        <v>1.02</v>
      </c>
      <c r="I8" s="1">
        <v>5.7</v>
      </c>
    </row>
    <row r="9" spans="3:9">
      <c r="C9" s="1">
        <v>12</v>
      </c>
      <c r="D9" s="1">
        <v>1.1299999999999999</v>
      </c>
      <c r="E9" s="1">
        <v>1.1299999999999999</v>
      </c>
      <c r="F9" s="1">
        <v>1.1299999999999999</v>
      </c>
      <c r="G9" s="1">
        <v>0.78</v>
      </c>
      <c r="H9" s="1">
        <v>0.62</v>
      </c>
      <c r="I9" s="1">
        <v>1.24</v>
      </c>
    </row>
    <row r="10" spans="3:9">
      <c r="C10" s="1">
        <v>24</v>
      </c>
      <c r="D10" s="1">
        <v>0.49</v>
      </c>
      <c r="E10" s="1">
        <v>0.62</v>
      </c>
      <c r="F10" s="1">
        <v>0.65</v>
      </c>
      <c r="G10" s="1">
        <v>0.31</v>
      </c>
      <c r="H10" s="1">
        <v>0.17</v>
      </c>
      <c r="I10" s="1">
        <v>0.13</v>
      </c>
    </row>
  </sheetData>
  <mergeCells count="2">
    <mergeCell ref="D3:F3"/>
    <mergeCell ref="G3:I3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DCEB-4056-4BB3-9531-AD699F4911BD}">
  <dimension ref="E7:K13"/>
  <sheetViews>
    <sheetView workbookViewId="0">
      <selection activeCell="F23" sqref="F23"/>
    </sheetView>
  </sheetViews>
  <sheetFormatPr defaultRowHeight="14.4"/>
  <sheetData>
    <row r="7" spans="5:11">
      <c r="E7" s="2"/>
      <c r="F7" s="39" t="s">
        <v>15</v>
      </c>
      <c r="G7" s="39"/>
      <c r="H7" s="39"/>
      <c r="I7" s="39" t="s">
        <v>17</v>
      </c>
      <c r="J7" s="39"/>
      <c r="K7" s="39"/>
    </row>
    <row r="8" spans="5:11">
      <c r="E8" s="3" t="s">
        <v>0</v>
      </c>
      <c r="F8" s="1">
        <v>0.02</v>
      </c>
      <c r="G8" s="1">
        <v>0.34</v>
      </c>
      <c r="H8" s="1">
        <v>0.27</v>
      </c>
      <c r="I8" s="1">
        <v>0.02</v>
      </c>
      <c r="J8" s="1">
        <v>0.28000000000000003</v>
      </c>
      <c r="K8" s="1">
        <v>0.18</v>
      </c>
    </row>
    <row r="9" spans="5:11">
      <c r="E9" s="3" t="s">
        <v>1</v>
      </c>
      <c r="F9" s="1">
        <v>40.409999999999997</v>
      </c>
      <c r="G9" s="1">
        <v>28.59</v>
      </c>
      <c r="H9" s="1">
        <v>37.92</v>
      </c>
      <c r="I9" s="1">
        <v>31.51</v>
      </c>
      <c r="J9" s="1">
        <v>25.1</v>
      </c>
      <c r="K9" s="1">
        <v>24.62</v>
      </c>
    </row>
    <row r="10" spans="5:11">
      <c r="E10" s="3" t="s">
        <v>2</v>
      </c>
      <c r="F10" s="1">
        <v>7.26</v>
      </c>
      <c r="G10" s="1">
        <v>7.92</v>
      </c>
      <c r="H10" s="1">
        <v>4.68</v>
      </c>
      <c r="I10" s="1">
        <v>5.82</v>
      </c>
      <c r="J10" s="1">
        <v>7.33</v>
      </c>
      <c r="K10" s="1">
        <v>3.92</v>
      </c>
    </row>
    <row r="11" spans="5:11">
      <c r="E11" s="3" t="s">
        <v>3</v>
      </c>
      <c r="F11" s="1">
        <v>0.77</v>
      </c>
      <c r="G11" s="1">
        <v>0.82</v>
      </c>
      <c r="H11" s="1">
        <v>1.07</v>
      </c>
      <c r="I11" s="1">
        <v>0.61</v>
      </c>
      <c r="J11" s="1">
        <v>0.56999999999999995</v>
      </c>
      <c r="K11" s="1">
        <v>0.53</v>
      </c>
    </row>
    <row r="12" spans="5:11">
      <c r="E12" s="3" t="s">
        <v>4</v>
      </c>
      <c r="F12" s="1">
        <v>1.17</v>
      </c>
      <c r="G12" s="1">
        <v>0.49</v>
      </c>
      <c r="H12" s="1">
        <v>0.47</v>
      </c>
      <c r="I12" s="1">
        <v>0.84</v>
      </c>
      <c r="J12" s="1">
        <v>0.34</v>
      </c>
      <c r="K12" s="1">
        <v>0.44</v>
      </c>
    </row>
    <row r="13" spans="5:11">
      <c r="E13" s="3" t="s">
        <v>5</v>
      </c>
      <c r="F13" s="1">
        <v>1.05</v>
      </c>
      <c r="G13" s="1">
        <v>1.77</v>
      </c>
      <c r="H13" s="1">
        <v>0.89</v>
      </c>
      <c r="I13" s="1">
        <v>0.99</v>
      </c>
      <c r="J13" s="1">
        <v>1</v>
      </c>
      <c r="K13" s="1">
        <v>0.85</v>
      </c>
    </row>
  </sheetData>
  <mergeCells count="2">
    <mergeCell ref="F7:H7"/>
    <mergeCell ref="I7:K7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17A30-73A0-4464-B49B-88188CCED31E}">
  <dimension ref="F5:L7"/>
  <sheetViews>
    <sheetView workbookViewId="0">
      <selection activeCell="H23" sqref="H23"/>
    </sheetView>
  </sheetViews>
  <sheetFormatPr defaultRowHeight="14.4"/>
  <cols>
    <col min="6" max="6" width="19.62890625" customWidth="1"/>
  </cols>
  <sheetData>
    <row r="5" spans="6:12">
      <c r="F5" s="2"/>
      <c r="G5" s="39" t="s">
        <v>23</v>
      </c>
      <c r="H5" s="39"/>
      <c r="I5" s="39"/>
      <c r="J5" s="39" t="s">
        <v>24</v>
      </c>
      <c r="K5" s="39"/>
      <c r="L5" s="39"/>
    </row>
    <row r="6" spans="6:12">
      <c r="F6" s="3" t="s">
        <v>15</v>
      </c>
      <c r="G6" s="1">
        <v>0.21</v>
      </c>
      <c r="H6" s="1">
        <v>0.5</v>
      </c>
      <c r="I6" s="1">
        <v>0.36</v>
      </c>
      <c r="J6" s="1">
        <v>0.84</v>
      </c>
      <c r="K6" s="1">
        <v>1.26</v>
      </c>
      <c r="L6" s="1">
        <v>0.53</v>
      </c>
    </row>
    <row r="7" spans="6:12">
      <c r="F7" s="3" t="s">
        <v>17</v>
      </c>
      <c r="G7" s="1">
        <v>0.23</v>
      </c>
      <c r="H7" s="1">
        <v>0.32</v>
      </c>
      <c r="I7" s="1">
        <v>0.38</v>
      </c>
      <c r="J7" s="1">
        <v>0.76</v>
      </c>
      <c r="K7" s="1">
        <v>0.68</v>
      </c>
      <c r="L7" s="1">
        <v>0.47</v>
      </c>
    </row>
  </sheetData>
  <mergeCells count="2">
    <mergeCell ref="G5:I5"/>
    <mergeCell ref="J5:L5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F4C25-8A42-44B6-8783-645189CAB5D6}">
  <dimension ref="C5:AQ10"/>
  <sheetViews>
    <sheetView workbookViewId="0">
      <selection activeCell="L22" sqref="L22"/>
    </sheetView>
  </sheetViews>
  <sheetFormatPr defaultRowHeight="14.4"/>
  <sheetData>
    <row r="5" spans="3:43">
      <c r="C5" s="2" t="s">
        <v>36</v>
      </c>
      <c r="D5" s="39" t="s">
        <v>6</v>
      </c>
      <c r="E5" s="39"/>
      <c r="F5" s="39"/>
      <c r="G5" s="39"/>
      <c r="H5" s="39"/>
      <c r="I5" s="39" t="s">
        <v>13</v>
      </c>
      <c r="J5" s="39"/>
      <c r="K5" s="39"/>
      <c r="L5" s="39"/>
      <c r="M5" s="39"/>
      <c r="N5" s="39" t="s">
        <v>14</v>
      </c>
      <c r="O5" s="39"/>
      <c r="P5" s="39"/>
      <c r="Q5" s="39"/>
      <c r="R5" s="39"/>
      <c r="S5" s="39" t="s">
        <v>22</v>
      </c>
      <c r="T5" s="39"/>
      <c r="U5" s="39"/>
      <c r="V5" s="39"/>
      <c r="W5" s="39"/>
      <c r="X5" s="39" t="s">
        <v>16</v>
      </c>
      <c r="Y5" s="39"/>
      <c r="Z5" s="39"/>
      <c r="AA5" s="39"/>
      <c r="AB5" s="39"/>
      <c r="AC5" s="39" t="s">
        <v>18</v>
      </c>
      <c r="AD5" s="39"/>
      <c r="AE5" s="39"/>
      <c r="AF5" s="39"/>
      <c r="AG5" s="39"/>
      <c r="AH5" s="39" t="s">
        <v>19</v>
      </c>
      <c r="AI5" s="39"/>
      <c r="AJ5" s="39"/>
      <c r="AK5" s="39"/>
      <c r="AL5" s="39"/>
      <c r="AM5" s="39" t="s">
        <v>21</v>
      </c>
      <c r="AN5" s="39"/>
      <c r="AO5" s="39"/>
      <c r="AP5" s="39"/>
      <c r="AQ5" s="39"/>
    </row>
    <row r="6" spans="3:43"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</row>
    <row r="7" spans="3:43">
      <c r="C7" s="1">
        <v>16</v>
      </c>
      <c r="D7" s="1">
        <v>316.74</v>
      </c>
      <c r="E7" s="1">
        <v>310.64999999999998</v>
      </c>
      <c r="F7" s="1">
        <v>313.61</v>
      </c>
      <c r="G7" s="1">
        <v>302.06</v>
      </c>
      <c r="H7" s="1">
        <v>316.18</v>
      </c>
      <c r="I7" s="1">
        <v>286.98</v>
      </c>
      <c r="J7" s="1">
        <v>312.79000000000002</v>
      </c>
      <c r="K7" s="1">
        <v>298.29000000000002</v>
      </c>
      <c r="L7" s="1">
        <v>317.45999999999998</v>
      </c>
      <c r="M7" s="1">
        <v>312.8</v>
      </c>
      <c r="N7" s="1">
        <v>317.81</v>
      </c>
      <c r="O7" s="1">
        <v>313.10000000000002</v>
      </c>
      <c r="P7" s="1">
        <v>312.06</v>
      </c>
      <c r="Q7" s="1">
        <v>318.26</v>
      </c>
      <c r="R7" s="1">
        <v>316.83</v>
      </c>
      <c r="S7" s="1">
        <v>302</v>
      </c>
      <c r="T7" s="1">
        <v>295</v>
      </c>
      <c r="U7" s="1">
        <v>310</v>
      </c>
      <c r="V7" s="1">
        <v>298</v>
      </c>
      <c r="W7" s="1">
        <v>304</v>
      </c>
      <c r="X7" s="1">
        <v>300.77999999999997</v>
      </c>
      <c r="Y7" s="1">
        <v>300.38</v>
      </c>
      <c r="Z7" s="1">
        <v>289.95</v>
      </c>
      <c r="AA7" s="1">
        <v>303.45999999999998</v>
      </c>
      <c r="AB7" s="1">
        <v>324.81</v>
      </c>
      <c r="AC7" s="1">
        <v>297.56</v>
      </c>
      <c r="AD7" s="1">
        <v>293.08999999999997</v>
      </c>
      <c r="AE7" s="1">
        <v>300.61</v>
      </c>
      <c r="AF7" s="1">
        <v>302.56</v>
      </c>
      <c r="AG7" s="1">
        <v>301.19</v>
      </c>
      <c r="AH7" s="1">
        <v>304.27999999999997</v>
      </c>
      <c r="AI7" s="1">
        <v>291.81</v>
      </c>
      <c r="AJ7" s="1">
        <v>307.87</v>
      </c>
      <c r="AK7" s="1">
        <v>293.45999999999998</v>
      </c>
      <c r="AL7" s="1">
        <v>279.95999999999998</v>
      </c>
      <c r="AM7" s="1">
        <v>307.02</v>
      </c>
      <c r="AN7" s="1">
        <v>301.27999999999997</v>
      </c>
      <c r="AO7" s="1">
        <v>295.02999999999997</v>
      </c>
      <c r="AP7" s="1">
        <v>307.12</v>
      </c>
      <c r="AQ7" s="1">
        <v>298.17</v>
      </c>
    </row>
    <row r="8" spans="3:43">
      <c r="C8" s="1">
        <v>23</v>
      </c>
      <c r="D8" s="1">
        <v>708.4</v>
      </c>
      <c r="E8" s="1">
        <v>885.01</v>
      </c>
      <c r="F8" s="1">
        <v>776.86</v>
      </c>
      <c r="G8" s="1">
        <v>708.12</v>
      </c>
      <c r="H8" s="1">
        <v>1189.47</v>
      </c>
      <c r="I8" s="1">
        <v>751.98</v>
      </c>
      <c r="J8" s="1">
        <v>862.93</v>
      </c>
      <c r="K8" s="1">
        <v>919.74</v>
      </c>
      <c r="L8" s="1">
        <v>580.6</v>
      </c>
      <c r="M8" s="1">
        <v>763.08</v>
      </c>
      <c r="N8" s="1">
        <v>777.09</v>
      </c>
      <c r="O8" s="1">
        <v>670.51</v>
      </c>
      <c r="P8" s="1">
        <v>668.54</v>
      </c>
      <c r="Q8" s="1">
        <v>673.68</v>
      </c>
      <c r="R8" s="1">
        <v>515.1</v>
      </c>
      <c r="S8" s="1">
        <v>821.09</v>
      </c>
      <c r="T8" s="1">
        <v>659.61</v>
      </c>
      <c r="U8" s="1">
        <v>1117.78</v>
      </c>
      <c r="V8" s="1">
        <v>498.68</v>
      </c>
      <c r="W8" s="1">
        <v>865.34</v>
      </c>
      <c r="X8" s="1">
        <v>429.77</v>
      </c>
      <c r="Y8" s="1">
        <v>560.22</v>
      </c>
      <c r="Z8" s="1">
        <v>478.36</v>
      </c>
      <c r="AA8" s="1">
        <v>819.58</v>
      </c>
      <c r="AB8" s="1">
        <v>559.36</v>
      </c>
      <c r="AC8" s="1">
        <v>834.07</v>
      </c>
      <c r="AD8" s="1">
        <v>443.13</v>
      </c>
      <c r="AE8" s="1">
        <v>336.49</v>
      </c>
      <c r="AF8" s="1">
        <v>336.96</v>
      </c>
      <c r="AG8" s="1">
        <v>342.38</v>
      </c>
      <c r="AH8" s="1">
        <v>401.71</v>
      </c>
      <c r="AI8" s="1">
        <v>465.71</v>
      </c>
      <c r="AJ8" s="1">
        <v>460.27</v>
      </c>
      <c r="AK8" s="1">
        <v>451.28</v>
      </c>
      <c r="AL8" s="1">
        <v>420.72</v>
      </c>
      <c r="AM8" s="1">
        <v>303.66000000000003</v>
      </c>
      <c r="AN8" s="1">
        <v>296.95</v>
      </c>
      <c r="AO8" s="1">
        <v>219.96</v>
      </c>
      <c r="AP8" s="1">
        <v>279.45</v>
      </c>
      <c r="AQ8" s="1">
        <v>321.88</v>
      </c>
    </row>
    <row r="9" spans="3:43">
      <c r="C9" s="1">
        <v>30</v>
      </c>
      <c r="D9" s="1">
        <v>1379.28</v>
      </c>
      <c r="E9" s="1">
        <v>1321.75</v>
      </c>
      <c r="F9" s="1">
        <v>1087.49</v>
      </c>
      <c r="G9" s="1">
        <v>898.3</v>
      </c>
      <c r="H9" s="1">
        <v>1606.01</v>
      </c>
      <c r="I9" s="1">
        <v>1032.03</v>
      </c>
      <c r="J9" s="1">
        <v>1106.75</v>
      </c>
      <c r="K9" s="1">
        <v>1536.43</v>
      </c>
      <c r="L9" s="1">
        <v>963.15</v>
      </c>
      <c r="M9" s="1">
        <v>1072.28</v>
      </c>
      <c r="N9" s="1">
        <v>1046.08</v>
      </c>
      <c r="O9" s="1">
        <v>729.56</v>
      </c>
      <c r="P9" s="1">
        <v>859.24</v>
      </c>
      <c r="Q9" s="1">
        <v>1331.18</v>
      </c>
      <c r="R9" s="1">
        <v>1115.6400000000001</v>
      </c>
      <c r="S9" s="1">
        <v>1026</v>
      </c>
      <c r="T9" s="1">
        <v>989</v>
      </c>
      <c r="U9" s="1">
        <v>1247</v>
      </c>
      <c r="V9" s="1">
        <v>1045</v>
      </c>
      <c r="W9" s="1">
        <v>1204</v>
      </c>
      <c r="X9" s="1">
        <v>533.22</v>
      </c>
      <c r="Y9" s="1">
        <v>887.91</v>
      </c>
      <c r="Z9" s="1">
        <v>885.13</v>
      </c>
      <c r="AA9" s="1">
        <v>1101.76</v>
      </c>
      <c r="AB9" s="1">
        <v>1023.08</v>
      </c>
      <c r="AC9" s="1">
        <v>893.87</v>
      </c>
      <c r="AD9" s="1">
        <v>729.56</v>
      </c>
      <c r="AE9" s="1">
        <v>748</v>
      </c>
      <c r="AF9" s="1">
        <v>690.93</v>
      </c>
      <c r="AG9" s="1">
        <v>689.21</v>
      </c>
      <c r="AH9" s="1">
        <v>507.43</v>
      </c>
      <c r="AI9" s="1">
        <v>748.96</v>
      </c>
      <c r="AJ9" s="1">
        <v>637.22</v>
      </c>
      <c r="AK9" s="1">
        <v>465.5</v>
      </c>
      <c r="AL9" s="1">
        <v>464.72</v>
      </c>
      <c r="AM9" s="1">
        <v>301.02</v>
      </c>
      <c r="AN9" s="1">
        <v>230.67</v>
      </c>
      <c r="AO9" s="1">
        <v>365.5</v>
      </c>
      <c r="AP9" s="1">
        <v>387</v>
      </c>
      <c r="AQ9" s="1">
        <v>340.36</v>
      </c>
    </row>
    <row r="10" spans="3:43">
      <c r="C10" s="1">
        <v>35</v>
      </c>
      <c r="D10" s="1">
        <v>1642.84</v>
      </c>
      <c r="E10" s="1">
        <v>1895.85</v>
      </c>
      <c r="F10" s="1">
        <v>1538.73</v>
      </c>
      <c r="G10" s="1">
        <v>1274.93</v>
      </c>
      <c r="H10" s="1">
        <v>2337.39</v>
      </c>
      <c r="I10" s="1">
        <v>1263.4000000000001</v>
      </c>
      <c r="J10" s="1">
        <v>1708.19</v>
      </c>
      <c r="K10" s="1">
        <v>1981.34</v>
      </c>
      <c r="L10" s="1">
        <v>1545.06</v>
      </c>
      <c r="M10" s="1">
        <v>1424.61</v>
      </c>
      <c r="N10" s="1">
        <v>1339.21</v>
      </c>
      <c r="O10" s="1">
        <v>1154.23</v>
      </c>
      <c r="P10" s="1">
        <v>1448.33</v>
      </c>
      <c r="Q10" s="1">
        <v>1404.62</v>
      </c>
      <c r="R10" s="1">
        <v>1581.2</v>
      </c>
      <c r="S10" s="1">
        <v>1448.55</v>
      </c>
      <c r="T10" s="1">
        <v>1303.04</v>
      </c>
      <c r="U10" s="1">
        <v>2060.42</v>
      </c>
      <c r="V10" s="1">
        <v>1248.78</v>
      </c>
      <c r="W10" s="1">
        <v>1460.21</v>
      </c>
      <c r="X10" s="1">
        <v>865.28</v>
      </c>
      <c r="Y10" s="1">
        <v>1160.17</v>
      </c>
      <c r="Z10" s="1">
        <v>1307.8399999999999</v>
      </c>
      <c r="AA10" s="1">
        <v>1206.74</v>
      </c>
      <c r="AB10" s="1">
        <v>1175.17</v>
      </c>
      <c r="AC10" s="1">
        <v>1168.3800000000001</v>
      </c>
      <c r="AD10" s="1">
        <v>1037.5</v>
      </c>
      <c r="AE10" s="1">
        <v>1131.0899999999999</v>
      </c>
      <c r="AF10" s="1">
        <v>1030.32</v>
      </c>
      <c r="AG10" s="1">
        <v>1142.73</v>
      </c>
      <c r="AH10" s="1">
        <v>574.04999999999995</v>
      </c>
      <c r="AI10" s="1">
        <v>968.16</v>
      </c>
      <c r="AJ10" s="1">
        <v>811.83</v>
      </c>
      <c r="AK10" s="1">
        <v>780.61</v>
      </c>
      <c r="AL10" s="1">
        <v>526.72</v>
      </c>
      <c r="AM10" s="1">
        <v>300.8</v>
      </c>
      <c r="AN10" s="1">
        <v>246.83</v>
      </c>
      <c r="AO10" s="1">
        <v>325.01</v>
      </c>
      <c r="AP10" s="1">
        <v>410.72</v>
      </c>
      <c r="AQ10" s="1">
        <v>348.33</v>
      </c>
    </row>
  </sheetData>
  <mergeCells count="8">
    <mergeCell ref="AH5:AL5"/>
    <mergeCell ref="AM5:AQ5"/>
    <mergeCell ref="D5:H5"/>
    <mergeCell ref="I5:M5"/>
    <mergeCell ref="N5:R5"/>
    <mergeCell ref="S5:W5"/>
    <mergeCell ref="X5:AB5"/>
    <mergeCell ref="AC5:AG5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FFC36-520D-4C0D-8722-42146F252A47}">
  <dimension ref="C4:AQ8"/>
  <sheetViews>
    <sheetView workbookViewId="0">
      <selection activeCell="N21" sqref="N21"/>
    </sheetView>
  </sheetViews>
  <sheetFormatPr defaultRowHeight="14.4"/>
  <sheetData>
    <row r="4" spans="3:43">
      <c r="C4" s="2"/>
      <c r="D4" s="39" t="s">
        <v>6</v>
      </c>
      <c r="E4" s="39"/>
      <c r="F4" s="39"/>
      <c r="G4" s="39"/>
      <c r="H4" s="39"/>
      <c r="I4" s="39" t="s">
        <v>13</v>
      </c>
      <c r="J4" s="39"/>
      <c r="K4" s="39"/>
      <c r="L4" s="39"/>
      <c r="M4" s="39"/>
      <c r="N4" s="39" t="s">
        <v>14</v>
      </c>
      <c r="O4" s="39"/>
      <c r="P4" s="39"/>
      <c r="Q4" s="39"/>
      <c r="R4" s="39"/>
      <c r="S4" s="39" t="s">
        <v>238</v>
      </c>
      <c r="T4" s="39"/>
      <c r="U4" s="39"/>
      <c r="V4" s="39"/>
      <c r="W4" s="39"/>
      <c r="X4" s="39" t="s">
        <v>16</v>
      </c>
      <c r="Y4" s="39"/>
      <c r="Z4" s="39"/>
      <c r="AA4" s="39"/>
      <c r="AB4" s="39"/>
      <c r="AC4" s="39" t="s">
        <v>18</v>
      </c>
      <c r="AD4" s="39"/>
      <c r="AE4" s="39"/>
      <c r="AF4" s="39"/>
      <c r="AG4" s="39"/>
      <c r="AH4" s="39" t="s">
        <v>19</v>
      </c>
      <c r="AI4" s="39"/>
      <c r="AJ4" s="39"/>
      <c r="AK4" s="39"/>
      <c r="AL4" s="39"/>
      <c r="AM4" s="39" t="s">
        <v>21</v>
      </c>
      <c r="AN4" s="39"/>
      <c r="AO4" s="39"/>
      <c r="AP4" s="39"/>
      <c r="AQ4" s="39"/>
    </row>
    <row r="5" spans="3:43">
      <c r="C5" s="1">
        <v>16</v>
      </c>
      <c r="D5" s="1">
        <v>21.3</v>
      </c>
      <c r="E5" s="1">
        <v>21</v>
      </c>
      <c r="F5" s="1">
        <v>20.5</v>
      </c>
      <c r="G5" s="1">
        <v>19</v>
      </c>
      <c r="H5" s="1">
        <v>20.399999999999999</v>
      </c>
      <c r="I5" s="1">
        <v>20.9</v>
      </c>
      <c r="J5" s="1">
        <v>22.2</v>
      </c>
      <c r="K5" s="1">
        <v>27.1</v>
      </c>
      <c r="L5" s="1">
        <v>22.3</v>
      </c>
      <c r="M5" s="1">
        <v>20.7</v>
      </c>
      <c r="N5" s="1">
        <v>20.7</v>
      </c>
      <c r="O5" s="1">
        <v>20.5</v>
      </c>
      <c r="P5" s="1">
        <v>19</v>
      </c>
      <c r="Q5" s="1">
        <v>20.49</v>
      </c>
      <c r="R5" s="1">
        <v>18.5</v>
      </c>
      <c r="S5" s="1">
        <v>23.4</v>
      </c>
      <c r="T5" s="1">
        <v>19.8</v>
      </c>
      <c r="U5" s="1">
        <v>20.100000000000001</v>
      </c>
      <c r="V5" s="1">
        <v>22.5</v>
      </c>
      <c r="W5" s="1">
        <v>21.4</v>
      </c>
      <c r="X5" s="1">
        <v>19.7</v>
      </c>
      <c r="Y5" s="1">
        <v>21</v>
      </c>
      <c r="Z5" s="1">
        <v>19.100000000000001</v>
      </c>
      <c r="AA5" s="1">
        <v>17.8</v>
      </c>
      <c r="AB5" s="1">
        <v>18.7</v>
      </c>
      <c r="AC5" s="1">
        <v>22.6</v>
      </c>
      <c r="AD5" s="1">
        <v>21.6</v>
      </c>
      <c r="AE5" s="1">
        <v>18.5</v>
      </c>
      <c r="AF5" s="1">
        <v>21.1</v>
      </c>
      <c r="AG5" s="1">
        <v>20.8</v>
      </c>
      <c r="AH5" s="1">
        <v>18.7</v>
      </c>
      <c r="AI5" s="1">
        <v>21</v>
      </c>
      <c r="AJ5" s="1">
        <v>16</v>
      </c>
      <c r="AK5" s="1">
        <v>19.8</v>
      </c>
      <c r="AL5" s="1">
        <v>21.7</v>
      </c>
      <c r="AM5" s="1">
        <v>22.1</v>
      </c>
      <c r="AN5" s="1">
        <v>20.2</v>
      </c>
      <c r="AO5" s="1">
        <v>19.5</v>
      </c>
      <c r="AP5" s="1">
        <v>20.8</v>
      </c>
      <c r="AQ5" s="1">
        <v>21.1</v>
      </c>
    </row>
    <row r="6" spans="3:43">
      <c r="C6" s="1">
        <v>23</v>
      </c>
      <c r="D6" s="1">
        <v>21</v>
      </c>
      <c r="E6" s="1">
        <v>21.2</v>
      </c>
      <c r="F6" s="1">
        <v>20.399999999999999</v>
      </c>
      <c r="G6" s="1">
        <v>19.3</v>
      </c>
      <c r="H6" s="1">
        <v>20.6</v>
      </c>
      <c r="I6" s="1">
        <v>21.2</v>
      </c>
      <c r="J6" s="1">
        <v>21.3</v>
      </c>
      <c r="K6" s="1">
        <v>26.8</v>
      </c>
      <c r="L6" s="1">
        <v>22.3</v>
      </c>
      <c r="M6" s="1">
        <v>20.100000000000001</v>
      </c>
      <c r="N6" s="1">
        <v>20.2</v>
      </c>
      <c r="O6" s="1">
        <v>20.100000000000001</v>
      </c>
      <c r="P6" s="1">
        <v>18.100000000000001</v>
      </c>
      <c r="Q6" s="1">
        <v>18.3</v>
      </c>
      <c r="R6" s="1">
        <v>19</v>
      </c>
      <c r="S6" s="1">
        <v>23.5</v>
      </c>
      <c r="T6" s="1">
        <v>19.899999999999999</v>
      </c>
      <c r="U6" s="1">
        <v>20.3</v>
      </c>
      <c r="V6" s="1">
        <v>22.6</v>
      </c>
      <c r="W6" s="1">
        <v>21.6</v>
      </c>
      <c r="X6" s="1">
        <v>20.2</v>
      </c>
      <c r="Y6" s="1">
        <v>21.5</v>
      </c>
      <c r="Z6" s="1">
        <v>19.399999999999999</v>
      </c>
      <c r="AA6" s="1">
        <v>18.2</v>
      </c>
      <c r="AB6" s="1">
        <v>19.899999999999999</v>
      </c>
      <c r="AC6" s="1">
        <v>19.600000000000001</v>
      </c>
      <c r="AD6" s="1">
        <v>20.9</v>
      </c>
      <c r="AE6" s="1">
        <v>18.100000000000001</v>
      </c>
      <c r="AF6" s="1">
        <v>19.600000000000001</v>
      </c>
      <c r="AG6" s="1">
        <v>20.2</v>
      </c>
      <c r="AH6" s="1">
        <v>18.3</v>
      </c>
      <c r="AI6" s="1">
        <v>20.8</v>
      </c>
      <c r="AJ6" s="1">
        <v>15.7</v>
      </c>
      <c r="AK6" s="1">
        <v>19.100000000000001</v>
      </c>
      <c r="AL6" s="1">
        <v>20.9</v>
      </c>
      <c r="AM6" s="1">
        <v>20.7</v>
      </c>
      <c r="AN6" s="1">
        <v>15.3</v>
      </c>
      <c r="AO6" s="1">
        <v>22.1</v>
      </c>
      <c r="AP6" s="1">
        <v>20.399999999999999</v>
      </c>
      <c r="AQ6" s="1">
        <v>17</v>
      </c>
    </row>
    <row r="7" spans="3:43">
      <c r="C7" s="1">
        <v>30</v>
      </c>
      <c r="D7" s="1">
        <v>21.6</v>
      </c>
      <c r="E7" s="1">
        <v>23</v>
      </c>
      <c r="F7" s="1">
        <v>21.2</v>
      </c>
      <c r="G7" s="1">
        <v>20.399999999999999</v>
      </c>
      <c r="H7" s="1">
        <v>21.8</v>
      </c>
      <c r="I7" s="1">
        <v>21.5</v>
      </c>
      <c r="J7" s="1">
        <v>21.9</v>
      </c>
      <c r="K7" s="1">
        <v>26.1</v>
      </c>
      <c r="L7" s="1">
        <v>22.2</v>
      </c>
      <c r="M7" s="1">
        <v>20.399999999999999</v>
      </c>
      <c r="N7" s="1">
        <v>21.1</v>
      </c>
      <c r="O7" s="1">
        <v>20.9</v>
      </c>
      <c r="P7" s="1">
        <v>20.5</v>
      </c>
      <c r="Q7" s="1">
        <v>20.3</v>
      </c>
      <c r="R7" s="1">
        <v>20.2</v>
      </c>
      <c r="S7" s="1">
        <v>23.4</v>
      </c>
      <c r="T7" s="1">
        <v>19.899999999999999</v>
      </c>
      <c r="U7" s="1">
        <v>20.399999999999999</v>
      </c>
      <c r="V7" s="1">
        <v>22.5</v>
      </c>
      <c r="W7" s="1">
        <v>21.5</v>
      </c>
      <c r="X7" s="1">
        <v>21.6</v>
      </c>
      <c r="Y7" s="1">
        <v>22.7</v>
      </c>
      <c r="Z7" s="1">
        <v>20.7</v>
      </c>
      <c r="AA7" s="1">
        <v>19.5</v>
      </c>
      <c r="AB7" s="1">
        <v>20.9</v>
      </c>
      <c r="AC7" s="1">
        <v>21.7</v>
      </c>
      <c r="AD7" s="1">
        <v>22.5</v>
      </c>
      <c r="AE7" s="1">
        <v>21.7</v>
      </c>
      <c r="AF7" s="1">
        <v>21.9</v>
      </c>
      <c r="AG7" s="1">
        <v>19.2</v>
      </c>
      <c r="AH7" s="1">
        <v>19.5</v>
      </c>
      <c r="AI7" s="1">
        <v>21.2</v>
      </c>
      <c r="AJ7" s="1">
        <v>17</v>
      </c>
      <c r="AK7" s="1">
        <v>20</v>
      </c>
      <c r="AL7" s="1">
        <v>21.8</v>
      </c>
      <c r="AM7" s="1">
        <v>21.5</v>
      </c>
      <c r="AN7" s="1">
        <v>17.600000000000001</v>
      </c>
      <c r="AO7" s="1">
        <v>22.1</v>
      </c>
      <c r="AP7" s="1">
        <v>21.5</v>
      </c>
      <c r="AQ7" s="1">
        <v>20.3</v>
      </c>
    </row>
    <row r="8" spans="3:43">
      <c r="C8" s="1">
        <v>35</v>
      </c>
      <c r="D8" s="1">
        <v>21.4</v>
      </c>
      <c r="E8" s="1">
        <v>22.9</v>
      </c>
      <c r="F8" s="1">
        <v>21.2</v>
      </c>
      <c r="G8" s="1">
        <v>20.7</v>
      </c>
      <c r="H8" s="1">
        <v>22.3</v>
      </c>
      <c r="I8" s="1">
        <v>21.8</v>
      </c>
      <c r="J8" s="1">
        <v>22.3</v>
      </c>
      <c r="K8" s="1">
        <v>28.3</v>
      </c>
      <c r="L8" s="1">
        <v>22.7</v>
      </c>
      <c r="M8" s="1">
        <v>20.9</v>
      </c>
      <c r="N8" s="1">
        <v>20.399999999999999</v>
      </c>
      <c r="O8" s="1">
        <v>19.2</v>
      </c>
      <c r="P8" s="1">
        <v>19.5</v>
      </c>
      <c r="Q8" s="1">
        <v>20.7</v>
      </c>
      <c r="R8" s="1">
        <v>19.100000000000001</v>
      </c>
      <c r="S8" s="1">
        <v>23.6</v>
      </c>
      <c r="T8" s="1">
        <v>20.100000000000001</v>
      </c>
      <c r="U8" s="1">
        <v>20.5</v>
      </c>
      <c r="V8" s="1">
        <v>22.4</v>
      </c>
      <c r="W8" s="1">
        <v>21.6</v>
      </c>
      <c r="X8" s="1">
        <v>21.3</v>
      </c>
      <c r="Y8" s="1">
        <v>22</v>
      </c>
      <c r="Z8" s="1">
        <v>18.899999999999999</v>
      </c>
      <c r="AA8" s="1">
        <v>18.5</v>
      </c>
      <c r="AB8" s="1">
        <v>21.2</v>
      </c>
      <c r="AC8" s="1">
        <v>20.3</v>
      </c>
      <c r="AD8" s="1">
        <v>21.1</v>
      </c>
      <c r="AE8" s="1">
        <v>19.100000000000001</v>
      </c>
      <c r="AF8" s="1">
        <v>22.1</v>
      </c>
      <c r="AG8" s="1">
        <v>20.3</v>
      </c>
      <c r="AH8" s="1">
        <v>19.2</v>
      </c>
      <c r="AI8" s="1">
        <v>21</v>
      </c>
      <c r="AJ8" s="1">
        <v>21.3</v>
      </c>
      <c r="AK8" s="1">
        <v>22.1</v>
      </c>
      <c r="AL8" s="1">
        <v>21.8</v>
      </c>
      <c r="AM8" s="1">
        <v>20.100000000000001</v>
      </c>
      <c r="AN8" s="1">
        <v>17.100000000000001</v>
      </c>
      <c r="AO8" s="1">
        <v>19.7</v>
      </c>
      <c r="AP8" s="1">
        <v>21</v>
      </c>
      <c r="AQ8" s="1">
        <v>19.8</v>
      </c>
    </row>
  </sheetData>
  <mergeCells count="8">
    <mergeCell ref="AH4:AL4"/>
    <mergeCell ref="AM4:AQ4"/>
    <mergeCell ref="D4:H4"/>
    <mergeCell ref="I4:M4"/>
    <mergeCell ref="N4:R4"/>
    <mergeCell ref="S4:W4"/>
    <mergeCell ref="X4:AB4"/>
    <mergeCell ref="AC4:AG4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C4AD-BB2F-4F2F-AFE1-FCE44554001C}">
  <dimension ref="C5:AQ9"/>
  <sheetViews>
    <sheetView workbookViewId="0">
      <selection activeCell="L15" sqref="L15"/>
    </sheetView>
  </sheetViews>
  <sheetFormatPr defaultRowHeight="14.4"/>
  <sheetData>
    <row r="5" spans="3:43">
      <c r="C5" s="2" t="s">
        <v>36</v>
      </c>
      <c r="D5" s="39" t="s">
        <v>6</v>
      </c>
      <c r="E5" s="39"/>
      <c r="F5" s="39"/>
      <c r="G5" s="39"/>
      <c r="H5" s="39"/>
      <c r="I5" s="39" t="s">
        <v>13</v>
      </c>
      <c r="J5" s="39"/>
      <c r="K5" s="39"/>
      <c r="L5" s="39"/>
      <c r="M5" s="39"/>
      <c r="N5" s="39" t="s">
        <v>14</v>
      </c>
      <c r="O5" s="39"/>
      <c r="P5" s="39"/>
      <c r="Q5" s="39"/>
      <c r="R5" s="39"/>
      <c r="S5" s="39" t="s">
        <v>22</v>
      </c>
      <c r="T5" s="39"/>
      <c r="U5" s="39"/>
      <c r="V5" s="39"/>
      <c r="W5" s="39"/>
      <c r="X5" s="39" t="s">
        <v>16</v>
      </c>
      <c r="Y5" s="39"/>
      <c r="Z5" s="39"/>
      <c r="AA5" s="39"/>
      <c r="AB5" s="39"/>
      <c r="AC5" s="39" t="s">
        <v>18</v>
      </c>
      <c r="AD5" s="39"/>
      <c r="AE5" s="39"/>
      <c r="AF5" s="39"/>
      <c r="AG5" s="39"/>
      <c r="AH5" s="39" t="s">
        <v>19</v>
      </c>
      <c r="AI5" s="39"/>
      <c r="AJ5" s="39"/>
      <c r="AK5" s="39"/>
      <c r="AL5" s="39"/>
      <c r="AM5" s="39" t="s">
        <v>21</v>
      </c>
      <c r="AN5" s="39"/>
      <c r="AO5" s="39"/>
      <c r="AP5" s="39"/>
      <c r="AQ5" s="39"/>
    </row>
    <row r="6" spans="3:43"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</row>
    <row r="7" spans="3:43">
      <c r="C7" s="1">
        <v>10</v>
      </c>
      <c r="D7" s="1">
        <v>1.03</v>
      </c>
      <c r="E7" s="1">
        <v>0.98699999999999999</v>
      </c>
      <c r="F7" s="1">
        <v>1.123</v>
      </c>
      <c r="G7" s="1">
        <v>1.1399999999999999</v>
      </c>
      <c r="H7" s="1">
        <v>1.03</v>
      </c>
      <c r="I7" s="1">
        <v>1.05</v>
      </c>
      <c r="J7" s="1">
        <v>0.87</v>
      </c>
      <c r="K7" s="1">
        <v>1.21</v>
      </c>
      <c r="L7" s="1">
        <v>1.03</v>
      </c>
      <c r="M7" s="1">
        <v>0.97</v>
      </c>
      <c r="N7" s="1">
        <v>1.21</v>
      </c>
      <c r="O7" s="1">
        <v>0.85</v>
      </c>
      <c r="P7" s="1">
        <v>1.02</v>
      </c>
      <c r="Q7" s="1">
        <v>1.04</v>
      </c>
      <c r="R7" s="1">
        <v>1</v>
      </c>
      <c r="S7" s="1">
        <v>1.03</v>
      </c>
      <c r="T7" s="1">
        <v>0.85</v>
      </c>
      <c r="U7" s="1">
        <v>1.24</v>
      </c>
      <c r="V7" s="1">
        <v>0.95</v>
      </c>
      <c r="W7" s="1">
        <v>1.17</v>
      </c>
      <c r="X7" s="1">
        <v>1.2</v>
      </c>
      <c r="Y7" s="1">
        <v>0.82</v>
      </c>
      <c r="Z7" s="1">
        <v>1.57</v>
      </c>
      <c r="AA7" s="1">
        <v>0.84</v>
      </c>
      <c r="AB7" s="1">
        <v>0.86</v>
      </c>
      <c r="AC7" s="1">
        <v>1.1000000000000001</v>
      </c>
      <c r="AD7" s="1">
        <v>0.98</v>
      </c>
      <c r="AE7" s="1">
        <v>1.2</v>
      </c>
      <c r="AF7" s="1">
        <v>1.24</v>
      </c>
      <c r="AG7" s="1">
        <v>0.8</v>
      </c>
      <c r="AH7" s="1">
        <v>1.02</v>
      </c>
      <c r="AI7" s="1">
        <v>1.32</v>
      </c>
      <c r="AJ7" s="1">
        <v>0.87</v>
      </c>
      <c r="AK7" s="1">
        <v>0.98</v>
      </c>
      <c r="AL7" s="1">
        <v>1.05</v>
      </c>
      <c r="AM7" s="1">
        <v>1.03</v>
      </c>
      <c r="AN7" s="1">
        <v>1.2849999999999999</v>
      </c>
      <c r="AO7" s="1">
        <v>1.1399999999999999</v>
      </c>
      <c r="AP7" s="1">
        <v>0.87</v>
      </c>
      <c r="AQ7" s="1">
        <v>0.98</v>
      </c>
    </row>
    <row r="8" spans="3:43">
      <c r="C8" s="1">
        <v>17</v>
      </c>
      <c r="D8" s="1">
        <v>12.4</v>
      </c>
      <c r="E8" s="1">
        <v>13.78</v>
      </c>
      <c r="F8" s="1">
        <v>18.28</v>
      </c>
      <c r="G8" s="1">
        <v>18.32</v>
      </c>
      <c r="H8" s="1">
        <v>17.88</v>
      </c>
      <c r="I8" s="1">
        <v>11.2</v>
      </c>
      <c r="J8" s="1">
        <v>15.4</v>
      </c>
      <c r="K8" s="1">
        <v>13</v>
      </c>
      <c r="L8" s="1">
        <v>11.6</v>
      </c>
      <c r="M8" s="1">
        <v>17.399999999999999</v>
      </c>
      <c r="N8" s="1">
        <v>7.18</v>
      </c>
      <c r="O8" s="1">
        <v>11.78</v>
      </c>
      <c r="P8" s="1">
        <v>11.34</v>
      </c>
      <c r="Q8" s="1">
        <v>7.78</v>
      </c>
      <c r="R8" s="1">
        <v>9.4</v>
      </c>
      <c r="S8" s="1">
        <v>8.16</v>
      </c>
      <c r="T8" s="1">
        <v>10.47</v>
      </c>
      <c r="U8" s="1">
        <v>9.14</v>
      </c>
      <c r="V8" s="1">
        <v>10.26</v>
      </c>
      <c r="W8" s="1">
        <v>14.47</v>
      </c>
      <c r="X8" s="1">
        <v>4.9000000000000004</v>
      </c>
      <c r="Y8" s="1">
        <v>6.96</v>
      </c>
      <c r="Z8" s="1">
        <v>9.3800000000000008</v>
      </c>
      <c r="AA8" s="1">
        <v>5.74</v>
      </c>
      <c r="AB8" s="1">
        <v>6.5</v>
      </c>
      <c r="AC8" s="1">
        <v>4.2</v>
      </c>
      <c r="AD8" s="1">
        <v>3.6</v>
      </c>
      <c r="AE8" s="1">
        <v>5.96</v>
      </c>
      <c r="AF8" s="1">
        <v>5.16</v>
      </c>
      <c r="AG8" s="1">
        <v>6.02</v>
      </c>
      <c r="AH8" s="1">
        <v>3.78</v>
      </c>
      <c r="AI8" s="1">
        <v>3.7</v>
      </c>
      <c r="AJ8" s="1">
        <v>4.04</v>
      </c>
      <c r="AK8" s="1">
        <v>4.3</v>
      </c>
      <c r="AL8" s="1">
        <v>4.3600000000000003</v>
      </c>
      <c r="AM8" s="1">
        <v>2.12</v>
      </c>
      <c r="AN8" s="1">
        <v>3.08</v>
      </c>
      <c r="AO8" s="1">
        <v>3.02</v>
      </c>
      <c r="AP8" s="1">
        <v>2.12</v>
      </c>
      <c r="AQ8" s="1">
        <v>2.16</v>
      </c>
    </row>
    <row r="9" spans="3:43">
      <c r="C9" s="1">
        <v>24</v>
      </c>
      <c r="D9" s="1">
        <v>35.6</v>
      </c>
      <c r="E9" s="1">
        <v>25.6</v>
      </c>
      <c r="F9" s="1">
        <v>37.6</v>
      </c>
      <c r="G9" s="1">
        <v>39.6</v>
      </c>
      <c r="H9" s="1"/>
      <c r="I9" s="1">
        <v>35.200000000000003</v>
      </c>
      <c r="J9" s="1">
        <v>33.4</v>
      </c>
      <c r="K9" s="1">
        <v>27.6</v>
      </c>
      <c r="L9" s="1">
        <v>32.520000000000003</v>
      </c>
      <c r="M9" s="1">
        <v>28.12</v>
      </c>
      <c r="N9" s="1">
        <v>28.74</v>
      </c>
      <c r="O9" s="1">
        <v>26.9</v>
      </c>
      <c r="P9" s="1">
        <v>22.5</v>
      </c>
      <c r="Q9" s="1">
        <v>19.559999999999999</v>
      </c>
      <c r="R9" s="1">
        <v>21.08</v>
      </c>
      <c r="S9" s="1">
        <v>25.6</v>
      </c>
      <c r="T9" s="1">
        <v>23.54</v>
      </c>
      <c r="U9" s="1">
        <v>24.8</v>
      </c>
      <c r="V9" s="1">
        <v>28.9</v>
      </c>
      <c r="W9" s="1">
        <v>28.2</v>
      </c>
      <c r="X9" s="1">
        <v>13.3</v>
      </c>
      <c r="Y9" s="1">
        <v>20.12</v>
      </c>
      <c r="Z9" s="1">
        <v>15.54</v>
      </c>
      <c r="AA9" s="1">
        <v>21.94</v>
      </c>
      <c r="AB9" s="1">
        <v>14.74</v>
      </c>
      <c r="AC9" s="1">
        <v>14.94</v>
      </c>
      <c r="AD9" s="1">
        <v>17.7</v>
      </c>
      <c r="AE9" s="1">
        <v>13.36</v>
      </c>
      <c r="AF9" s="1">
        <v>14.24</v>
      </c>
      <c r="AG9" s="1">
        <v>16.04</v>
      </c>
      <c r="AH9" s="1">
        <v>6.3</v>
      </c>
      <c r="AI9" s="1">
        <v>5.84</v>
      </c>
      <c r="AJ9" s="1">
        <v>5.88</v>
      </c>
      <c r="AK9" s="1">
        <v>7.9</v>
      </c>
      <c r="AL9" s="1">
        <v>7.74</v>
      </c>
      <c r="AM9" s="1">
        <v>2.21</v>
      </c>
      <c r="AN9" s="1">
        <v>3.22</v>
      </c>
      <c r="AO9" s="1">
        <v>3.26</v>
      </c>
      <c r="AP9" s="1">
        <v>2.7</v>
      </c>
      <c r="AQ9" s="1">
        <v>2.8</v>
      </c>
    </row>
  </sheetData>
  <mergeCells count="8">
    <mergeCell ref="AH5:AL5"/>
    <mergeCell ref="AM5:AQ5"/>
    <mergeCell ref="D5:H5"/>
    <mergeCell ref="I5:M5"/>
    <mergeCell ref="N5:R5"/>
    <mergeCell ref="S5:W5"/>
    <mergeCell ref="X5:AB5"/>
    <mergeCell ref="AC5:AG5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1387-9357-44C1-B12E-BA19AEC7F4C0}">
  <dimension ref="D5:L45"/>
  <sheetViews>
    <sheetView topLeftCell="B1" workbookViewId="0">
      <selection activeCell="K25" sqref="K25"/>
    </sheetView>
  </sheetViews>
  <sheetFormatPr defaultRowHeight="14.4"/>
  <cols>
    <col min="5" max="5" width="14.7890625" customWidth="1"/>
    <col min="6" max="6" width="16" customWidth="1"/>
    <col min="7" max="7" width="15" customWidth="1"/>
    <col min="8" max="8" width="23.3125" customWidth="1"/>
    <col min="9" max="9" width="17.47265625" customWidth="1"/>
    <col min="10" max="10" width="24.83984375" customWidth="1"/>
    <col min="11" max="11" width="23.68359375" customWidth="1"/>
    <col min="12" max="12" width="21.68359375" customWidth="1"/>
  </cols>
  <sheetData>
    <row r="5" spans="4:12">
      <c r="D5" s="2" t="s">
        <v>36</v>
      </c>
      <c r="E5" s="2" t="s">
        <v>6</v>
      </c>
      <c r="F5" s="2" t="s">
        <v>13</v>
      </c>
      <c r="G5" s="2" t="s">
        <v>14</v>
      </c>
      <c r="H5" s="2" t="s">
        <v>16</v>
      </c>
      <c r="I5" s="2" t="s">
        <v>18</v>
      </c>
      <c r="J5" s="2" t="s">
        <v>19</v>
      </c>
      <c r="K5" s="2" t="s">
        <v>20</v>
      </c>
      <c r="L5" s="2" t="s">
        <v>22</v>
      </c>
    </row>
    <row r="6" spans="4:12">
      <c r="D6" s="1">
        <v>30</v>
      </c>
      <c r="E6" s="1">
        <v>1</v>
      </c>
      <c r="F6" s="1"/>
      <c r="G6" s="1"/>
      <c r="H6" s="1"/>
      <c r="I6" s="1"/>
      <c r="J6" s="1"/>
      <c r="K6" s="1"/>
      <c r="L6" s="1"/>
    </row>
    <row r="7" spans="4:12">
      <c r="D7" s="1">
        <v>28</v>
      </c>
      <c r="E7" s="1">
        <v>1</v>
      </c>
      <c r="F7" s="1"/>
      <c r="G7" s="1"/>
      <c r="H7" s="1"/>
      <c r="I7" s="1"/>
      <c r="J7" s="1"/>
      <c r="K7" s="1"/>
      <c r="L7" s="1"/>
    </row>
    <row r="8" spans="4:12">
      <c r="D8" s="1">
        <v>28</v>
      </c>
      <c r="E8" s="1">
        <v>1</v>
      </c>
      <c r="F8" s="1"/>
      <c r="G8" s="1"/>
      <c r="H8" s="1"/>
      <c r="I8" s="1"/>
      <c r="J8" s="1"/>
      <c r="K8" s="1"/>
      <c r="L8" s="1"/>
    </row>
    <row r="9" spans="4:12">
      <c r="D9" s="1">
        <v>27</v>
      </c>
      <c r="E9" s="1">
        <v>1</v>
      </c>
      <c r="F9" s="1"/>
      <c r="G9" s="1"/>
      <c r="H9" s="1"/>
      <c r="I9" s="1"/>
      <c r="J9" s="1"/>
      <c r="K9" s="1"/>
      <c r="L9" s="1"/>
    </row>
    <row r="10" spans="4:12">
      <c r="D10" s="1">
        <v>22</v>
      </c>
      <c r="E10" s="1">
        <v>1</v>
      </c>
      <c r="F10" s="1"/>
      <c r="G10" s="1"/>
      <c r="H10" s="1"/>
      <c r="I10" s="1"/>
      <c r="J10" s="1"/>
      <c r="K10" s="1"/>
      <c r="L10" s="1"/>
    </row>
    <row r="11" spans="4:12">
      <c r="D11" s="1">
        <v>30</v>
      </c>
      <c r="E11" s="1"/>
      <c r="F11" s="1">
        <v>1</v>
      </c>
      <c r="G11" s="1"/>
      <c r="H11" s="1"/>
      <c r="I11" s="1"/>
      <c r="J11" s="1"/>
      <c r="K11" s="1"/>
      <c r="L11" s="1"/>
    </row>
    <row r="12" spans="4:12">
      <c r="D12" s="1">
        <v>27</v>
      </c>
      <c r="E12" s="1"/>
      <c r="F12" s="1">
        <v>1</v>
      </c>
      <c r="G12" s="1"/>
      <c r="H12" s="1"/>
      <c r="I12" s="1"/>
      <c r="J12" s="1"/>
      <c r="K12" s="1"/>
      <c r="L12" s="1"/>
    </row>
    <row r="13" spans="4:12">
      <c r="D13" s="1">
        <v>31</v>
      </c>
      <c r="E13" s="1"/>
      <c r="F13" s="1">
        <v>1</v>
      </c>
      <c r="G13" s="1"/>
      <c r="H13" s="1"/>
      <c r="I13" s="1"/>
      <c r="J13" s="1"/>
      <c r="K13" s="1"/>
      <c r="L13" s="1"/>
    </row>
    <row r="14" spans="4:12">
      <c r="D14" s="1">
        <v>29</v>
      </c>
      <c r="E14" s="1"/>
      <c r="F14" s="1">
        <v>1</v>
      </c>
      <c r="G14" s="1"/>
      <c r="H14" s="1"/>
      <c r="I14" s="1"/>
      <c r="J14" s="1"/>
      <c r="K14" s="1"/>
      <c r="L14" s="1"/>
    </row>
    <row r="15" spans="4:12">
      <c r="D15" s="1">
        <v>31</v>
      </c>
      <c r="E15" s="1"/>
      <c r="F15" s="1">
        <v>1</v>
      </c>
      <c r="G15" s="1"/>
      <c r="H15" s="1"/>
      <c r="I15" s="1"/>
      <c r="J15" s="1"/>
      <c r="K15" s="1"/>
      <c r="L15" s="1"/>
    </row>
    <row r="16" spans="4:12">
      <c r="D16" s="1">
        <v>34</v>
      </c>
      <c r="E16" s="1"/>
      <c r="F16" s="1"/>
      <c r="G16" s="1">
        <v>1</v>
      </c>
      <c r="H16" s="1"/>
      <c r="I16" s="1"/>
      <c r="J16" s="1"/>
      <c r="K16" s="1"/>
      <c r="L16" s="1"/>
    </row>
    <row r="17" spans="4:12">
      <c r="D17" s="1">
        <v>36</v>
      </c>
      <c r="E17" s="1"/>
      <c r="F17" s="1"/>
      <c r="G17" s="1">
        <v>1</v>
      </c>
      <c r="H17" s="1"/>
      <c r="I17" s="1"/>
      <c r="J17" s="1"/>
      <c r="K17" s="1"/>
      <c r="L17" s="1"/>
    </row>
    <row r="18" spans="4:12">
      <c r="D18" s="1">
        <v>33</v>
      </c>
      <c r="E18" s="1"/>
      <c r="F18" s="1"/>
      <c r="G18" s="1">
        <v>1</v>
      </c>
      <c r="H18" s="1"/>
      <c r="I18" s="1"/>
      <c r="J18" s="1"/>
      <c r="K18" s="1"/>
      <c r="L18" s="1"/>
    </row>
    <row r="19" spans="4:12">
      <c r="D19" s="1">
        <v>30</v>
      </c>
      <c r="E19" s="1"/>
      <c r="F19" s="1"/>
      <c r="G19" s="1">
        <v>1</v>
      </c>
      <c r="H19" s="1"/>
      <c r="I19" s="1"/>
      <c r="J19" s="1"/>
      <c r="K19" s="1"/>
      <c r="L19" s="1"/>
    </row>
    <row r="20" spans="4:12">
      <c r="D20" s="1">
        <v>31</v>
      </c>
      <c r="E20" s="1"/>
      <c r="F20" s="1"/>
      <c r="G20" s="1">
        <v>1</v>
      </c>
      <c r="H20" s="1"/>
      <c r="I20" s="1"/>
      <c r="J20" s="1"/>
      <c r="K20" s="1"/>
      <c r="L20" s="1"/>
    </row>
    <row r="21" spans="4:12">
      <c r="D21" s="1">
        <v>41</v>
      </c>
      <c r="E21" s="1"/>
      <c r="F21" s="1"/>
      <c r="G21" s="1"/>
      <c r="H21" s="1">
        <v>1</v>
      </c>
      <c r="I21" s="1"/>
      <c r="J21" s="1"/>
      <c r="K21" s="1"/>
      <c r="L21" s="1"/>
    </row>
    <row r="22" spans="4:12">
      <c r="D22" s="1">
        <v>38</v>
      </c>
      <c r="E22" s="1"/>
      <c r="F22" s="1"/>
      <c r="G22" s="1"/>
      <c r="H22" s="1">
        <v>1</v>
      </c>
      <c r="I22" s="1"/>
      <c r="J22" s="1"/>
      <c r="K22" s="1"/>
      <c r="L22" s="1"/>
    </row>
    <row r="23" spans="4:12">
      <c r="D23" s="1">
        <v>33</v>
      </c>
      <c r="E23" s="1"/>
      <c r="F23" s="1"/>
      <c r="G23" s="1"/>
      <c r="H23" s="1">
        <v>1</v>
      </c>
      <c r="I23" s="1"/>
      <c r="J23" s="1"/>
      <c r="K23" s="1"/>
      <c r="L23" s="1"/>
    </row>
    <row r="24" spans="4:12">
      <c r="D24" s="1">
        <v>37</v>
      </c>
      <c r="E24" s="1"/>
      <c r="F24" s="1"/>
      <c r="G24" s="1"/>
      <c r="H24" s="1">
        <v>1</v>
      </c>
      <c r="I24" s="1"/>
      <c r="J24" s="1"/>
      <c r="K24" s="1"/>
      <c r="L24" s="1"/>
    </row>
    <row r="25" spans="4:12">
      <c r="D25" s="1">
        <v>34</v>
      </c>
      <c r="E25" s="1"/>
      <c r="F25" s="1"/>
      <c r="G25" s="1"/>
      <c r="H25" s="1">
        <v>1</v>
      </c>
      <c r="I25" s="1"/>
      <c r="J25" s="1"/>
      <c r="K25" s="1"/>
      <c r="L25" s="1"/>
    </row>
    <row r="26" spans="4:12">
      <c r="D26" s="1">
        <v>38</v>
      </c>
      <c r="E26" s="1"/>
      <c r="F26" s="1"/>
      <c r="G26" s="1"/>
      <c r="H26" s="1"/>
      <c r="I26" s="1">
        <v>1</v>
      </c>
      <c r="J26" s="1"/>
      <c r="K26" s="1"/>
      <c r="L26" s="1"/>
    </row>
    <row r="27" spans="4:12">
      <c r="D27" s="1">
        <v>41</v>
      </c>
      <c r="E27" s="1"/>
      <c r="F27" s="1"/>
      <c r="G27" s="1"/>
      <c r="H27" s="1"/>
      <c r="I27" s="1">
        <v>1</v>
      </c>
      <c r="J27" s="1"/>
      <c r="K27" s="1"/>
      <c r="L27" s="1"/>
    </row>
    <row r="28" spans="4:12">
      <c r="D28" s="1">
        <v>37</v>
      </c>
      <c r="E28" s="1"/>
      <c r="F28" s="1"/>
      <c r="G28" s="1"/>
      <c r="H28" s="1"/>
      <c r="I28" s="1">
        <v>1</v>
      </c>
      <c r="J28" s="1"/>
      <c r="K28" s="1"/>
      <c r="L28" s="1"/>
    </row>
    <row r="29" spans="4:12">
      <c r="D29" s="1">
        <v>40</v>
      </c>
      <c r="E29" s="1"/>
      <c r="F29" s="1"/>
      <c r="G29" s="1"/>
      <c r="H29" s="1"/>
      <c r="I29" s="1">
        <v>1</v>
      </c>
      <c r="J29" s="1"/>
      <c r="K29" s="1"/>
      <c r="L29" s="1"/>
    </row>
    <row r="30" spans="4:12">
      <c r="D30" s="1">
        <v>35</v>
      </c>
      <c r="E30" s="1"/>
      <c r="F30" s="1"/>
      <c r="G30" s="1"/>
      <c r="H30" s="1"/>
      <c r="I30" s="1">
        <v>1</v>
      </c>
      <c r="J30" s="1"/>
      <c r="K30" s="1"/>
      <c r="L30" s="1"/>
    </row>
    <row r="31" spans="4:12">
      <c r="D31" s="1">
        <v>52</v>
      </c>
      <c r="E31" s="1"/>
      <c r="F31" s="1"/>
      <c r="G31" s="1"/>
      <c r="H31" s="1"/>
      <c r="I31" s="1"/>
      <c r="J31" s="1">
        <v>1</v>
      </c>
      <c r="K31" s="1"/>
      <c r="L31" s="1"/>
    </row>
    <row r="32" spans="4:12">
      <c r="D32" s="1">
        <v>44</v>
      </c>
      <c r="E32" s="1"/>
      <c r="F32" s="1"/>
      <c r="G32" s="1"/>
      <c r="H32" s="1"/>
      <c r="I32" s="1"/>
      <c r="J32" s="1">
        <v>1</v>
      </c>
      <c r="K32" s="1"/>
      <c r="L32" s="1"/>
    </row>
    <row r="33" spans="4:12">
      <c r="D33" s="1">
        <v>43</v>
      </c>
      <c r="E33" s="1"/>
      <c r="F33" s="1"/>
      <c r="G33" s="1"/>
      <c r="H33" s="1"/>
      <c r="I33" s="1"/>
      <c r="J33" s="1">
        <v>1</v>
      </c>
      <c r="K33" s="1"/>
      <c r="L33" s="1"/>
    </row>
    <row r="34" spans="4:12">
      <c r="D34" s="1">
        <v>42</v>
      </c>
      <c r="E34" s="1"/>
      <c r="F34" s="1"/>
      <c r="G34" s="1"/>
      <c r="H34" s="1"/>
      <c r="I34" s="1"/>
      <c r="J34" s="1">
        <v>1</v>
      </c>
      <c r="K34" s="1"/>
      <c r="L34" s="1"/>
    </row>
    <row r="35" spans="4:12">
      <c r="D35" s="1">
        <v>41</v>
      </c>
      <c r="E35" s="1"/>
      <c r="F35" s="1"/>
      <c r="G35" s="1"/>
      <c r="H35" s="1"/>
      <c r="I35" s="1"/>
      <c r="J35" s="1">
        <v>1</v>
      </c>
      <c r="K35" s="1"/>
      <c r="L35" s="1"/>
    </row>
    <row r="36" spans="4:12">
      <c r="D36" s="1">
        <v>58</v>
      </c>
      <c r="E36" s="1"/>
      <c r="F36" s="1"/>
      <c r="G36" s="1"/>
      <c r="H36" s="1"/>
      <c r="I36" s="1"/>
      <c r="J36" s="1"/>
      <c r="K36" s="1">
        <v>1</v>
      </c>
      <c r="L36" s="1"/>
    </row>
    <row r="37" spans="4:12">
      <c r="D37" s="1">
        <v>54</v>
      </c>
      <c r="E37" s="1"/>
      <c r="F37" s="1"/>
      <c r="G37" s="1"/>
      <c r="H37" s="1"/>
      <c r="I37" s="1"/>
      <c r="J37" s="1"/>
      <c r="K37" s="1">
        <v>1</v>
      </c>
      <c r="L37" s="1"/>
    </row>
    <row r="38" spans="4:12">
      <c r="D38" s="1">
        <v>52</v>
      </c>
      <c r="E38" s="1"/>
      <c r="F38" s="1"/>
      <c r="G38" s="1"/>
      <c r="H38" s="1"/>
      <c r="I38" s="1"/>
      <c r="J38" s="1"/>
      <c r="K38" s="1">
        <v>1</v>
      </c>
      <c r="L38" s="1"/>
    </row>
    <row r="39" spans="4:12">
      <c r="D39" s="1">
        <v>51</v>
      </c>
      <c r="E39" s="1"/>
      <c r="F39" s="1"/>
      <c r="G39" s="1"/>
      <c r="H39" s="1"/>
      <c r="I39" s="1"/>
      <c r="J39" s="1"/>
      <c r="K39" s="1">
        <v>1</v>
      </c>
      <c r="L39" s="1"/>
    </row>
    <row r="40" spans="4:12">
      <c r="D40" s="1">
        <v>47</v>
      </c>
      <c r="E40" s="1"/>
      <c r="F40" s="1"/>
      <c r="G40" s="1"/>
      <c r="H40" s="1"/>
      <c r="I40" s="1"/>
      <c r="J40" s="1"/>
      <c r="K40" s="1">
        <v>1</v>
      </c>
      <c r="L40" s="1"/>
    </row>
    <row r="41" spans="4:12">
      <c r="D41" s="1">
        <v>30</v>
      </c>
      <c r="E41" s="1"/>
      <c r="F41" s="1"/>
      <c r="G41" s="1"/>
      <c r="H41" s="1"/>
      <c r="I41" s="1"/>
      <c r="J41" s="1"/>
      <c r="K41" s="1"/>
      <c r="L41" s="1">
        <v>1</v>
      </c>
    </row>
    <row r="42" spans="4:12">
      <c r="D42" s="1">
        <v>31</v>
      </c>
      <c r="E42" s="1"/>
      <c r="F42" s="1"/>
      <c r="G42" s="1"/>
      <c r="H42" s="1"/>
      <c r="I42" s="1"/>
      <c r="J42" s="1"/>
      <c r="K42" s="1"/>
      <c r="L42" s="1">
        <v>1</v>
      </c>
    </row>
    <row r="43" spans="4:12">
      <c r="D43" s="1">
        <v>32</v>
      </c>
      <c r="E43" s="1"/>
      <c r="F43" s="1"/>
      <c r="G43" s="1"/>
      <c r="H43" s="1"/>
      <c r="I43" s="1"/>
      <c r="J43" s="1"/>
      <c r="K43" s="1"/>
      <c r="L43" s="1">
        <v>1</v>
      </c>
    </row>
    <row r="44" spans="4:12">
      <c r="D44" s="1">
        <v>33</v>
      </c>
      <c r="E44" s="1"/>
      <c r="F44" s="1"/>
      <c r="G44" s="1"/>
      <c r="H44" s="1"/>
      <c r="I44" s="1"/>
      <c r="J44" s="1"/>
      <c r="K44" s="1"/>
      <c r="L44" s="1">
        <v>1</v>
      </c>
    </row>
    <row r="45" spans="4:12">
      <c r="D45" s="1">
        <v>35</v>
      </c>
      <c r="E45" s="1"/>
      <c r="F45" s="1"/>
      <c r="G45" s="1"/>
      <c r="H45" s="1"/>
      <c r="I45" s="1"/>
      <c r="J45" s="1"/>
      <c r="K45" s="1"/>
      <c r="L45" s="1">
        <v>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D31B-BF40-431E-B31B-8EE7121261CD}">
  <dimension ref="D4:E73"/>
  <sheetViews>
    <sheetView workbookViewId="0">
      <selection activeCell="I21" sqref="I21"/>
    </sheetView>
  </sheetViews>
  <sheetFormatPr defaultRowHeight="14.4"/>
  <cols>
    <col min="4" max="4" width="16.3671875" customWidth="1"/>
    <col min="5" max="5" width="27.89453125" customWidth="1"/>
  </cols>
  <sheetData>
    <row r="4" spans="4:5">
      <c r="D4" s="2" t="s">
        <v>50</v>
      </c>
      <c r="E4" s="2" t="s">
        <v>234</v>
      </c>
    </row>
    <row r="5" spans="4:5">
      <c r="D5" s="1">
        <v>0.4</v>
      </c>
      <c r="E5" s="1">
        <v>0</v>
      </c>
    </row>
    <row r="6" spans="4:5">
      <c r="D6" s="1">
        <v>0.46300000000000002</v>
      </c>
      <c r="E6" s="1">
        <v>0</v>
      </c>
    </row>
    <row r="7" spans="4:5">
      <c r="D7" s="1">
        <v>0.53600000000000003</v>
      </c>
      <c r="E7" s="1">
        <v>0</v>
      </c>
    </row>
    <row r="8" spans="4:5">
      <c r="D8" s="1">
        <v>0.621</v>
      </c>
      <c r="E8" s="1">
        <v>0</v>
      </c>
    </row>
    <row r="9" spans="4:5">
      <c r="D9" s="1">
        <v>0.71899999999999997</v>
      </c>
      <c r="E9" s="1">
        <v>0</v>
      </c>
    </row>
    <row r="10" spans="4:5">
      <c r="D10" s="1">
        <v>0.83299999999999996</v>
      </c>
      <c r="E10" s="1">
        <v>0</v>
      </c>
    </row>
    <row r="11" spans="4:5">
      <c r="D11" s="1">
        <v>0.96499999999999997</v>
      </c>
      <c r="E11" s="1">
        <v>0</v>
      </c>
    </row>
    <row r="12" spans="4:5">
      <c r="D12" s="1">
        <v>1.1200000000000001</v>
      </c>
      <c r="E12" s="1">
        <v>0</v>
      </c>
    </row>
    <row r="13" spans="4:5">
      <c r="D13" s="1">
        <v>1.29</v>
      </c>
      <c r="E13" s="1">
        <v>0</v>
      </c>
    </row>
    <row r="14" spans="4:5">
      <c r="D14" s="1">
        <v>1.5</v>
      </c>
      <c r="E14" s="1">
        <v>0</v>
      </c>
    </row>
    <row r="15" spans="4:5">
      <c r="D15" s="1">
        <v>1.74</v>
      </c>
      <c r="E15" s="1">
        <v>0</v>
      </c>
    </row>
    <row r="16" spans="4:5">
      <c r="D16" s="1">
        <v>2.0099999999999998</v>
      </c>
      <c r="E16" s="1">
        <v>0</v>
      </c>
    </row>
    <row r="17" spans="4:5">
      <c r="D17" s="1">
        <v>2.33</v>
      </c>
      <c r="E17" s="1">
        <v>0</v>
      </c>
    </row>
    <row r="18" spans="4:5">
      <c r="D18" s="1">
        <v>2.7</v>
      </c>
      <c r="E18" s="1">
        <v>0</v>
      </c>
    </row>
    <row r="19" spans="4:5">
      <c r="D19" s="1">
        <v>3.12</v>
      </c>
      <c r="E19" s="1">
        <v>0</v>
      </c>
    </row>
    <row r="20" spans="4:5">
      <c r="D20" s="1">
        <v>3.62</v>
      </c>
      <c r="E20" s="1">
        <v>0</v>
      </c>
    </row>
    <row r="21" spans="4:5">
      <c r="D21" s="1">
        <v>4.1900000000000004</v>
      </c>
      <c r="E21" s="1">
        <v>0</v>
      </c>
    </row>
    <row r="22" spans="4:5">
      <c r="D22" s="1">
        <v>4.8499999999999996</v>
      </c>
      <c r="E22" s="1">
        <v>0</v>
      </c>
    </row>
    <row r="23" spans="4:5">
      <c r="D23" s="1">
        <v>5.61</v>
      </c>
      <c r="E23" s="1">
        <v>0</v>
      </c>
    </row>
    <row r="24" spans="4:5">
      <c r="D24" s="1">
        <v>6.5</v>
      </c>
      <c r="E24" s="1">
        <v>0</v>
      </c>
    </row>
    <row r="25" spans="4:5">
      <c r="D25" s="1">
        <v>7.53</v>
      </c>
      <c r="E25" s="1">
        <v>0</v>
      </c>
    </row>
    <row r="26" spans="4:5">
      <c r="D26" s="1">
        <v>8.7200000000000006</v>
      </c>
      <c r="E26" s="1">
        <v>0</v>
      </c>
    </row>
    <row r="27" spans="4:5">
      <c r="D27" s="1">
        <v>10.1</v>
      </c>
      <c r="E27" s="1">
        <v>0</v>
      </c>
    </row>
    <row r="28" spans="4:5">
      <c r="D28" s="1">
        <v>11.7</v>
      </c>
      <c r="E28" s="1">
        <v>0</v>
      </c>
    </row>
    <row r="29" spans="4:5">
      <c r="D29" s="1">
        <v>13.5</v>
      </c>
      <c r="E29" s="1">
        <v>0</v>
      </c>
    </row>
    <row r="30" spans="4:5">
      <c r="D30" s="1">
        <v>15.7</v>
      </c>
      <c r="E30" s="1">
        <v>0</v>
      </c>
    </row>
    <row r="31" spans="4:5">
      <c r="D31" s="1">
        <v>18.2</v>
      </c>
      <c r="E31" s="1">
        <v>0</v>
      </c>
    </row>
    <row r="32" spans="4:5">
      <c r="D32" s="1">
        <v>21</v>
      </c>
      <c r="E32" s="1">
        <v>0</v>
      </c>
    </row>
    <row r="33" spans="4:5">
      <c r="D33" s="1">
        <v>24.4</v>
      </c>
      <c r="E33" s="1">
        <v>4.9399999999999999E-2</v>
      </c>
    </row>
    <row r="34" spans="4:5">
      <c r="D34" s="1">
        <v>28.2</v>
      </c>
      <c r="E34" s="1">
        <v>0.48899999999999999</v>
      </c>
    </row>
    <row r="35" spans="4:5">
      <c r="D35" s="1">
        <v>32.700000000000003</v>
      </c>
      <c r="E35" s="1">
        <v>1.27</v>
      </c>
    </row>
    <row r="36" spans="4:5">
      <c r="D36" s="1">
        <v>37.799999999999997</v>
      </c>
      <c r="E36" s="1">
        <v>2.2599999999999998</v>
      </c>
    </row>
    <row r="37" spans="4:5">
      <c r="D37" s="1">
        <v>43.8</v>
      </c>
      <c r="E37" s="1">
        <v>3.36</v>
      </c>
    </row>
    <row r="38" spans="4:5">
      <c r="D38" s="1">
        <v>50.7</v>
      </c>
      <c r="E38" s="1">
        <v>4.54</v>
      </c>
    </row>
    <row r="39" spans="4:5">
      <c r="D39" s="1">
        <v>58.8</v>
      </c>
      <c r="E39" s="1">
        <v>5.76</v>
      </c>
    </row>
    <row r="40" spans="4:5">
      <c r="D40" s="1">
        <v>68.099999999999994</v>
      </c>
      <c r="E40" s="1">
        <v>6.98</v>
      </c>
    </row>
    <row r="41" spans="4:5">
      <c r="D41" s="1">
        <v>78.8</v>
      </c>
      <c r="E41" s="1">
        <v>8.1300000000000008</v>
      </c>
    </row>
    <row r="42" spans="4:5">
      <c r="D42" s="1">
        <v>91.3</v>
      </c>
      <c r="E42" s="1">
        <v>9.09</v>
      </c>
    </row>
    <row r="43" spans="4:5">
      <c r="D43" s="1">
        <v>106</v>
      </c>
      <c r="E43" s="1">
        <v>9.7200000000000006</v>
      </c>
    </row>
    <row r="44" spans="4:5">
      <c r="D44" s="1">
        <v>122</v>
      </c>
      <c r="E44" s="1">
        <v>9.89</v>
      </c>
    </row>
    <row r="45" spans="4:5">
      <c r="D45" s="1">
        <v>142</v>
      </c>
      <c r="E45" s="1">
        <v>9.5299999999999994</v>
      </c>
    </row>
    <row r="46" spans="4:5">
      <c r="D46" s="1">
        <v>164</v>
      </c>
      <c r="E46" s="1">
        <v>8.6300000000000008</v>
      </c>
    </row>
    <row r="47" spans="4:5">
      <c r="D47" s="1">
        <v>190</v>
      </c>
      <c r="E47" s="1">
        <v>7.27</v>
      </c>
    </row>
    <row r="48" spans="4:5">
      <c r="D48" s="1">
        <v>220</v>
      </c>
      <c r="E48" s="1">
        <v>5.61</v>
      </c>
    </row>
    <row r="49" spans="4:5">
      <c r="D49" s="1">
        <v>255</v>
      </c>
      <c r="E49" s="1">
        <v>3.86</v>
      </c>
    </row>
    <row r="50" spans="4:5">
      <c r="D50" s="1">
        <v>295</v>
      </c>
      <c r="E50" s="1">
        <v>2.2599999999999998</v>
      </c>
    </row>
    <row r="51" spans="4:5">
      <c r="D51" s="1">
        <v>342</v>
      </c>
      <c r="E51" s="1">
        <v>1.02</v>
      </c>
    </row>
    <row r="52" spans="4:5">
      <c r="D52" s="1">
        <v>396</v>
      </c>
      <c r="E52" s="1">
        <v>0.26900000000000002</v>
      </c>
    </row>
    <row r="53" spans="4:5">
      <c r="D53" s="1">
        <v>459</v>
      </c>
      <c r="E53" s="1">
        <v>0</v>
      </c>
    </row>
    <row r="54" spans="4:5">
      <c r="D54" s="1">
        <v>531</v>
      </c>
      <c r="E54" s="1">
        <v>0</v>
      </c>
    </row>
    <row r="55" spans="4:5">
      <c r="D55" s="1">
        <v>615</v>
      </c>
      <c r="E55" s="1">
        <v>0</v>
      </c>
    </row>
    <row r="56" spans="4:5">
      <c r="D56" s="1">
        <v>712</v>
      </c>
      <c r="E56" s="1">
        <v>0</v>
      </c>
    </row>
    <row r="57" spans="4:5">
      <c r="D57" s="1">
        <v>825</v>
      </c>
      <c r="E57" s="1">
        <v>0</v>
      </c>
    </row>
    <row r="58" spans="4:5">
      <c r="D58" s="1">
        <v>955</v>
      </c>
      <c r="E58" s="1">
        <v>0</v>
      </c>
    </row>
    <row r="59" spans="4:5">
      <c r="D59" s="1">
        <v>1110</v>
      </c>
      <c r="E59" s="1">
        <v>0</v>
      </c>
    </row>
    <row r="60" spans="4:5">
      <c r="D60" s="1">
        <v>1280</v>
      </c>
      <c r="E60" s="1">
        <v>0</v>
      </c>
    </row>
    <row r="61" spans="4:5">
      <c r="D61" s="1">
        <v>1480</v>
      </c>
      <c r="E61" s="1">
        <v>0</v>
      </c>
    </row>
    <row r="62" spans="4:5">
      <c r="D62" s="1">
        <v>1720</v>
      </c>
      <c r="E62" s="1">
        <v>0</v>
      </c>
    </row>
    <row r="63" spans="4:5">
      <c r="D63" s="1">
        <v>1990</v>
      </c>
      <c r="E63" s="1">
        <v>0</v>
      </c>
    </row>
    <row r="64" spans="4:5">
      <c r="D64" s="1">
        <v>2300</v>
      </c>
      <c r="E64" s="1">
        <v>0</v>
      </c>
    </row>
    <row r="65" spans="4:5">
      <c r="D65" s="1">
        <v>2670</v>
      </c>
      <c r="E65" s="1">
        <v>0</v>
      </c>
    </row>
    <row r="66" spans="4:5">
      <c r="D66" s="1">
        <v>3090</v>
      </c>
      <c r="E66" s="1">
        <v>0</v>
      </c>
    </row>
    <row r="67" spans="4:5">
      <c r="D67" s="1">
        <v>3580</v>
      </c>
      <c r="E67" s="1">
        <v>0</v>
      </c>
    </row>
    <row r="68" spans="4:5">
      <c r="D68" s="1">
        <v>4150</v>
      </c>
      <c r="E68" s="1">
        <v>0</v>
      </c>
    </row>
    <row r="69" spans="4:5">
      <c r="D69" s="1">
        <v>4800</v>
      </c>
      <c r="E69" s="1">
        <v>0</v>
      </c>
    </row>
    <row r="70" spans="4:5">
      <c r="D70" s="1">
        <v>5560</v>
      </c>
      <c r="E70" s="1">
        <v>0</v>
      </c>
    </row>
    <row r="71" spans="4:5">
      <c r="D71" s="1">
        <v>6440</v>
      </c>
      <c r="E71" s="1">
        <v>0</v>
      </c>
    </row>
    <row r="72" spans="4:5">
      <c r="D72" s="1">
        <v>7460</v>
      </c>
      <c r="E72" s="1">
        <v>0</v>
      </c>
    </row>
    <row r="73" spans="4:5">
      <c r="D73" s="1">
        <v>8630</v>
      </c>
      <c r="E73" s="1">
        <v>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C9FB5-07AE-4EE4-9E34-C9F4D6B924D4}">
  <dimension ref="G5:M13"/>
  <sheetViews>
    <sheetView workbookViewId="0">
      <selection activeCell="P24" sqref="P24"/>
    </sheetView>
  </sheetViews>
  <sheetFormatPr defaultRowHeight="14.4"/>
  <sheetData>
    <row r="5" spans="7:13">
      <c r="G5" s="2"/>
      <c r="H5" s="39" t="s">
        <v>234</v>
      </c>
      <c r="I5" s="39"/>
      <c r="J5" s="39"/>
      <c r="K5" s="39" t="s">
        <v>234</v>
      </c>
      <c r="L5" s="39"/>
      <c r="M5" s="39"/>
    </row>
    <row r="6" spans="7:13">
      <c r="G6" s="1">
        <v>1</v>
      </c>
      <c r="H6" s="1">
        <v>98.6</v>
      </c>
      <c r="I6" s="1">
        <v>102.1</v>
      </c>
      <c r="J6" s="1">
        <v>96.2</v>
      </c>
      <c r="K6" s="1">
        <v>-21.8</v>
      </c>
      <c r="L6" s="1">
        <v>-26.6</v>
      </c>
      <c r="M6" s="1">
        <v>-17.3</v>
      </c>
    </row>
    <row r="7" spans="7:13">
      <c r="G7" s="1">
        <v>3</v>
      </c>
      <c r="H7" s="1">
        <v>115.3</v>
      </c>
      <c r="I7" s="1">
        <v>120.4</v>
      </c>
      <c r="J7" s="1">
        <v>110.4</v>
      </c>
      <c r="K7" s="1">
        <v>-20.3</v>
      </c>
      <c r="L7" s="1">
        <v>-24.7</v>
      </c>
      <c r="M7" s="1">
        <v>-18.600000000000001</v>
      </c>
    </row>
    <row r="8" spans="7:13">
      <c r="G8" s="1">
        <v>5</v>
      </c>
      <c r="H8" s="1">
        <v>121.8</v>
      </c>
      <c r="I8" s="1">
        <v>127.6</v>
      </c>
      <c r="J8" s="1">
        <v>112.4</v>
      </c>
      <c r="K8" s="1">
        <v>-22.4</v>
      </c>
      <c r="L8" s="1">
        <v>-21.6</v>
      </c>
      <c r="M8" s="1">
        <v>-19.600000000000001</v>
      </c>
    </row>
    <row r="9" spans="7:13">
      <c r="G9" s="1">
        <v>7</v>
      </c>
      <c r="H9" s="1">
        <v>132.4</v>
      </c>
      <c r="I9" s="1">
        <v>138.4</v>
      </c>
      <c r="J9" s="1">
        <v>124.6</v>
      </c>
      <c r="K9" s="1">
        <v>-21.5</v>
      </c>
      <c r="L9" s="1">
        <v>-25.1</v>
      </c>
      <c r="M9" s="1">
        <v>-19.5</v>
      </c>
    </row>
    <row r="10" spans="7:13">
      <c r="G10" s="1">
        <v>9</v>
      </c>
      <c r="H10" s="1">
        <v>139.80000000000001</v>
      </c>
      <c r="I10" s="1">
        <v>147.6</v>
      </c>
      <c r="J10" s="1">
        <v>133.4</v>
      </c>
      <c r="K10" s="1">
        <v>-20.6</v>
      </c>
      <c r="L10" s="1">
        <v>-25.4</v>
      </c>
      <c r="M10" s="1">
        <v>-18.7</v>
      </c>
    </row>
    <row r="11" spans="7:13">
      <c r="G11" s="1">
        <v>11</v>
      </c>
      <c r="H11" s="1">
        <v>146.5</v>
      </c>
      <c r="I11" s="1">
        <v>157.4</v>
      </c>
      <c r="J11" s="1">
        <v>147.80000000000001</v>
      </c>
      <c r="K11" s="1">
        <v>-22.1</v>
      </c>
      <c r="L11" s="1">
        <v>-23.5</v>
      </c>
      <c r="M11" s="1">
        <v>-19.8</v>
      </c>
    </row>
    <row r="12" spans="7:13">
      <c r="G12" s="1">
        <v>13</v>
      </c>
      <c r="H12" s="1">
        <v>152.6</v>
      </c>
      <c r="I12" s="1">
        <v>163.19999999999999</v>
      </c>
      <c r="J12" s="1">
        <v>154.69999999999999</v>
      </c>
      <c r="K12" s="1">
        <v>-20.8</v>
      </c>
      <c r="L12" s="1">
        <v>-24.8</v>
      </c>
      <c r="M12" s="1">
        <v>-19.899999999999999</v>
      </c>
    </row>
    <row r="13" spans="7:13">
      <c r="G13" s="1">
        <v>15</v>
      </c>
      <c r="H13" s="1">
        <v>168.7</v>
      </c>
      <c r="I13" s="1">
        <v>177.5</v>
      </c>
      <c r="J13" s="1">
        <v>162.80000000000001</v>
      </c>
      <c r="K13" s="1">
        <v>-21.4</v>
      </c>
      <c r="L13" s="1">
        <v>-25.3</v>
      </c>
      <c r="M13" s="1">
        <v>-17.8</v>
      </c>
    </row>
  </sheetData>
  <mergeCells count="2">
    <mergeCell ref="H5:J5"/>
    <mergeCell ref="K5:M5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DDD77-6C4C-4224-BB77-655111F34DD3}">
  <dimension ref="E4:I7"/>
  <sheetViews>
    <sheetView workbookViewId="0">
      <selection activeCell="G13" sqref="G13"/>
    </sheetView>
  </sheetViews>
  <sheetFormatPr defaultRowHeight="14.4"/>
  <sheetData>
    <row r="4" spans="5:9">
      <c r="E4" s="2"/>
      <c r="F4" s="2"/>
      <c r="G4" s="39" t="s">
        <v>234</v>
      </c>
      <c r="H4" s="39"/>
      <c r="I4" s="39"/>
    </row>
    <row r="5" spans="5:9">
      <c r="E5" s="3" t="s">
        <v>51</v>
      </c>
      <c r="F5" s="1"/>
      <c r="G5" s="1">
        <v>-21.3</v>
      </c>
      <c r="H5" s="1">
        <v>-25.8</v>
      </c>
      <c r="I5" s="1">
        <v>-17.8</v>
      </c>
    </row>
    <row r="6" spans="5:9">
      <c r="E6" s="3" t="s">
        <v>52</v>
      </c>
      <c r="F6" s="1"/>
      <c r="G6" s="1">
        <v>1.26</v>
      </c>
      <c r="H6" s="1">
        <v>2.06</v>
      </c>
      <c r="I6" s="1">
        <v>0.24</v>
      </c>
    </row>
    <row r="7" spans="5:9">
      <c r="E7" s="3" t="s">
        <v>263</v>
      </c>
      <c r="F7" s="1"/>
      <c r="G7" s="1">
        <v>2.6</v>
      </c>
      <c r="H7" s="1">
        <v>5.26</v>
      </c>
      <c r="I7" s="1">
        <v>1.78</v>
      </c>
    </row>
  </sheetData>
  <mergeCells count="1">
    <mergeCell ref="G4:I4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AFE8-998B-4B94-95D8-D22E08BA7937}">
  <dimension ref="F8:I15"/>
  <sheetViews>
    <sheetView workbookViewId="0">
      <selection activeCell="M13" sqref="M13"/>
    </sheetView>
  </sheetViews>
  <sheetFormatPr defaultRowHeight="14.4"/>
  <sheetData>
    <row r="8" spans="6:9">
      <c r="F8" s="2"/>
      <c r="G8" s="39" t="s">
        <v>234</v>
      </c>
      <c r="H8" s="39"/>
      <c r="I8" s="39"/>
    </row>
    <row r="9" spans="6:9">
      <c r="F9" s="1">
        <v>8.3333000000000004E-2</v>
      </c>
      <c r="G9" s="1">
        <v>94.13</v>
      </c>
      <c r="H9" s="1">
        <v>98.8</v>
      </c>
      <c r="I9" s="1">
        <v>94.57</v>
      </c>
    </row>
    <row r="10" spans="6:9">
      <c r="F10" s="1">
        <v>0.3333333</v>
      </c>
      <c r="G10" s="1">
        <v>65.83</v>
      </c>
      <c r="H10" s="1">
        <v>62.99</v>
      </c>
      <c r="I10" s="1">
        <v>54.23</v>
      </c>
    </row>
    <row r="11" spans="6:9">
      <c r="F11" s="1">
        <v>1</v>
      </c>
      <c r="G11" s="1">
        <v>41.9</v>
      </c>
      <c r="H11" s="1">
        <v>50.17</v>
      </c>
      <c r="I11" s="1">
        <v>43.52</v>
      </c>
    </row>
    <row r="12" spans="6:9">
      <c r="F12" s="1">
        <v>2.5</v>
      </c>
      <c r="G12" s="1">
        <v>20.170000000000002</v>
      </c>
      <c r="H12" s="1">
        <v>33.15</v>
      </c>
      <c r="I12" s="1">
        <v>21.07</v>
      </c>
    </row>
    <row r="13" spans="6:9">
      <c r="F13" s="1">
        <v>8</v>
      </c>
      <c r="G13" s="1">
        <v>17.03</v>
      </c>
      <c r="H13" s="1">
        <v>13.25</v>
      </c>
      <c r="I13" s="1">
        <v>11.02</v>
      </c>
    </row>
    <row r="14" spans="6:9">
      <c r="F14" s="1">
        <v>12</v>
      </c>
      <c r="G14" s="1">
        <v>2.15</v>
      </c>
      <c r="H14" s="1">
        <v>3.26</v>
      </c>
      <c r="I14" s="1">
        <v>5.17</v>
      </c>
    </row>
    <row r="15" spans="6:9">
      <c r="F15" s="1">
        <v>24</v>
      </c>
      <c r="G15" s="1">
        <v>0.18</v>
      </c>
      <c r="H15" s="1">
        <v>0.09</v>
      </c>
      <c r="I15" s="1">
        <v>0.1</v>
      </c>
    </row>
  </sheetData>
  <mergeCells count="1">
    <mergeCell ref="G8:I8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FC9CF-8502-4B35-BD05-7762C00CA5D6}">
  <dimension ref="F6:I12"/>
  <sheetViews>
    <sheetView workbookViewId="0">
      <selection activeCell="L22" sqref="L22"/>
    </sheetView>
  </sheetViews>
  <sheetFormatPr defaultRowHeight="14.4"/>
  <sheetData>
    <row r="6" spans="6:9">
      <c r="F6" s="2"/>
      <c r="G6" s="39" t="s">
        <v>234</v>
      </c>
      <c r="H6" s="39"/>
      <c r="I6" s="39"/>
    </row>
    <row r="7" spans="6:9">
      <c r="F7" s="3" t="s">
        <v>0</v>
      </c>
      <c r="G7" s="1">
        <v>0.23</v>
      </c>
      <c r="H7" s="1">
        <v>0.18</v>
      </c>
      <c r="I7" s="1">
        <v>0.04</v>
      </c>
    </row>
    <row r="8" spans="6:9">
      <c r="F8" s="3" t="s">
        <v>1</v>
      </c>
      <c r="G8" s="1">
        <v>23.74</v>
      </c>
      <c r="H8" s="1">
        <v>24.8</v>
      </c>
      <c r="I8" s="1">
        <v>19.02</v>
      </c>
    </row>
    <row r="9" spans="6:9">
      <c r="F9" s="3" t="s">
        <v>2</v>
      </c>
      <c r="G9" s="1">
        <v>6.96</v>
      </c>
      <c r="H9" s="1">
        <v>4.8499999999999996</v>
      </c>
      <c r="I9" s="1">
        <v>3.19</v>
      </c>
    </row>
    <row r="10" spans="6:9">
      <c r="F10" s="3" t="s">
        <v>3</v>
      </c>
      <c r="G10" s="1">
        <v>1.1399999999999999</v>
      </c>
      <c r="H10" s="1">
        <v>0.81</v>
      </c>
      <c r="I10" s="1">
        <v>0.65</v>
      </c>
    </row>
    <row r="11" spans="6:9">
      <c r="F11" s="3" t="s">
        <v>4</v>
      </c>
      <c r="G11" s="1">
        <v>0.8</v>
      </c>
      <c r="H11" s="1">
        <v>0.8</v>
      </c>
      <c r="I11" s="1">
        <v>0.87</v>
      </c>
    </row>
    <row r="12" spans="6:9">
      <c r="F12" s="3" t="s">
        <v>5</v>
      </c>
      <c r="G12" s="1">
        <v>2.02</v>
      </c>
      <c r="H12" s="1">
        <v>1.26</v>
      </c>
      <c r="I12" s="1">
        <v>2.02</v>
      </c>
    </row>
  </sheetData>
  <mergeCells count="1">
    <mergeCell ref="G6:I6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03C1-8854-4248-B5BE-304A5FE70F03}">
  <dimension ref="F5:AE9"/>
  <sheetViews>
    <sheetView topLeftCell="J1" workbookViewId="0">
      <selection activeCell="O25" sqref="O25"/>
    </sheetView>
  </sheetViews>
  <sheetFormatPr defaultRowHeight="14.4"/>
  <sheetData>
    <row r="5" spans="6:31">
      <c r="F5" s="2"/>
      <c r="G5" s="39" t="s">
        <v>6</v>
      </c>
      <c r="H5" s="39"/>
      <c r="I5" s="39"/>
      <c r="J5" s="39"/>
      <c r="K5" s="39"/>
      <c r="L5" s="39" t="s">
        <v>16</v>
      </c>
      <c r="M5" s="39"/>
      <c r="N5" s="39"/>
      <c r="O5" s="39"/>
      <c r="P5" s="39"/>
      <c r="Q5" s="39" t="s">
        <v>234</v>
      </c>
      <c r="R5" s="39"/>
      <c r="S5" s="39"/>
      <c r="T5" s="39"/>
      <c r="U5" s="39"/>
      <c r="V5" s="39" t="s">
        <v>19</v>
      </c>
      <c r="W5" s="39"/>
      <c r="X5" s="39"/>
      <c r="Y5" s="39"/>
      <c r="Z5" s="39"/>
      <c r="AA5" s="39" t="s">
        <v>21</v>
      </c>
      <c r="AB5" s="39"/>
      <c r="AC5" s="39"/>
      <c r="AD5" s="39"/>
      <c r="AE5" s="39"/>
    </row>
    <row r="6" spans="6:31"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</row>
    <row r="7" spans="6:31">
      <c r="F7" s="1">
        <v>10</v>
      </c>
      <c r="G7" s="1">
        <v>1.1100000000000001</v>
      </c>
      <c r="H7" s="1">
        <v>1.03</v>
      </c>
      <c r="I7" s="1">
        <v>1.04</v>
      </c>
      <c r="J7" s="1">
        <v>0.96</v>
      </c>
      <c r="K7" s="1">
        <v>0.86</v>
      </c>
      <c r="L7" s="1">
        <v>1.03</v>
      </c>
      <c r="M7" s="1">
        <v>1.07</v>
      </c>
      <c r="N7" s="1">
        <v>0.86</v>
      </c>
      <c r="O7" s="1">
        <v>0.96</v>
      </c>
      <c r="P7" s="1">
        <v>1.18</v>
      </c>
      <c r="Q7" s="1">
        <v>1.24</v>
      </c>
      <c r="R7" s="1">
        <v>0.86</v>
      </c>
      <c r="S7" s="1">
        <v>1.08</v>
      </c>
      <c r="T7" s="1">
        <v>0.98</v>
      </c>
      <c r="U7" s="1">
        <v>1.01</v>
      </c>
      <c r="V7" s="1">
        <v>1.08</v>
      </c>
      <c r="W7" s="1">
        <v>0.89</v>
      </c>
      <c r="X7" s="1">
        <v>1.02</v>
      </c>
      <c r="Y7" s="1">
        <v>0.96</v>
      </c>
      <c r="Z7" s="1">
        <v>1.17</v>
      </c>
      <c r="AA7" s="1">
        <v>1.03</v>
      </c>
      <c r="AB7" s="1">
        <v>1.24</v>
      </c>
      <c r="AC7" s="1">
        <v>0.87</v>
      </c>
      <c r="AD7" s="1">
        <v>0.96</v>
      </c>
      <c r="AE7" s="1">
        <v>1.07</v>
      </c>
    </row>
    <row r="8" spans="6:31">
      <c r="F8" s="1">
        <v>17</v>
      </c>
      <c r="G8" s="1">
        <v>12.89</v>
      </c>
      <c r="H8" s="1">
        <v>13.87</v>
      </c>
      <c r="I8" s="1">
        <v>18.93</v>
      </c>
      <c r="J8" s="1">
        <v>16.239999999999998</v>
      </c>
      <c r="K8" s="1">
        <v>17.38</v>
      </c>
      <c r="L8" s="1">
        <v>4.8899999999999997</v>
      </c>
      <c r="M8" s="1">
        <v>5.56</v>
      </c>
      <c r="N8" s="1">
        <v>8.9600000000000009</v>
      </c>
      <c r="O8" s="1">
        <v>6.48</v>
      </c>
      <c r="P8" s="1">
        <v>6.72</v>
      </c>
      <c r="Q8" s="1">
        <v>2.89</v>
      </c>
      <c r="R8" s="1">
        <v>3.56</v>
      </c>
      <c r="S8" s="1">
        <v>5.97</v>
      </c>
      <c r="T8" s="1">
        <v>3.54</v>
      </c>
      <c r="U8" s="1">
        <v>6.48</v>
      </c>
      <c r="V8" s="1">
        <v>2.46</v>
      </c>
      <c r="W8" s="1">
        <v>3.12</v>
      </c>
      <c r="X8" s="1">
        <v>4.1500000000000004</v>
      </c>
      <c r="Y8" s="1">
        <v>2.86</v>
      </c>
      <c r="Z8" s="1">
        <v>3.08</v>
      </c>
      <c r="AA8" s="1">
        <v>1.28</v>
      </c>
      <c r="AB8" s="1">
        <v>1.89</v>
      </c>
      <c r="AC8" s="1">
        <v>2.06</v>
      </c>
      <c r="AD8" s="1">
        <v>1.97</v>
      </c>
      <c r="AE8" s="1">
        <v>1.47</v>
      </c>
    </row>
    <row r="9" spans="6:31">
      <c r="F9" s="1">
        <v>24</v>
      </c>
      <c r="G9" s="1">
        <v>38.46</v>
      </c>
      <c r="H9" s="1">
        <v>30.56</v>
      </c>
      <c r="I9" s="1">
        <v>41.2</v>
      </c>
      <c r="J9" s="1">
        <v>40.47</v>
      </c>
      <c r="K9" s="1">
        <v>39.82</v>
      </c>
      <c r="L9" s="1">
        <v>11.36</v>
      </c>
      <c r="M9" s="1">
        <v>15.47</v>
      </c>
      <c r="N9" s="1">
        <v>13.41</v>
      </c>
      <c r="O9" s="1">
        <v>10.36</v>
      </c>
      <c r="P9" s="1">
        <v>17.420000000000002</v>
      </c>
      <c r="Q9" s="1">
        <v>10.23</v>
      </c>
      <c r="R9" s="1">
        <v>7.41</v>
      </c>
      <c r="S9" s="1">
        <v>9.42</v>
      </c>
      <c r="T9" s="1">
        <v>8.49</v>
      </c>
      <c r="U9" s="1">
        <v>9.4700000000000006</v>
      </c>
      <c r="V9" s="1">
        <v>4.78</v>
      </c>
      <c r="W9" s="1">
        <v>5.26</v>
      </c>
      <c r="X9" s="1">
        <v>5.89</v>
      </c>
      <c r="Y9" s="1">
        <v>3.08</v>
      </c>
      <c r="Z9" s="1">
        <v>4.18</v>
      </c>
      <c r="AA9" s="1">
        <v>1.56</v>
      </c>
      <c r="AB9" s="1">
        <v>2.36</v>
      </c>
      <c r="AC9" s="1">
        <v>2.14</v>
      </c>
      <c r="AD9" s="1">
        <v>2.0699999999999998</v>
      </c>
      <c r="AE9" s="1">
        <v>1.55</v>
      </c>
    </row>
  </sheetData>
  <mergeCells count="5">
    <mergeCell ref="G5:K5"/>
    <mergeCell ref="L5:P5"/>
    <mergeCell ref="Q5:U5"/>
    <mergeCell ref="V5:Z5"/>
    <mergeCell ref="AA5:AE5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B3C5B-CD1C-418E-BDAF-00BFEFBE940D}">
  <dimension ref="C5:AB16"/>
  <sheetViews>
    <sheetView workbookViewId="0">
      <selection activeCell="J18" sqref="J18"/>
    </sheetView>
  </sheetViews>
  <sheetFormatPr defaultRowHeight="14.4"/>
  <sheetData>
    <row r="5" spans="3:28">
      <c r="C5" s="2"/>
      <c r="D5" s="39" t="s">
        <v>6</v>
      </c>
      <c r="E5" s="39"/>
      <c r="F5" s="39"/>
      <c r="G5" s="39"/>
      <c r="H5" s="39"/>
      <c r="I5" s="39" t="s">
        <v>16</v>
      </c>
      <c r="J5" s="39"/>
      <c r="K5" s="39"/>
      <c r="L5" s="39"/>
      <c r="M5" s="39"/>
      <c r="N5" s="39" t="s">
        <v>234</v>
      </c>
      <c r="O5" s="39"/>
      <c r="P5" s="39"/>
      <c r="Q5" s="39"/>
      <c r="R5" s="39"/>
      <c r="S5" s="39" t="s">
        <v>19</v>
      </c>
      <c r="T5" s="39"/>
      <c r="U5" s="39"/>
      <c r="V5" s="39"/>
      <c r="W5" s="39"/>
      <c r="X5" s="39" t="s">
        <v>21</v>
      </c>
      <c r="Y5" s="39"/>
      <c r="Z5" s="39"/>
      <c r="AA5" s="39"/>
      <c r="AB5" s="39"/>
    </row>
    <row r="6" spans="3:28">
      <c r="C6" s="3" t="s">
        <v>1</v>
      </c>
      <c r="D6" s="1">
        <v>1.29</v>
      </c>
      <c r="E6" s="1">
        <v>1.01</v>
      </c>
      <c r="F6" s="1">
        <v>0.84</v>
      </c>
      <c r="G6" s="1">
        <v>0.72</v>
      </c>
      <c r="H6" s="1">
        <v>1.1399999999999999</v>
      </c>
      <c r="I6" s="1">
        <v>2.5999999999999999E-2</v>
      </c>
      <c r="J6" s="1">
        <v>0.47</v>
      </c>
      <c r="K6" s="1">
        <v>1.7999999999999999E-2</v>
      </c>
      <c r="L6" s="1">
        <v>0.12</v>
      </c>
      <c r="M6" s="1">
        <v>0.26</v>
      </c>
      <c r="N6" s="1">
        <v>5.4000000000000003E-3</v>
      </c>
      <c r="O6" s="1">
        <v>1.8E-3</v>
      </c>
      <c r="P6" s="1">
        <v>1.2999999999999999E-2</v>
      </c>
      <c r="Q6" s="1">
        <v>4.1999999999999997E-3</v>
      </c>
      <c r="R6" s="1">
        <v>8.3000000000000004E-2</v>
      </c>
      <c r="S6" s="1">
        <v>1.1000000000000001E-3</v>
      </c>
      <c r="T6" s="1">
        <v>1.6000000000000001E-4</v>
      </c>
      <c r="U6" s="1">
        <v>4.2000000000000002E-4</v>
      </c>
      <c r="V6" s="1">
        <v>8.8000000000000005E-3</v>
      </c>
      <c r="W6" s="1">
        <v>9.5999999999999992E-3</v>
      </c>
      <c r="X6" s="1">
        <v>4.6000000000000001E-4</v>
      </c>
      <c r="Y6" s="1">
        <v>1.8000000000000001E-4</v>
      </c>
      <c r="Z6" s="1">
        <v>2.7999999999999998E-4</v>
      </c>
      <c r="AA6" s="1">
        <v>3.6000000000000002E-4</v>
      </c>
      <c r="AB6" s="1">
        <v>8.1999999999999998E-4</v>
      </c>
    </row>
    <row r="7" spans="3:28">
      <c r="C7" s="3" t="s">
        <v>2</v>
      </c>
      <c r="D7" s="1">
        <v>0.85</v>
      </c>
      <c r="E7" s="1">
        <v>0.96</v>
      </c>
      <c r="F7" s="1">
        <v>1.24</v>
      </c>
      <c r="G7" s="1">
        <v>0.78</v>
      </c>
      <c r="H7" s="1">
        <v>1.21</v>
      </c>
      <c r="I7" s="1">
        <v>9.6000000000000002E-2</v>
      </c>
      <c r="J7" s="1">
        <v>0.28000000000000003</v>
      </c>
      <c r="K7" s="1">
        <v>0.36</v>
      </c>
      <c r="L7" s="1">
        <v>7.3999999999999996E-2</v>
      </c>
      <c r="M7" s="1">
        <v>1.7000000000000001E-2</v>
      </c>
      <c r="N7" s="1">
        <v>1.6000000000000001E-3</v>
      </c>
      <c r="O7" s="1">
        <v>1.7000000000000001E-2</v>
      </c>
      <c r="P7" s="1">
        <v>2.8E-3</v>
      </c>
      <c r="Q7" s="1">
        <v>3.3000000000000002E-2</v>
      </c>
      <c r="R7" s="1">
        <v>8.6999999999999994E-2</v>
      </c>
      <c r="S7" s="1">
        <v>2.3E-3</v>
      </c>
      <c r="T7" s="1">
        <v>2.7E-4</v>
      </c>
      <c r="U7" s="1">
        <v>8.5000000000000006E-3</v>
      </c>
      <c r="V7" s="1">
        <v>3.5999999999999999E-3</v>
      </c>
      <c r="W7" s="1">
        <v>4.7000000000000002E-3</v>
      </c>
      <c r="X7" s="1">
        <v>4.2999999999999999E-4</v>
      </c>
      <c r="Y7" s="1">
        <v>7.6E-3</v>
      </c>
      <c r="Z7" s="1">
        <v>2.3999999999999998E-3</v>
      </c>
      <c r="AA7" s="1">
        <v>1.9E-3</v>
      </c>
      <c r="AB7" s="1">
        <v>3.6000000000000002E-4</v>
      </c>
    </row>
    <row r="8" spans="3:28">
      <c r="C8" s="3" t="s">
        <v>3</v>
      </c>
      <c r="D8" s="1">
        <v>2.5999999999999999E-2</v>
      </c>
      <c r="E8" s="1">
        <v>1.7000000000000001E-2</v>
      </c>
      <c r="F8" s="1">
        <v>1.7999999999999999E-2</v>
      </c>
      <c r="G8" s="1">
        <v>8.5000000000000006E-2</v>
      </c>
      <c r="H8" s="1">
        <v>4.2000000000000003E-2</v>
      </c>
      <c r="I8" s="1">
        <v>1.6000000000000001E-3</v>
      </c>
      <c r="J8" s="1">
        <v>2.7000000000000001E-3</v>
      </c>
      <c r="K8" s="1">
        <v>8.6E-3</v>
      </c>
      <c r="L8" s="1">
        <v>4.4999999999999998E-2</v>
      </c>
      <c r="M8" s="1">
        <v>1.8E-3</v>
      </c>
      <c r="N8" s="1">
        <v>4.8999999999999998E-3</v>
      </c>
      <c r="O8" s="1">
        <v>5.7999999999999996E-3</v>
      </c>
      <c r="P8" s="1">
        <v>7.1999999999999998E-3</v>
      </c>
      <c r="Q8" s="1">
        <v>1.1999999999999999E-3</v>
      </c>
      <c r="R8" s="1">
        <v>4.7E-2</v>
      </c>
      <c r="S8" s="1">
        <v>5.5999999999999995E-4</v>
      </c>
      <c r="T8" s="1">
        <v>7.9000000000000001E-4</v>
      </c>
      <c r="U8" s="1">
        <v>4.1999999999999997E-3</v>
      </c>
      <c r="V8" s="1">
        <v>3.8E-3</v>
      </c>
      <c r="W8" s="1">
        <v>4.5999999999999999E-3</v>
      </c>
      <c r="X8" s="1">
        <v>1.2999999999999999E-4</v>
      </c>
      <c r="Y8" s="1">
        <v>7.2000000000000005E-4</v>
      </c>
      <c r="Z8" s="1">
        <v>1.6000000000000001E-4</v>
      </c>
      <c r="AA8" s="1">
        <v>4.6000000000000001E-4</v>
      </c>
      <c r="AB8" s="1">
        <v>5.4000000000000001E-4</v>
      </c>
    </row>
    <row r="9" spans="3:28">
      <c r="C9" s="3" t="s">
        <v>4</v>
      </c>
      <c r="D9" s="1">
        <v>0.26</v>
      </c>
      <c r="E9" s="1">
        <v>0.28999999999999998</v>
      </c>
      <c r="F9" s="1">
        <v>0.18</v>
      </c>
      <c r="G9" s="1">
        <v>0.22</v>
      </c>
      <c r="H9" s="1">
        <v>0.27</v>
      </c>
      <c r="I9" s="1">
        <v>7.4499999999999997E-2</v>
      </c>
      <c r="J9" s="1">
        <v>1.8E-3</v>
      </c>
      <c r="K9" s="1">
        <v>3.5000000000000001E-3</v>
      </c>
      <c r="L9" s="1">
        <v>2.3999999999999998E-3</v>
      </c>
      <c r="M9" s="1">
        <v>7.1999999999999995E-2</v>
      </c>
      <c r="N9" s="1">
        <v>1.6999999999999999E-3</v>
      </c>
      <c r="O9" s="1">
        <v>6.0999999999999999E-2</v>
      </c>
      <c r="P9" s="1">
        <v>6.7999999999999996E-3</v>
      </c>
      <c r="Q9" s="1">
        <v>7.3000000000000001E-3</v>
      </c>
      <c r="R9" s="1">
        <v>2.5000000000000001E-2</v>
      </c>
      <c r="S9" s="1">
        <v>2.7000000000000001E-3</v>
      </c>
      <c r="T9" s="1">
        <v>1.2999999999999999E-3</v>
      </c>
      <c r="U9" s="1">
        <v>4.8999999999999998E-3</v>
      </c>
      <c r="V9" s="1">
        <v>1.2999999999999999E-3</v>
      </c>
      <c r="W9" s="1">
        <v>8.5999999999999998E-4</v>
      </c>
      <c r="X9" s="1">
        <v>2.4000000000000001E-4</v>
      </c>
      <c r="Y9" s="1">
        <v>1.8E-3</v>
      </c>
      <c r="Z9" s="1">
        <v>9.6000000000000002E-4</v>
      </c>
      <c r="AA9" s="1">
        <v>7.2000000000000005E-4</v>
      </c>
      <c r="AB9" s="1">
        <v>7.2000000000000005E-4</v>
      </c>
    </row>
    <row r="10" spans="3:28">
      <c r="C10" s="3" t="s">
        <v>5</v>
      </c>
      <c r="D10" s="1">
        <v>5.89</v>
      </c>
      <c r="E10" s="1">
        <v>6.73</v>
      </c>
      <c r="F10" s="1">
        <v>4.8899999999999997</v>
      </c>
      <c r="G10" s="1">
        <v>7.45</v>
      </c>
      <c r="H10" s="1">
        <v>4.28</v>
      </c>
      <c r="I10" s="1">
        <v>1.26</v>
      </c>
      <c r="J10" s="1">
        <v>2.76</v>
      </c>
      <c r="K10" s="1">
        <v>2.4700000000000002</v>
      </c>
      <c r="L10" s="1">
        <v>1.64</v>
      </c>
      <c r="M10" s="1">
        <v>1.83</v>
      </c>
      <c r="N10" s="1">
        <v>1.08</v>
      </c>
      <c r="O10" s="1">
        <v>0.96</v>
      </c>
      <c r="P10" s="1">
        <v>1.17</v>
      </c>
      <c r="Q10" s="1">
        <v>1.49</v>
      </c>
      <c r="R10" s="1">
        <v>1.87</v>
      </c>
      <c r="S10" s="1">
        <v>0.59</v>
      </c>
      <c r="T10" s="1">
        <v>0.93</v>
      </c>
      <c r="U10" s="1">
        <v>0.74</v>
      </c>
      <c r="V10" s="1">
        <v>0.89</v>
      </c>
      <c r="W10" s="1">
        <v>0.77</v>
      </c>
      <c r="X10" s="1">
        <v>0.23</v>
      </c>
      <c r="Y10" s="1">
        <v>0.19</v>
      </c>
      <c r="Z10" s="1">
        <v>0.27</v>
      </c>
      <c r="AA10" s="1">
        <v>0.31</v>
      </c>
      <c r="AB10" s="1">
        <v>0.18</v>
      </c>
    </row>
    <row r="11" spans="3:28">
      <c r="C11" s="3" t="s">
        <v>7</v>
      </c>
      <c r="D11" s="1">
        <v>2.86</v>
      </c>
      <c r="E11" s="1">
        <v>5.73</v>
      </c>
      <c r="F11" s="1">
        <v>2.12</v>
      </c>
      <c r="G11" s="1">
        <v>4.17</v>
      </c>
      <c r="H11" s="1">
        <v>3.33</v>
      </c>
      <c r="I11" s="1">
        <v>0.75</v>
      </c>
      <c r="J11" s="1">
        <v>0.16</v>
      </c>
      <c r="K11" s="1">
        <v>0.28000000000000003</v>
      </c>
      <c r="L11" s="1">
        <v>0.67</v>
      </c>
      <c r="M11" s="1">
        <v>8.5000000000000006E-3</v>
      </c>
      <c r="N11" s="1">
        <v>8.3000000000000004E-2</v>
      </c>
      <c r="O11" s="1">
        <v>7.0999999999999994E-2</v>
      </c>
      <c r="P11" s="1">
        <v>1.9E-2</v>
      </c>
      <c r="Q11" s="1">
        <v>0.52</v>
      </c>
      <c r="R11" s="1">
        <v>3.3999999999999998E-3</v>
      </c>
      <c r="S11" s="1">
        <v>2.1999999999999999E-2</v>
      </c>
      <c r="T11" s="1">
        <v>1.7999999999999999E-2</v>
      </c>
      <c r="U11" s="1">
        <v>4.1999999999999997E-3</v>
      </c>
      <c r="V11" s="1">
        <v>1.1999999999999999E-3</v>
      </c>
      <c r="W11" s="1">
        <v>8.7000000000000001E-4</v>
      </c>
      <c r="X11" s="1">
        <v>2.8E-3</v>
      </c>
      <c r="Y11" s="1">
        <v>1.6000000000000001E-3</v>
      </c>
      <c r="Z11" s="1">
        <v>7.2999999999999996E-4</v>
      </c>
      <c r="AA11" s="1">
        <v>4.0999999999999999E-4</v>
      </c>
      <c r="AB11" s="1">
        <v>3.4000000000000002E-4</v>
      </c>
    </row>
    <row r="12" spans="3:28">
      <c r="C12" s="3" t="s">
        <v>8</v>
      </c>
      <c r="D12" s="1">
        <v>1.26</v>
      </c>
      <c r="E12" s="1">
        <v>0.89</v>
      </c>
      <c r="F12" s="1">
        <v>0.51</v>
      </c>
      <c r="G12" s="1">
        <v>1.78</v>
      </c>
      <c r="H12" s="1">
        <v>0.46</v>
      </c>
      <c r="I12" s="1">
        <v>0.32</v>
      </c>
      <c r="J12" s="1">
        <v>1.7000000000000001E-2</v>
      </c>
      <c r="K12" s="1">
        <v>0.19</v>
      </c>
      <c r="L12" s="1">
        <v>1.4E-3</v>
      </c>
      <c r="M12" s="1">
        <v>1.2E-2</v>
      </c>
      <c r="N12" s="1">
        <v>1.6000000000000001E-3</v>
      </c>
      <c r="O12" s="1">
        <v>8.5000000000000006E-3</v>
      </c>
      <c r="P12" s="1">
        <v>6.6E-3</v>
      </c>
      <c r="Q12" s="1">
        <v>4.7999999999999996E-3</v>
      </c>
      <c r="R12" s="1">
        <v>1.9E-2</v>
      </c>
      <c r="S12" s="1">
        <v>3.1E-4</v>
      </c>
      <c r="T12" s="1">
        <v>8.5000000000000006E-3</v>
      </c>
      <c r="U12" s="1">
        <v>6.3E-3</v>
      </c>
      <c r="V12" s="1">
        <v>4.4999999999999997E-3</v>
      </c>
      <c r="W12" s="1">
        <v>5.7999999999999996E-3</v>
      </c>
      <c r="X12" s="1">
        <v>4.6000000000000001E-4</v>
      </c>
      <c r="Y12" s="1">
        <v>8.1999999999999998E-4</v>
      </c>
      <c r="Z12" s="1">
        <v>1.8000000000000001E-4</v>
      </c>
      <c r="AA12" s="1">
        <v>3.4000000000000002E-4</v>
      </c>
      <c r="AB12" s="1">
        <v>2.5999999999999998E-4</v>
      </c>
    </row>
    <row r="13" spans="3:28">
      <c r="C13" s="3" t="s">
        <v>9</v>
      </c>
      <c r="D13" s="1">
        <v>0.26</v>
      </c>
      <c r="E13" s="1">
        <v>0.79</v>
      </c>
      <c r="F13" s="1">
        <v>0.53</v>
      </c>
      <c r="G13" s="1">
        <v>0.47</v>
      </c>
      <c r="H13" s="1">
        <v>1.37</v>
      </c>
      <c r="I13" s="1">
        <v>2.8E-3</v>
      </c>
      <c r="J13" s="1">
        <v>4.5999999999999999E-3</v>
      </c>
      <c r="K13" s="1">
        <v>8.6E-3</v>
      </c>
      <c r="L13" s="1">
        <v>1.4E-2</v>
      </c>
      <c r="M13" s="1">
        <v>3.7999999999999999E-2</v>
      </c>
      <c r="N13" s="1">
        <v>4.7E-2</v>
      </c>
      <c r="O13" s="1">
        <v>1.5E-3</v>
      </c>
      <c r="P13" s="1">
        <v>2.8E-3</v>
      </c>
      <c r="Q13" s="1">
        <v>2.3999999999999998E-3</v>
      </c>
      <c r="R13" s="1">
        <v>6.7000000000000004E-2</v>
      </c>
      <c r="S13" s="1">
        <v>2.8999999999999998E-3</v>
      </c>
      <c r="T13" s="1">
        <v>1.6999999999999999E-3</v>
      </c>
      <c r="U13" s="1">
        <v>5.1999999999999998E-3</v>
      </c>
      <c r="V13" s="1">
        <v>4.7999999999999996E-3</v>
      </c>
      <c r="W13" s="1">
        <v>2.3E-3</v>
      </c>
      <c r="X13" s="1">
        <v>1.8000000000000001E-4</v>
      </c>
      <c r="Y13" s="1">
        <v>1.6000000000000001E-3</v>
      </c>
      <c r="Z13" s="1">
        <v>2.7E-4</v>
      </c>
      <c r="AA13" s="1">
        <v>4.6000000000000001E-4</v>
      </c>
      <c r="AB13" s="1">
        <v>1.1E-4</v>
      </c>
    </row>
    <row r="14" spans="3:28">
      <c r="C14" s="3" t="s">
        <v>10</v>
      </c>
      <c r="D14" s="1">
        <v>0.25</v>
      </c>
      <c r="E14" s="1">
        <v>4.7E-2</v>
      </c>
      <c r="F14" s="1">
        <v>0.18</v>
      </c>
      <c r="G14" s="1">
        <v>0.28000000000000003</v>
      </c>
      <c r="H14" s="1">
        <v>0.17</v>
      </c>
      <c r="I14" s="1">
        <v>1.8E-3</v>
      </c>
      <c r="J14" s="1">
        <v>7.3000000000000001E-3</v>
      </c>
      <c r="K14" s="1">
        <v>1.5E-3</v>
      </c>
      <c r="L14" s="1">
        <v>1.9E-2</v>
      </c>
      <c r="M14" s="1">
        <v>8.6E-3</v>
      </c>
      <c r="N14" s="1">
        <v>8.2000000000000003E-2</v>
      </c>
      <c r="O14" s="1">
        <v>1.6000000000000001E-3</v>
      </c>
      <c r="P14" s="1">
        <v>1.7000000000000001E-2</v>
      </c>
      <c r="Q14" s="1">
        <v>8.1000000000000003E-2</v>
      </c>
      <c r="R14" s="1">
        <v>3.4000000000000002E-2</v>
      </c>
      <c r="S14" s="1">
        <v>1.6000000000000001E-4</v>
      </c>
      <c r="T14" s="1">
        <v>1.1000000000000001E-3</v>
      </c>
      <c r="U14" s="1">
        <v>4.6000000000000001E-4</v>
      </c>
      <c r="V14" s="1">
        <v>8.3000000000000001E-4</v>
      </c>
      <c r="W14" s="1">
        <v>4.2999999999999999E-4</v>
      </c>
      <c r="X14" s="1">
        <v>1.2999999999999999E-3</v>
      </c>
      <c r="Y14" s="1">
        <v>4.6999999999999999E-4</v>
      </c>
      <c r="Z14" s="1">
        <v>2.5000000000000001E-4</v>
      </c>
      <c r="AA14" s="1">
        <v>4.2999999999999999E-4</v>
      </c>
      <c r="AB14" s="1">
        <v>1.1E-4</v>
      </c>
    </row>
    <row r="15" spans="3:28">
      <c r="C15" s="3" t="s">
        <v>11</v>
      </c>
      <c r="D15" s="1">
        <v>1.7000000000000001E-2</v>
      </c>
      <c r="E15" s="1">
        <v>0.28999999999999998</v>
      </c>
      <c r="F15" s="1">
        <v>0.76</v>
      </c>
      <c r="G15" s="1">
        <v>0.38</v>
      </c>
      <c r="H15" s="1">
        <v>2.4E-2</v>
      </c>
      <c r="I15" s="1">
        <v>8.8999999999999999E-3</v>
      </c>
      <c r="J15" s="1">
        <v>1.1000000000000001E-3</v>
      </c>
      <c r="K15" s="1">
        <v>9.5999999999999992E-3</v>
      </c>
      <c r="L15" s="1">
        <v>2.8000000000000001E-2</v>
      </c>
      <c r="M15" s="1">
        <v>7.3000000000000001E-3</v>
      </c>
      <c r="N15" s="1">
        <v>4.2000000000000002E-4</v>
      </c>
      <c r="O15" s="1">
        <v>1.1000000000000001E-3</v>
      </c>
      <c r="P15" s="1">
        <v>7.6E-3</v>
      </c>
      <c r="Q15" s="1">
        <v>4.1000000000000003E-3</v>
      </c>
      <c r="R15" s="1">
        <v>5.7000000000000002E-2</v>
      </c>
      <c r="S15" s="1">
        <v>1.8000000000000001E-4</v>
      </c>
      <c r="T15" s="1">
        <v>1.2E-4</v>
      </c>
      <c r="U15" s="1">
        <v>1.6000000000000001E-3</v>
      </c>
      <c r="V15" s="1">
        <v>4.3E-3</v>
      </c>
      <c r="W15" s="1">
        <v>8.6E-3</v>
      </c>
      <c r="X15" s="1">
        <v>7.2999999999999996E-4</v>
      </c>
      <c r="Y15" s="1">
        <v>4.0999999999999999E-4</v>
      </c>
      <c r="Z15" s="1">
        <v>5.2999999999999998E-4</v>
      </c>
      <c r="AA15" s="1">
        <v>1.6000000000000001E-4</v>
      </c>
      <c r="AB15" s="1">
        <v>2.2000000000000001E-4</v>
      </c>
    </row>
    <row r="16" spans="3:28">
      <c r="C16" s="3" t="s">
        <v>12</v>
      </c>
      <c r="D16" s="1">
        <v>0.96</v>
      </c>
      <c r="E16" s="1">
        <v>0.49</v>
      </c>
      <c r="F16" s="1">
        <v>0.47</v>
      </c>
      <c r="G16" s="1">
        <v>2.9000000000000001E-2</v>
      </c>
      <c r="H16" s="1">
        <v>0.28000000000000003</v>
      </c>
      <c r="I16" s="1">
        <v>0.18</v>
      </c>
      <c r="J16" s="1">
        <v>1.6000000000000001E-3</v>
      </c>
      <c r="K16" s="1">
        <v>1.9E-2</v>
      </c>
      <c r="L16" s="1">
        <v>2.3999999999999998E-3</v>
      </c>
      <c r="M16" s="1">
        <v>3.8E-3</v>
      </c>
      <c r="N16" s="1">
        <v>5.4000000000000003E-3</v>
      </c>
      <c r="O16" s="1">
        <v>1.8E-3</v>
      </c>
      <c r="P16" s="1">
        <v>1.2999999999999999E-4</v>
      </c>
      <c r="Q16" s="1">
        <v>4.4000000000000002E-4</v>
      </c>
      <c r="R16" s="1">
        <v>3.8E-3</v>
      </c>
      <c r="S16" s="1">
        <v>2.4000000000000001E-4</v>
      </c>
      <c r="T16" s="1">
        <v>7.3000000000000001E-3</v>
      </c>
      <c r="U16" s="1">
        <v>4.7999999999999996E-3</v>
      </c>
      <c r="V16" s="1">
        <v>7.1000000000000002E-4</v>
      </c>
      <c r="W16" s="1">
        <v>1.2999999999999999E-3</v>
      </c>
      <c r="X16" s="1">
        <v>6.4000000000000005E-4</v>
      </c>
      <c r="Y16" s="1">
        <v>1.3999999999999999E-4</v>
      </c>
      <c r="Z16" s="1">
        <v>2.7999999999999998E-4</v>
      </c>
      <c r="AA16" s="1">
        <v>4.6000000000000001E-4</v>
      </c>
      <c r="AB16" s="1">
        <v>2.5000000000000001E-4</v>
      </c>
    </row>
  </sheetData>
  <mergeCells count="5">
    <mergeCell ref="D5:H5"/>
    <mergeCell ref="I5:M5"/>
    <mergeCell ref="N5:R5"/>
    <mergeCell ref="S5:W5"/>
    <mergeCell ref="X5:AB5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4360C-0DD7-4FD7-A180-163642CCB91E}">
  <dimension ref="C5:I12"/>
  <sheetViews>
    <sheetView workbookViewId="0">
      <selection activeCell="I23" sqref="I23"/>
    </sheetView>
  </sheetViews>
  <sheetFormatPr defaultRowHeight="14.4"/>
  <sheetData>
    <row r="5" spans="3:9">
      <c r="C5" s="2"/>
      <c r="D5" s="39" t="s">
        <v>235</v>
      </c>
      <c r="E5" s="39"/>
      <c r="F5" s="39"/>
      <c r="G5" s="39" t="s">
        <v>236</v>
      </c>
      <c r="H5" s="39"/>
      <c r="I5" s="39"/>
    </row>
    <row r="6" spans="3:9">
      <c r="C6" s="1">
        <v>8.3333000000000004E-2</v>
      </c>
      <c r="D6" s="1">
        <v>82.6</v>
      </c>
      <c r="E6" s="1">
        <v>88.6</v>
      </c>
      <c r="F6" s="1">
        <v>89.15</v>
      </c>
      <c r="G6" s="1">
        <v>83.2</v>
      </c>
      <c r="H6" s="1">
        <v>89.54</v>
      </c>
      <c r="I6" s="1">
        <v>78.69</v>
      </c>
    </row>
    <row r="7" spans="3:9">
      <c r="C7" s="1">
        <v>0.3333333</v>
      </c>
      <c r="D7" s="1">
        <v>74.16</v>
      </c>
      <c r="E7" s="1">
        <v>71.45</v>
      </c>
      <c r="F7" s="1">
        <v>70.14</v>
      </c>
      <c r="G7" s="1">
        <v>62.4</v>
      </c>
      <c r="H7" s="1">
        <v>72.14</v>
      </c>
      <c r="I7" s="1">
        <v>60.23</v>
      </c>
    </row>
    <row r="8" spans="3:9">
      <c r="C8" s="1">
        <v>1</v>
      </c>
      <c r="D8" s="1">
        <v>60.25</v>
      </c>
      <c r="E8" s="1">
        <v>59.63</v>
      </c>
      <c r="F8" s="1">
        <v>57.42</v>
      </c>
      <c r="G8" s="1">
        <v>50.16</v>
      </c>
      <c r="H8" s="1">
        <v>55.89</v>
      </c>
      <c r="I8" s="1">
        <v>48.71</v>
      </c>
    </row>
    <row r="9" spans="3:9">
      <c r="C9" s="1">
        <v>2.5</v>
      </c>
      <c r="D9" s="1">
        <v>39.56</v>
      </c>
      <c r="E9" s="1">
        <v>34.56</v>
      </c>
      <c r="F9" s="1">
        <v>40.14</v>
      </c>
      <c r="G9" s="1">
        <v>36.299999999999997</v>
      </c>
      <c r="H9" s="1">
        <v>32.35</v>
      </c>
      <c r="I9" s="1">
        <v>38.79</v>
      </c>
    </row>
    <row r="10" spans="3:9">
      <c r="C10" s="1">
        <v>8</v>
      </c>
      <c r="D10" s="1">
        <v>16.57</v>
      </c>
      <c r="E10" s="1">
        <v>10.24</v>
      </c>
      <c r="F10" s="1">
        <v>13.26</v>
      </c>
      <c r="G10" s="1">
        <v>14.25</v>
      </c>
      <c r="H10" s="1">
        <v>22.81</v>
      </c>
      <c r="I10" s="1">
        <v>16.54</v>
      </c>
    </row>
    <row r="11" spans="3:9">
      <c r="C11" s="1">
        <v>12</v>
      </c>
      <c r="D11" s="1">
        <v>8.9600000000000009</v>
      </c>
      <c r="E11" s="1">
        <v>6.54</v>
      </c>
      <c r="F11" s="1">
        <v>7.14</v>
      </c>
      <c r="G11" s="1">
        <v>3.26</v>
      </c>
      <c r="H11" s="1">
        <v>7.26</v>
      </c>
      <c r="I11" s="1">
        <v>4.25</v>
      </c>
    </row>
    <row r="12" spans="3:9">
      <c r="C12" s="1">
        <v>24</v>
      </c>
      <c r="D12" s="1">
        <v>4.1500000000000004</v>
      </c>
      <c r="E12" s="1">
        <v>2.16</v>
      </c>
      <c r="F12" s="1">
        <v>3.26</v>
      </c>
      <c r="G12" s="1">
        <v>1.75</v>
      </c>
      <c r="H12" s="1">
        <v>2.31</v>
      </c>
      <c r="I12" s="1">
        <v>1.01</v>
      </c>
    </row>
  </sheetData>
  <mergeCells count="2">
    <mergeCell ref="D5:F5"/>
    <mergeCell ref="G5:I5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F2C54-7F2B-4563-8EB3-D563C72000FD}">
  <dimension ref="D6:S12"/>
  <sheetViews>
    <sheetView workbookViewId="0">
      <selection activeCell="O23" sqref="O23"/>
    </sheetView>
  </sheetViews>
  <sheetFormatPr defaultRowHeight="14.4"/>
  <sheetData>
    <row r="6" spans="4:19">
      <c r="D6" s="2"/>
      <c r="E6" s="39" t="s">
        <v>235</v>
      </c>
      <c r="F6" s="39"/>
      <c r="G6" s="39"/>
      <c r="H6" s="39" t="s">
        <v>236</v>
      </c>
      <c r="I6" s="39"/>
      <c r="J6" s="39"/>
      <c r="K6" s="39" t="s">
        <v>16</v>
      </c>
      <c r="L6" s="39"/>
      <c r="M6" s="39"/>
      <c r="N6" s="39" t="s">
        <v>19</v>
      </c>
      <c r="O6" s="39"/>
      <c r="P6" s="39"/>
      <c r="Q6" s="39" t="s">
        <v>21</v>
      </c>
      <c r="R6" s="39"/>
      <c r="S6" s="39"/>
    </row>
    <row r="7" spans="4:19">
      <c r="D7" s="3" t="s">
        <v>0</v>
      </c>
      <c r="E7" s="1">
        <v>0.05</v>
      </c>
      <c r="F7" s="1">
        <v>0.03</v>
      </c>
      <c r="G7" s="1">
        <v>0.02</v>
      </c>
      <c r="H7" s="1">
        <v>0.02</v>
      </c>
      <c r="I7" s="1">
        <v>0.08</v>
      </c>
      <c r="J7" s="1">
        <v>7.0000000000000007E-2</v>
      </c>
      <c r="K7" s="1">
        <v>0.04</v>
      </c>
      <c r="L7" s="1">
        <v>0.04</v>
      </c>
      <c r="M7" s="1">
        <v>0.32</v>
      </c>
      <c r="N7" s="1">
        <v>0.02</v>
      </c>
      <c r="O7" s="1">
        <v>0.08</v>
      </c>
      <c r="P7" s="1">
        <v>0.03</v>
      </c>
      <c r="Q7" s="1">
        <v>0.02</v>
      </c>
      <c r="R7" s="1">
        <v>0.05</v>
      </c>
      <c r="S7" s="1">
        <v>0.03</v>
      </c>
    </row>
    <row r="8" spans="4:19">
      <c r="D8" s="3" t="s">
        <v>1</v>
      </c>
      <c r="E8" s="1">
        <v>23.4</v>
      </c>
      <c r="F8" s="1">
        <v>21.8</v>
      </c>
      <c r="G8" s="1">
        <v>22.9</v>
      </c>
      <c r="H8" s="1">
        <v>24.98</v>
      </c>
      <c r="I8" s="1">
        <v>23.41</v>
      </c>
      <c r="J8" s="1">
        <v>20.76</v>
      </c>
      <c r="K8" s="1">
        <v>29.53</v>
      </c>
      <c r="L8" s="1">
        <v>27.66</v>
      </c>
      <c r="M8" s="1">
        <v>30.36</v>
      </c>
      <c r="N8" s="1">
        <v>25.83</v>
      </c>
      <c r="O8" s="1">
        <v>27.82</v>
      </c>
      <c r="P8" s="1">
        <v>28</v>
      </c>
      <c r="Q8" s="1">
        <v>20.12</v>
      </c>
      <c r="R8" s="1">
        <v>21.57</v>
      </c>
      <c r="S8" s="1">
        <v>18.41</v>
      </c>
    </row>
    <row r="9" spans="4:19">
      <c r="D9" s="3" t="s">
        <v>2</v>
      </c>
      <c r="E9" s="1">
        <v>9.86</v>
      </c>
      <c r="F9" s="1">
        <v>8.15</v>
      </c>
      <c r="G9" s="1">
        <v>9.56</v>
      </c>
      <c r="H9" s="1">
        <v>8.24</v>
      </c>
      <c r="I9" s="1">
        <v>10.41</v>
      </c>
      <c r="J9" s="1">
        <v>9.7899999999999991</v>
      </c>
      <c r="K9" s="1">
        <v>13.38</v>
      </c>
      <c r="L9" s="1">
        <v>13.81</v>
      </c>
      <c r="M9" s="1">
        <v>17.850000000000001</v>
      </c>
      <c r="N9" s="1">
        <v>12.3</v>
      </c>
      <c r="O9" s="1">
        <v>11.37</v>
      </c>
      <c r="P9" s="1">
        <v>13.3</v>
      </c>
      <c r="Q9" s="1">
        <v>7.45</v>
      </c>
      <c r="R9" s="1">
        <v>6.58</v>
      </c>
      <c r="S9" s="1">
        <v>8.1199999999999992</v>
      </c>
    </row>
    <row r="10" spans="4:19">
      <c r="D10" s="3" t="s">
        <v>3</v>
      </c>
      <c r="E10" s="1">
        <v>2.56</v>
      </c>
      <c r="F10" s="1">
        <v>1.24</v>
      </c>
      <c r="G10" s="1">
        <v>1.37</v>
      </c>
      <c r="H10" s="1">
        <v>2.16</v>
      </c>
      <c r="I10" s="1">
        <v>1.95</v>
      </c>
      <c r="J10" s="1">
        <v>1.86</v>
      </c>
      <c r="K10" s="1">
        <v>6.79</v>
      </c>
      <c r="L10" s="1">
        <v>6.5</v>
      </c>
      <c r="M10" s="1">
        <v>4.3600000000000003</v>
      </c>
      <c r="N10" s="1">
        <v>12.58</v>
      </c>
      <c r="O10" s="1">
        <v>5.28</v>
      </c>
      <c r="P10" s="1">
        <v>6.21</v>
      </c>
      <c r="Q10" s="1">
        <v>0.86</v>
      </c>
      <c r="R10" s="1">
        <v>1.23</v>
      </c>
      <c r="S10" s="1">
        <v>1.02</v>
      </c>
    </row>
    <row r="11" spans="4:19">
      <c r="D11" s="3" t="s">
        <v>237</v>
      </c>
      <c r="E11" s="1">
        <v>0.42</v>
      </c>
      <c r="F11" s="1">
        <v>0.38</v>
      </c>
      <c r="G11" s="1">
        <v>0.36</v>
      </c>
      <c r="H11" s="1">
        <v>0.35</v>
      </c>
      <c r="I11" s="1">
        <v>0.36</v>
      </c>
      <c r="J11" s="1">
        <v>0.28999999999999998</v>
      </c>
      <c r="K11" s="1">
        <v>1.1200000000000001</v>
      </c>
      <c r="L11" s="1">
        <v>1.17</v>
      </c>
      <c r="M11" s="1">
        <v>1.33</v>
      </c>
      <c r="N11" s="1">
        <v>1.59</v>
      </c>
      <c r="O11" s="1">
        <v>1.42</v>
      </c>
      <c r="P11" s="1">
        <v>1.43</v>
      </c>
      <c r="Q11" s="1">
        <v>0.15</v>
      </c>
      <c r="R11" s="1">
        <v>0.25</v>
      </c>
      <c r="S11" s="1">
        <v>0.19</v>
      </c>
    </row>
    <row r="12" spans="4:19">
      <c r="D12" s="3" t="s">
        <v>5</v>
      </c>
      <c r="E12" s="1">
        <v>2.15</v>
      </c>
      <c r="F12" s="1">
        <v>2.63</v>
      </c>
      <c r="G12" s="1">
        <v>1.99</v>
      </c>
      <c r="H12" s="1">
        <v>2.57</v>
      </c>
      <c r="I12" s="1">
        <v>1.96</v>
      </c>
      <c r="J12" s="1">
        <v>2.27</v>
      </c>
      <c r="K12" s="1">
        <v>1.83</v>
      </c>
      <c r="L12" s="1">
        <v>1.47</v>
      </c>
      <c r="M12" s="1">
        <v>1.77</v>
      </c>
      <c r="N12" s="1">
        <v>4</v>
      </c>
      <c r="O12" s="1">
        <v>3.75</v>
      </c>
      <c r="P12" s="1">
        <v>3.26</v>
      </c>
      <c r="Q12" s="1">
        <v>7.03</v>
      </c>
      <c r="R12" s="1">
        <v>7.01</v>
      </c>
      <c r="S12" s="1">
        <v>6.97</v>
      </c>
    </row>
  </sheetData>
  <mergeCells count="5">
    <mergeCell ref="E6:G6"/>
    <mergeCell ref="H6:J6"/>
    <mergeCell ref="K6:M6"/>
    <mergeCell ref="N6:P6"/>
    <mergeCell ref="Q6:S6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9F1B7-523F-4DA7-9ACC-99E7AD6BB2FA}">
  <dimension ref="D6:AH10"/>
  <sheetViews>
    <sheetView workbookViewId="0">
      <selection activeCell="I24" sqref="H24:I24"/>
    </sheetView>
  </sheetViews>
  <sheetFormatPr defaultRowHeight="14.4"/>
  <sheetData>
    <row r="6" spans="4:34">
      <c r="D6" s="2"/>
      <c r="E6" s="39" t="s">
        <v>6</v>
      </c>
      <c r="F6" s="39"/>
      <c r="G6" s="39"/>
      <c r="H6" s="39"/>
      <c r="I6" s="39"/>
      <c r="J6" s="39" t="s">
        <v>235</v>
      </c>
      <c r="K6" s="39"/>
      <c r="L6" s="39"/>
      <c r="M6" s="39"/>
      <c r="N6" s="39"/>
      <c r="O6" s="39" t="s">
        <v>236</v>
      </c>
      <c r="P6" s="39"/>
      <c r="Q6" s="39"/>
      <c r="R6" s="39"/>
      <c r="S6" s="39"/>
      <c r="T6" s="39" t="s">
        <v>16</v>
      </c>
      <c r="U6" s="39"/>
      <c r="V6" s="39"/>
      <c r="W6" s="39"/>
      <c r="X6" s="39"/>
      <c r="Y6" s="39" t="s">
        <v>19</v>
      </c>
      <c r="Z6" s="39"/>
      <c r="AA6" s="39"/>
      <c r="AB6" s="39"/>
      <c r="AC6" s="39"/>
      <c r="AD6" s="39" t="s">
        <v>21</v>
      </c>
      <c r="AE6" s="39"/>
      <c r="AF6" s="39"/>
      <c r="AG6" s="39"/>
      <c r="AH6" s="39"/>
    </row>
    <row r="7" spans="4:34"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 spans="4:34">
      <c r="D8" s="1">
        <v>10</v>
      </c>
      <c r="E8" s="1">
        <v>1.05</v>
      </c>
      <c r="F8" s="1">
        <v>0.85</v>
      </c>
      <c r="G8" s="1">
        <v>1.26</v>
      </c>
      <c r="H8" s="1">
        <v>1.01</v>
      </c>
      <c r="I8" s="1">
        <v>0.83</v>
      </c>
      <c r="J8" s="1">
        <v>1.17</v>
      </c>
      <c r="K8" s="1">
        <v>1.28</v>
      </c>
      <c r="L8" s="1">
        <v>0.79</v>
      </c>
      <c r="M8" s="1">
        <v>0.85</v>
      </c>
      <c r="N8" s="1">
        <v>0.88</v>
      </c>
      <c r="O8" s="1">
        <v>1.08</v>
      </c>
      <c r="P8" s="1">
        <v>0.87</v>
      </c>
      <c r="Q8" s="1">
        <v>1.21</v>
      </c>
      <c r="R8" s="1">
        <v>1.07</v>
      </c>
      <c r="S8" s="1">
        <v>0.96</v>
      </c>
      <c r="T8" s="1">
        <v>1.1200000000000001</v>
      </c>
      <c r="U8" s="1">
        <v>1.01</v>
      </c>
      <c r="V8" s="1">
        <v>0.89</v>
      </c>
      <c r="W8" s="1">
        <v>0.93</v>
      </c>
      <c r="X8" s="1">
        <v>0.97</v>
      </c>
      <c r="Y8" s="1">
        <v>1.04</v>
      </c>
      <c r="Z8" s="1">
        <v>1.2</v>
      </c>
      <c r="AA8" s="1">
        <v>0.82</v>
      </c>
      <c r="AB8" s="1">
        <v>0.83</v>
      </c>
      <c r="AC8" s="1">
        <v>1.17</v>
      </c>
      <c r="AD8" s="1">
        <v>1.1399999999999999</v>
      </c>
      <c r="AE8" s="1">
        <v>0.96</v>
      </c>
      <c r="AF8" s="1">
        <v>0.88</v>
      </c>
      <c r="AG8" s="1">
        <v>0.99</v>
      </c>
      <c r="AH8" s="1">
        <v>1.07</v>
      </c>
    </row>
    <row r="9" spans="4:34">
      <c r="D9" s="1">
        <v>17</v>
      </c>
      <c r="E9" s="1">
        <v>19.600000000000001</v>
      </c>
      <c r="F9" s="1">
        <v>15.7</v>
      </c>
      <c r="G9" s="1">
        <v>24.4</v>
      </c>
      <c r="H9" s="1">
        <v>19.600000000000001</v>
      </c>
      <c r="I9" s="1">
        <v>22.7</v>
      </c>
      <c r="J9" s="1">
        <v>6.3</v>
      </c>
      <c r="K9" s="1">
        <v>4.7</v>
      </c>
      <c r="L9" s="1">
        <v>2.9</v>
      </c>
      <c r="M9" s="1">
        <v>5.7</v>
      </c>
      <c r="N9" s="1">
        <v>7.9</v>
      </c>
      <c r="O9" s="1">
        <v>5.47</v>
      </c>
      <c r="P9" s="1">
        <v>5.96</v>
      </c>
      <c r="Q9" s="1">
        <v>4.76</v>
      </c>
      <c r="R9" s="1">
        <v>5.84</v>
      </c>
      <c r="S9" s="1">
        <v>6.96</v>
      </c>
      <c r="T9" s="1">
        <v>6.89</v>
      </c>
      <c r="U9" s="1">
        <v>7.86</v>
      </c>
      <c r="V9" s="1">
        <v>5.49</v>
      </c>
      <c r="W9" s="1">
        <v>7.14</v>
      </c>
      <c r="X9" s="1">
        <v>8.26</v>
      </c>
      <c r="Y9" s="1">
        <v>2.4500000000000002</v>
      </c>
      <c r="Z9" s="1">
        <v>3.85</v>
      </c>
      <c r="AA9" s="1">
        <v>2.86</v>
      </c>
      <c r="AB9" s="1">
        <v>2.3199999999999998</v>
      </c>
      <c r="AC9" s="1">
        <v>1.78</v>
      </c>
      <c r="AD9" s="1">
        <v>1.26</v>
      </c>
      <c r="AE9" s="1">
        <v>1.47</v>
      </c>
      <c r="AF9" s="1">
        <v>1.38</v>
      </c>
      <c r="AG9" s="1">
        <v>1.89</v>
      </c>
      <c r="AH9" s="1">
        <v>1.28</v>
      </c>
    </row>
    <row r="10" spans="4:34">
      <c r="D10" s="1">
        <v>24</v>
      </c>
      <c r="E10" s="1">
        <v>38.4</v>
      </c>
      <c r="F10" s="1">
        <v>35.9</v>
      </c>
      <c r="G10" s="1">
        <v>43.3</v>
      </c>
      <c r="H10" s="1">
        <v>40.119999999999997</v>
      </c>
      <c r="I10" s="1">
        <v>34.72</v>
      </c>
      <c r="J10" s="1">
        <v>12.4</v>
      </c>
      <c r="K10" s="1">
        <v>10.5</v>
      </c>
      <c r="L10" s="1">
        <v>14.9</v>
      </c>
      <c r="M10" s="1">
        <v>9.76</v>
      </c>
      <c r="N10" s="1">
        <v>11.59</v>
      </c>
      <c r="O10" s="1">
        <v>11.98</v>
      </c>
      <c r="P10" s="1">
        <v>10.25</v>
      </c>
      <c r="Q10" s="1">
        <v>9.76</v>
      </c>
      <c r="R10" s="1">
        <v>9.74</v>
      </c>
      <c r="S10" s="1">
        <v>13.88</v>
      </c>
      <c r="T10" s="1">
        <v>14.26</v>
      </c>
      <c r="U10" s="1">
        <v>17.89</v>
      </c>
      <c r="V10" s="1">
        <v>10.65</v>
      </c>
      <c r="W10" s="1">
        <v>14.96</v>
      </c>
      <c r="X10" s="1">
        <v>14.27</v>
      </c>
      <c r="Y10" s="1">
        <v>3.83</v>
      </c>
      <c r="Z10" s="1">
        <v>4.71</v>
      </c>
      <c r="AA10" s="1">
        <v>3.98</v>
      </c>
      <c r="AB10" s="1">
        <v>3.94</v>
      </c>
      <c r="AC10" s="1">
        <v>5.66</v>
      </c>
      <c r="AD10" s="1">
        <v>1.67</v>
      </c>
      <c r="AE10" s="1">
        <v>2.0099999999999998</v>
      </c>
      <c r="AF10" s="1">
        <v>2.21</v>
      </c>
      <c r="AG10" s="1">
        <v>2.0699999999999998</v>
      </c>
      <c r="AH10" s="1">
        <v>1.55</v>
      </c>
    </row>
  </sheetData>
  <mergeCells count="6">
    <mergeCell ref="AD6:AH6"/>
    <mergeCell ref="E6:I6"/>
    <mergeCell ref="J6:N6"/>
    <mergeCell ref="O6:S6"/>
    <mergeCell ref="T6:X6"/>
    <mergeCell ref="Y6:AC6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DB7F-B511-4F3F-BE6C-0FB2AAAF9994}">
  <dimension ref="D5:AH16"/>
  <sheetViews>
    <sheetView workbookViewId="0">
      <selection activeCell="N22" sqref="N22"/>
    </sheetView>
  </sheetViews>
  <sheetFormatPr defaultRowHeight="14.4"/>
  <sheetData>
    <row r="5" spans="4:34">
      <c r="D5" s="2"/>
      <c r="E5" s="39" t="s">
        <v>6</v>
      </c>
      <c r="F5" s="39"/>
      <c r="G5" s="39"/>
      <c r="H5" s="39"/>
      <c r="I5" s="39"/>
      <c r="J5" s="39" t="s">
        <v>235</v>
      </c>
      <c r="K5" s="39"/>
      <c r="L5" s="39"/>
      <c r="M5" s="39"/>
      <c r="N5" s="39"/>
      <c r="O5" s="39" t="s">
        <v>236</v>
      </c>
      <c r="P5" s="39"/>
      <c r="Q5" s="39"/>
      <c r="R5" s="39"/>
      <c r="S5" s="39"/>
      <c r="T5" s="39" t="s">
        <v>16</v>
      </c>
      <c r="U5" s="39"/>
      <c r="V5" s="39"/>
      <c r="W5" s="39"/>
      <c r="X5" s="39"/>
      <c r="Y5" s="39" t="s">
        <v>19</v>
      </c>
      <c r="Z5" s="39"/>
      <c r="AA5" s="39"/>
      <c r="AB5" s="39"/>
      <c r="AC5" s="39"/>
      <c r="AD5" s="39" t="s">
        <v>21</v>
      </c>
      <c r="AE5" s="39"/>
      <c r="AF5" s="39"/>
      <c r="AG5" s="39"/>
      <c r="AH5" s="39"/>
    </row>
    <row r="6" spans="4:34">
      <c r="D6" s="3" t="s">
        <v>1</v>
      </c>
      <c r="E6" s="1">
        <v>1.58</v>
      </c>
      <c r="F6" s="1">
        <v>0.52</v>
      </c>
      <c r="G6" s="1">
        <v>0.33</v>
      </c>
      <c r="H6" s="1">
        <v>1.43</v>
      </c>
      <c r="I6" s="1">
        <v>1.1399999999999999</v>
      </c>
      <c r="J6" s="1">
        <v>3.5999999999999997E-2</v>
      </c>
      <c r="K6" s="1">
        <v>0.48</v>
      </c>
      <c r="L6" s="1">
        <v>8.6999999999999994E-2</v>
      </c>
      <c r="M6" s="1">
        <v>1.7000000000000001E-2</v>
      </c>
      <c r="N6" s="1">
        <v>0.39</v>
      </c>
      <c r="O6" s="1">
        <v>4.8000000000000001E-2</v>
      </c>
      <c r="P6" s="1">
        <v>0.16</v>
      </c>
      <c r="Q6" s="1">
        <v>0.23</v>
      </c>
      <c r="R6" s="1">
        <v>9.8000000000000004E-2</v>
      </c>
      <c r="S6" s="1">
        <v>0.19</v>
      </c>
      <c r="T6" s="1">
        <v>0.21</v>
      </c>
      <c r="U6" s="1">
        <v>8.5999999999999993E-2</v>
      </c>
      <c r="V6" s="1">
        <v>7.0999999999999994E-2</v>
      </c>
      <c r="W6" s="1">
        <v>0.68</v>
      </c>
      <c r="X6" s="1">
        <v>9.1999999999999998E-2</v>
      </c>
      <c r="Y6" s="1">
        <v>1.4E-3</v>
      </c>
      <c r="Z6" s="1">
        <v>2.9000000000000001E-2</v>
      </c>
      <c r="AA6" s="1">
        <v>4.7E-2</v>
      </c>
      <c r="AB6" s="1">
        <v>3.5999999999999997E-2</v>
      </c>
      <c r="AC6" s="1">
        <v>8.0999999999999996E-3</v>
      </c>
      <c r="AD6" s="1">
        <v>1.1999999999999999E-3</v>
      </c>
      <c r="AE6" s="1">
        <v>1.6E-2</v>
      </c>
      <c r="AF6" s="1">
        <v>4.7999999999999996E-3</v>
      </c>
      <c r="AG6" s="1">
        <v>6.0999999999999999E-2</v>
      </c>
      <c r="AH6" s="1">
        <v>2.8E-3</v>
      </c>
    </row>
    <row r="7" spans="4:34">
      <c r="D7" s="3" t="s">
        <v>2</v>
      </c>
      <c r="E7" s="1">
        <v>1.03</v>
      </c>
      <c r="F7" s="1">
        <v>0.26</v>
      </c>
      <c r="G7" s="1">
        <v>0.39</v>
      </c>
      <c r="H7" s="1">
        <v>1.46</v>
      </c>
      <c r="I7" s="1">
        <v>0.85</v>
      </c>
      <c r="J7" s="1">
        <v>0.18</v>
      </c>
      <c r="K7" s="1">
        <v>0.32</v>
      </c>
      <c r="L7" s="1">
        <v>6.4000000000000001E-2</v>
      </c>
      <c r="M7" s="1">
        <v>0.38</v>
      </c>
      <c r="N7" s="1">
        <v>0.18</v>
      </c>
      <c r="O7" s="1">
        <v>0.28000000000000003</v>
      </c>
      <c r="P7" s="1">
        <v>0.19</v>
      </c>
      <c r="Q7" s="1">
        <v>0.32</v>
      </c>
      <c r="R7" s="1">
        <v>2.4E-2</v>
      </c>
      <c r="S7" s="1">
        <v>6.5000000000000002E-2</v>
      </c>
      <c r="T7" s="1">
        <v>2.8000000000000001E-2</v>
      </c>
      <c r="U7" s="1">
        <v>0.18</v>
      </c>
      <c r="V7" s="1">
        <v>2.1999999999999999E-2</v>
      </c>
      <c r="W7" s="1">
        <v>0.28999999999999998</v>
      </c>
      <c r="X7" s="1">
        <v>0.37</v>
      </c>
      <c r="Y7" s="1">
        <v>1.6999999999999999E-3</v>
      </c>
      <c r="Z7" s="1">
        <v>1.6E-2</v>
      </c>
      <c r="AA7" s="1">
        <v>4.8000000000000001E-2</v>
      </c>
      <c r="AB7" s="1">
        <v>5.1999999999999998E-3</v>
      </c>
      <c r="AC7" s="1">
        <v>6.3E-2</v>
      </c>
      <c r="AD7" s="1">
        <v>7.1999999999999995E-2</v>
      </c>
      <c r="AE7" s="1">
        <v>1.9E-3</v>
      </c>
      <c r="AF7" s="1">
        <v>1.2E-2</v>
      </c>
      <c r="AG7" s="1">
        <v>8.2000000000000007E-3</v>
      </c>
      <c r="AH7" s="1">
        <v>7.4000000000000003E-3</v>
      </c>
    </row>
    <row r="8" spans="4:34">
      <c r="D8" s="3" t="s">
        <v>3</v>
      </c>
      <c r="E8" s="1">
        <v>2.8000000000000001E-2</v>
      </c>
      <c r="F8" s="1">
        <v>1.9E-2</v>
      </c>
      <c r="G8" s="1">
        <v>8.5999999999999993E-2</v>
      </c>
      <c r="H8" s="1">
        <v>1.7000000000000001E-2</v>
      </c>
      <c r="I8" s="1">
        <v>6.7000000000000002E-3</v>
      </c>
      <c r="J8" s="1">
        <v>2.1999999999999999E-2</v>
      </c>
      <c r="K8" s="1">
        <v>4.1000000000000002E-2</v>
      </c>
      <c r="L8" s="1">
        <v>3.7999999999999999E-2</v>
      </c>
      <c r="M8" s="1">
        <v>1.5E-3</v>
      </c>
      <c r="N8" s="1">
        <v>4.2000000000000003E-2</v>
      </c>
      <c r="O8" s="1">
        <v>2.2000000000000001E-3</v>
      </c>
      <c r="P8" s="1">
        <v>1.4999999999999999E-2</v>
      </c>
      <c r="Q8" s="1">
        <v>7.6999999999999999E-2</v>
      </c>
      <c r="R8" s="1">
        <v>1.7999999999999999E-2</v>
      </c>
      <c r="S8" s="1">
        <v>1.4E-2</v>
      </c>
      <c r="T8" s="1">
        <v>1.6E-2</v>
      </c>
      <c r="U8" s="1">
        <v>7.0999999999999994E-2</v>
      </c>
      <c r="V8" s="1">
        <v>1.7999999999999999E-2</v>
      </c>
      <c r="W8" s="1">
        <v>1.4E-3</v>
      </c>
      <c r="X8" s="1">
        <v>4.2000000000000003E-2</v>
      </c>
      <c r="Y8" s="1">
        <v>5.1999999999999998E-2</v>
      </c>
      <c r="Z8" s="1">
        <v>3.7999999999999999E-2</v>
      </c>
      <c r="AA8" s="1">
        <v>2.1000000000000001E-2</v>
      </c>
      <c r="AB8" s="1">
        <v>2.5999999999999999E-2</v>
      </c>
      <c r="AC8" s="1">
        <v>8.3999999999999995E-3</v>
      </c>
      <c r="AD8" s="1">
        <v>8.5000000000000006E-3</v>
      </c>
      <c r="AE8" s="1">
        <v>1.6E-2</v>
      </c>
      <c r="AF8" s="1">
        <v>9.5999999999999992E-3</v>
      </c>
      <c r="AG8" s="1">
        <v>8.3000000000000001E-3</v>
      </c>
      <c r="AH8" s="1">
        <v>3.0999999999999999E-3</v>
      </c>
    </row>
    <row r="9" spans="4:34">
      <c r="D9" s="3" t="s">
        <v>4</v>
      </c>
      <c r="E9" s="1">
        <v>0.36</v>
      </c>
      <c r="F9" s="1">
        <v>0.47</v>
      </c>
      <c r="G9" s="1">
        <v>1.08</v>
      </c>
      <c r="H9" s="1">
        <v>0.89</v>
      </c>
      <c r="I9" s="1">
        <v>0.73</v>
      </c>
      <c r="J9" s="1">
        <v>0.2</v>
      </c>
      <c r="K9" s="1">
        <v>0.11</v>
      </c>
      <c r="L9" s="1">
        <v>0.12</v>
      </c>
      <c r="M9" s="1">
        <v>0.18</v>
      </c>
      <c r="N9" s="1">
        <v>4.4999999999999998E-2</v>
      </c>
      <c r="O9" s="1">
        <v>0.13</v>
      </c>
      <c r="P9" s="1">
        <v>0.17</v>
      </c>
      <c r="Q9" s="1">
        <v>0.12</v>
      </c>
      <c r="R9" s="1">
        <v>0.16</v>
      </c>
      <c r="S9" s="1">
        <v>0.11</v>
      </c>
      <c r="T9" s="1">
        <v>2.5999999999999999E-2</v>
      </c>
      <c r="U9" s="1">
        <v>0.21</v>
      </c>
      <c r="V9" s="1">
        <v>0.34</v>
      </c>
      <c r="W9" s="1">
        <v>9.1999999999999998E-2</v>
      </c>
      <c r="X9" s="1">
        <v>1.9E-2</v>
      </c>
      <c r="Y9" s="1">
        <v>1.6000000000000001E-3</v>
      </c>
      <c r="Z9" s="1">
        <v>2.7000000000000001E-3</v>
      </c>
      <c r="AA9" s="1">
        <v>3.8999999999999998E-3</v>
      </c>
      <c r="AB9" s="1">
        <v>2.1000000000000001E-2</v>
      </c>
      <c r="AC9" s="1">
        <v>3.1E-2</v>
      </c>
      <c r="AD9" s="1">
        <v>1.2E-2</v>
      </c>
      <c r="AE9" s="1">
        <v>2.5999999999999999E-3</v>
      </c>
      <c r="AF9" s="1">
        <v>4.7999999999999996E-3</v>
      </c>
      <c r="AG9" s="1">
        <v>1.8E-3</v>
      </c>
      <c r="AH9" s="1">
        <v>2.0999999999999999E-3</v>
      </c>
    </row>
    <row r="10" spans="4:34">
      <c r="D10" s="3" t="s">
        <v>5</v>
      </c>
      <c r="E10" s="1">
        <v>6.29</v>
      </c>
      <c r="F10" s="1">
        <v>7.48</v>
      </c>
      <c r="G10" s="1">
        <v>4.95</v>
      </c>
      <c r="H10" s="1">
        <v>5.91</v>
      </c>
      <c r="I10" s="1">
        <v>6.99</v>
      </c>
      <c r="J10" s="1">
        <v>1.47</v>
      </c>
      <c r="K10" s="1">
        <v>1.96</v>
      </c>
      <c r="L10" s="1">
        <v>2.27</v>
      </c>
      <c r="M10" s="1">
        <v>1.34</v>
      </c>
      <c r="N10" s="1">
        <v>1.25</v>
      </c>
      <c r="O10" s="1">
        <v>2.06</v>
      </c>
      <c r="P10" s="1">
        <v>2.29</v>
      </c>
      <c r="Q10" s="1">
        <v>1.78</v>
      </c>
      <c r="R10" s="1">
        <v>1.61</v>
      </c>
      <c r="S10" s="1">
        <v>1.48</v>
      </c>
      <c r="T10" s="1">
        <v>2.36</v>
      </c>
      <c r="U10" s="1">
        <v>2.14</v>
      </c>
      <c r="V10" s="1">
        <v>2.38</v>
      </c>
      <c r="W10" s="1">
        <v>1.89</v>
      </c>
      <c r="X10" s="1">
        <v>3.49</v>
      </c>
      <c r="Y10" s="1">
        <v>0.53</v>
      </c>
      <c r="Z10" s="1">
        <v>0.47</v>
      </c>
      <c r="AA10" s="1">
        <v>0.89</v>
      </c>
      <c r="AB10" s="1">
        <v>0.77</v>
      </c>
      <c r="AC10" s="1">
        <v>0.99</v>
      </c>
      <c r="AD10" s="1">
        <v>0.24</v>
      </c>
      <c r="AE10" s="1">
        <v>0.18</v>
      </c>
      <c r="AF10" s="1">
        <v>0.16</v>
      </c>
      <c r="AG10" s="1">
        <v>0.38</v>
      </c>
      <c r="AH10" s="1">
        <v>0.27</v>
      </c>
    </row>
    <row r="11" spans="4:34">
      <c r="D11" s="3" t="s">
        <v>7</v>
      </c>
      <c r="E11" s="1">
        <v>2.69</v>
      </c>
      <c r="F11" s="1">
        <v>3.95</v>
      </c>
      <c r="G11" s="1">
        <v>4.8499999999999996</v>
      </c>
      <c r="H11" s="1">
        <v>2.4700000000000002</v>
      </c>
      <c r="I11" s="1">
        <v>2.21</v>
      </c>
      <c r="J11" s="1">
        <v>1.08</v>
      </c>
      <c r="K11" s="1">
        <v>0.46</v>
      </c>
      <c r="L11" s="1">
        <v>0.86</v>
      </c>
      <c r="M11" s="1">
        <v>1.03</v>
      </c>
      <c r="N11" s="1">
        <v>1.07</v>
      </c>
      <c r="O11" s="1">
        <v>0.26</v>
      </c>
      <c r="P11" s="1">
        <v>0.59</v>
      </c>
      <c r="Q11" s="1">
        <v>0.83</v>
      </c>
      <c r="R11" s="1">
        <v>1.02</v>
      </c>
      <c r="S11" s="1">
        <v>1.08</v>
      </c>
      <c r="T11" s="1">
        <v>1.46</v>
      </c>
      <c r="U11" s="1">
        <v>0.96</v>
      </c>
      <c r="V11" s="1">
        <v>0.63</v>
      </c>
      <c r="W11" s="1">
        <v>1.18</v>
      </c>
      <c r="X11" s="1">
        <v>0.98</v>
      </c>
      <c r="Y11" s="1">
        <v>2.1000000000000001E-2</v>
      </c>
      <c r="Z11" s="1">
        <v>8.5000000000000006E-2</v>
      </c>
      <c r="AA11" s="1">
        <v>2.7E-2</v>
      </c>
      <c r="AB11" s="1">
        <v>3.5999999999999997E-2</v>
      </c>
      <c r="AC11" s="1">
        <v>2.8E-3</v>
      </c>
      <c r="AD11" s="1">
        <v>2.2000000000000001E-3</v>
      </c>
      <c r="AE11" s="1">
        <v>1.4999999999999999E-2</v>
      </c>
      <c r="AF11" s="1">
        <v>8.8000000000000005E-3</v>
      </c>
      <c r="AG11" s="1">
        <v>7.4000000000000003E-3</v>
      </c>
      <c r="AH11" s="1">
        <v>1.6999999999999999E-3</v>
      </c>
    </row>
    <row r="12" spans="4:34">
      <c r="D12" s="3" t="s">
        <v>8</v>
      </c>
      <c r="E12" s="1">
        <v>1.23</v>
      </c>
      <c r="F12" s="1">
        <v>2.48</v>
      </c>
      <c r="G12" s="1">
        <v>0.75</v>
      </c>
      <c r="H12" s="1">
        <v>0.87</v>
      </c>
      <c r="I12" s="1">
        <v>3.28</v>
      </c>
      <c r="J12" s="1">
        <v>0.31</v>
      </c>
      <c r="K12" s="1">
        <v>0.21</v>
      </c>
      <c r="L12" s="1">
        <v>0.17</v>
      </c>
      <c r="M12" s="1">
        <v>0.38</v>
      </c>
      <c r="N12" s="1">
        <v>0.12</v>
      </c>
      <c r="O12" s="1">
        <v>0.25</v>
      </c>
      <c r="P12" s="1">
        <v>0.23</v>
      </c>
      <c r="Q12" s="1">
        <v>0.17</v>
      </c>
      <c r="R12" s="1">
        <v>0.16</v>
      </c>
      <c r="S12" s="1">
        <v>0.28000000000000003</v>
      </c>
      <c r="T12" s="1">
        <v>0.41</v>
      </c>
      <c r="U12" s="1">
        <v>1.6E-2</v>
      </c>
      <c r="V12" s="1">
        <v>5.1999999999999998E-3</v>
      </c>
      <c r="W12" s="1">
        <v>0.28999999999999998</v>
      </c>
      <c r="X12" s="1">
        <v>2.7E-2</v>
      </c>
      <c r="Y12" s="1">
        <v>2.3E-3</v>
      </c>
      <c r="Z12" s="1">
        <v>8.8999999999999999E-3</v>
      </c>
      <c r="AA12" s="1">
        <v>2.4E-2</v>
      </c>
      <c r="AB12" s="1">
        <v>8.2000000000000003E-2</v>
      </c>
      <c r="AC12" s="1">
        <v>3.7000000000000002E-3</v>
      </c>
      <c r="AD12" s="1">
        <v>2.8E-3</v>
      </c>
      <c r="AE12" s="1">
        <v>2.0999999999999999E-3</v>
      </c>
      <c r="AF12" s="1">
        <v>4.1000000000000003E-3</v>
      </c>
      <c r="AG12" s="1">
        <v>3.5000000000000003E-2</v>
      </c>
      <c r="AH12" s="1">
        <v>8.3999999999999995E-3</v>
      </c>
    </row>
    <row r="13" spans="4:34">
      <c r="D13" s="3" t="s">
        <v>9</v>
      </c>
      <c r="E13" s="1">
        <v>1.84</v>
      </c>
      <c r="F13" s="1">
        <v>0.82</v>
      </c>
      <c r="G13" s="1">
        <v>0.49</v>
      </c>
      <c r="H13" s="1">
        <v>1.24</v>
      </c>
      <c r="I13" s="1">
        <v>0.97</v>
      </c>
      <c r="J13" s="1">
        <v>0.14000000000000001</v>
      </c>
      <c r="K13" s="1">
        <v>1.7999999999999999E-2</v>
      </c>
      <c r="L13" s="1">
        <v>0.09</v>
      </c>
      <c r="M13" s="1">
        <v>4.7E-2</v>
      </c>
      <c r="N13" s="1">
        <v>8.3000000000000004E-2</v>
      </c>
      <c r="O13" s="1">
        <v>0.11</v>
      </c>
      <c r="P13" s="1">
        <v>0.08</v>
      </c>
      <c r="Q13" s="1">
        <v>0.02</v>
      </c>
      <c r="R13" s="1">
        <v>0.04</v>
      </c>
      <c r="S13" s="1">
        <v>3.5999999999999997E-2</v>
      </c>
      <c r="T13" s="1">
        <v>1.6E-2</v>
      </c>
      <c r="U13" s="1">
        <v>2.8000000000000001E-2</v>
      </c>
      <c r="V13" s="1">
        <v>1.5E-3</v>
      </c>
      <c r="W13" s="1">
        <v>3.8999999999999998E-3</v>
      </c>
      <c r="X13" s="1">
        <v>1.7000000000000001E-2</v>
      </c>
      <c r="Y13" s="1">
        <v>5.7999999999999996E-3</v>
      </c>
      <c r="Z13" s="1">
        <v>6.4000000000000003E-3</v>
      </c>
      <c r="AA13" s="1">
        <v>7.1999999999999998E-3</v>
      </c>
      <c r="AB13" s="1">
        <v>4.2999999999999997E-2</v>
      </c>
      <c r="AC13" s="1">
        <v>9.7999999999999997E-3</v>
      </c>
      <c r="AD13" s="1">
        <v>2.5999999999999999E-2</v>
      </c>
      <c r="AE13" s="1">
        <v>2.8999999999999998E-3</v>
      </c>
      <c r="AF13" s="1">
        <v>3.0999999999999999E-3</v>
      </c>
      <c r="AG13" s="1">
        <v>5.3999999999999999E-2</v>
      </c>
      <c r="AH13" s="1">
        <v>6.3E-2</v>
      </c>
    </row>
    <row r="14" spans="4:34">
      <c r="D14" s="3" t="s">
        <v>10</v>
      </c>
      <c r="E14" s="1">
        <v>0.45</v>
      </c>
      <c r="F14" s="1">
        <v>0.38</v>
      </c>
      <c r="G14" s="1">
        <v>0.47</v>
      </c>
      <c r="H14" s="1">
        <v>0.21</v>
      </c>
      <c r="I14" s="1">
        <v>5.1999999999999998E-2</v>
      </c>
      <c r="J14" s="1">
        <v>4.2000000000000003E-2</v>
      </c>
      <c r="K14" s="1">
        <v>7.3000000000000001E-3</v>
      </c>
      <c r="L14" s="1">
        <v>8.8999999999999996E-2</v>
      </c>
      <c r="M14" s="1">
        <v>7.3999999999999996E-2</v>
      </c>
      <c r="N14" s="1">
        <v>4.2000000000000003E-2</v>
      </c>
      <c r="O14" s="1">
        <v>0.1</v>
      </c>
      <c r="P14" s="1">
        <v>5.5E-2</v>
      </c>
      <c r="Q14" s="1">
        <v>1.7999999999999999E-2</v>
      </c>
      <c r="R14" s="1">
        <v>0.14000000000000001</v>
      </c>
      <c r="S14" s="1">
        <v>4.3999999999999997E-2</v>
      </c>
      <c r="T14" s="1">
        <v>7.4999999999999997E-3</v>
      </c>
      <c r="U14" s="1">
        <v>2.4E-2</v>
      </c>
      <c r="V14" s="1">
        <v>4.7000000000000002E-3</v>
      </c>
      <c r="W14" s="1">
        <v>1.5E-3</v>
      </c>
      <c r="X14" s="1">
        <v>1.7000000000000001E-2</v>
      </c>
      <c r="Y14" s="1">
        <v>2.5999999999999999E-3</v>
      </c>
      <c r="Z14" s="1">
        <v>4.4999999999999997E-3</v>
      </c>
      <c r="AA14" s="1">
        <v>1.9E-3</v>
      </c>
      <c r="AB14" s="1">
        <v>2.8000000000000001E-2</v>
      </c>
      <c r="AC14" s="1">
        <v>1.6999999999999999E-3</v>
      </c>
      <c r="AD14" s="1">
        <v>2.8E-3</v>
      </c>
      <c r="AE14" s="1">
        <v>1.9E-3</v>
      </c>
      <c r="AF14" s="1">
        <v>7.1999999999999998E-3</v>
      </c>
      <c r="AG14" s="1">
        <v>1.6000000000000001E-3</v>
      </c>
      <c r="AH14" s="1">
        <v>7.9000000000000008E-3</v>
      </c>
    </row>
    <row r="15" spans="4:34">
      <c r="D15" s="3" t="s">
        <v>11</v>
      </c>
      <c r="E15" s="1">
        <v>2.9000000000000001E-2</v>
      </c>
      <c r="F15" s="1">
        <v>0.38</v>
      </c>
      <c r="G15" s="1">
        <v>0.56999999999999995</v>
      </c>
      <c r="H15" s="1">
        <v>0.94</v>
      </c>
      <c r="I15" s="1">
        <v>7.5999999999999998E-2</v>
      </c>
      <c r="J15" s="1">
        <v>4.1999999999999997E-3</v>
      </c>
      <c r="K15" s="1">
        <v>1.1999999999999999E-3</v>
      </c>
      <c r="L15" s="1">
        <v>8.6E-3</v>
      </c>
      <c r="M15" s="1">
        <v>9.4000000000000004E-3</v>
      </c>
      <c r="N15" s="1">
        <v>1.7000000000000001E-2</v>
      </c>
      <c r="O15" s="1">
        <v>8.4000000000000005E-2</v>
      </c>
      <c r="P15" s="1">
        <v>4.9000000000000002E-2</v>
      </c>
      <c r="Q15" s="1">
        <v>6.7000000000000004E-2</v>
      </c>
      <c r="R15" s="1">
        <v>0.18</v>
      </c>
      <c r="S15" s="1">
        <v>2.4E-2</v>
      </c>
      <c r="T15" s="1">
        <v>2.5000000000000001E-3</v>
      </c>
      <c r="U15" s="1">
        <v>1.8E-3</v>
      </c>
      <c r="V15" s="1">
        <v>1.7000000000000001E-2</v>
      </c>
      <c r="W15" s="1">
        <v>6.5000000000000002E-2</v>
      </c>
      <c r="X15" s="1">
        <v>4.1000000000000002E-2</v>
      </c>
      <c r="Y15" s="1">
        <v>2.5999999999999999E-2</v>
      </c>
      <c r="Z15" s="1">
        <v>2.4E-2</v>
      </c>
      <c r="AA15" s="1">
        <v>8.6999999999999994E-3</v>
      </c>
      <c r="AB15" s="1">
        <v>9.5999999999999992E-3</v>
      </c>
      <c r="AC15" s="1">
        <v>7.9000000000000001E-2</v>
      </c>
      <c r="AD15" s="1">
        <v>8.2000000000000007E-3</v>
      </c>
      <c r="AE15" s="1">
        <v>4.5999999999999999E-2</v>
      </c>
      <c r="AF15" s="1">
        <v>5.1000000000000004E-3</v>
      </c>
      <c r="AG15" s="1">
        <v>6.3E-3</v>
      </c>
      <c r="AH15" s="1">
        <v>7.4999999999999997E-3</v>
      </c>
    </row>
    <row r="16" spans="4:34">
      <c r="D16" s="3" t="s">
        <v>12</v>
      </c>
      <c r="E16" s="1">
        <v>0.98</v>
      </c>
      <c r="F16" s="1">
        <v>1.06</v>
      </c>
      <c r="G16" s="1">
        <v>0.48</v>
      </c>
      <c r="H16" s="1">
        <v>6.4000000000000001E-2</v>
      </c>
      <c r="I16" s="1">
        <v>7.6999999999999999E-2</v>
      </c>
      <c r="J16" s="1">
        <v>0.16</v>
      </c>
      <c r="K16" s="1">
        <v>4.1000000000000002E-2</v>
      </c>
      <c r="L16" s="1">
        <v>2.8000000000000001E-2</v>
      </c>
      <c r="M16" s="1">
        <v>7.1999999999999995E-2</v>
      </c>
      <c r="N16" s="1">
        <v>1.9E-2</v>
      </c>
      <c r="O16" s="1">
        <v>5.1999999999999998E-2</v>
      </c>
      <c r="P16" s="1">
        <v>2.4E-2</v>
      </c>
      <c r="Q16" s="1">
        <v>0.16</v>
      </c>
      <c r="R16" s="1">
        <v>7.5999999999999998E-2</v>
      </c>
      <c r="S16" s="1">
        <v>1.7999999999999999E-2</v>
      </c>
      <c r="T16" s="1">
        <v>1.4E-2</v>
      </c>
      <c r="U16" s="1">
        <v>0.24</v>
      </c>
      <c r="V16" s="1">
        <v>0.16</v>
      </c>
      <c r="W16" s="1">
        <v>2.5000000000000001E-2</v>
      </c>
      <c r="X16" s="1">
        <v>2.8000000000000001E-2</v>
      </c>
      <c r="Y16" s="1">
        <v>8.5000000000000006E-2</v>
      </c>
      <c r="Z16" s="1">
        <v>4.4000000000000003E-3</v>
      </c>
      <c r="AA16" s="1">
        <v>5.8999999999999999E-3</v>
      </c>
      <c r="AB16" s="1">
        <v>1.6E-2</v>
      </c>
      <c r="AC16" s="1">
        <v>1.9E-2</v>
      </c>
      <c r="AD16" s="1">
        <v>2.5999999999999999E-2</v>
      </c>
      <c r="AE16" s="1">
        <v>1.6999999999999999E-3</v>
      </c>
      <c r="AF16" s="1">
        <v>1.9E-2</v>
      </c>
      <c r="AG16" s="1">
        <v>5.1999999999999998E-2</v>
      </c>
      <c r="AH16" s="1">
        <v>9.6000000000000002E-2</v>
      </c>
    </row>
  </sheetData>
  <mergeCells count="6">
    <mergeCell ref="AD5:AH5"/>
    <mergeCell ref="E5:I5"/>
    <mergeCell ref="J5:N5"/>
    <mergeCell ref="O5:S5"/>
    <mergeCell ref="T5:X5"/>
    <mergeCell ref="Y5:AC5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2AE6F-167E-4F7D-B57A-9BE888D72EC7}">
  <dimension ref="C3:R51"/>
  <sheetViews>
    <sheetView workbookViewId="0">
      <selection activeCell="J41" sqref="J41"/>
    </sheetView>
  </sheetViews>
  <sheetFormatPr defaultRowHeight="14.4"/>
  <sheetData>
    <row r="3" spans="3:18">
      <c r="C3" s="7" t="s">
        <v>19</v>
      </c>
    </row>
    <row r="4" spans="3:18">
      <c r="C4" s="2"/>
      <c r="D4" s="39" t="s">
        <v>141</v>
      </c>
      <c r="E4" s="39"/>
      <c r="F4" s="39"/>
      <c r="G4" s="39" t="s">
        <v>142</v>
      </c>
      <c r="H4" s="39"/>
      <c r="I4" s="39"/>
      <c r="J4" s="39" t="s">
        <v>143</v>
      </c>
      <c r="K4" s="39"/>
      <c r="L4" s="39"/>
      <c r="M4" s="39" t="s">
        <v>144</v>
      </c>
      <c r="N4" s="39"/>
      <c r="O4" s="39"/>
      <c r="P4" s="39" t="s">
        <v>145</v>
      </c>
      <c r="Q4" s="39"/>
      <c r="R4" s="39"/>
    </row>
    <row r="5" spans="3:18">
      <c r="C5" s="1">
        <v>1</v>
      </c>
      <c r="D5" s="1">
        <v>21.3</v>
      </c>
      <c r="E5" s="1">
        <v>22.4</v>
      </c>
      <c r="F5" s="1">
        <v>20.8</v>
      </c>
      <c r="G5" s="1">
        <v>20.6</v>
      </c>
      <c r="H5" s="1">
        <v>20.5</v>
      </c>
      <c r="I5" s="1">
        <v>18.5</v>
      </c>
      <c r="J5" s="1">
        <v>18</v>
      </c>
      <c r="K5" s="1">
        <v>17.100000000000001</v>
      </c>
      <c r="L5" s="1">
        <v>18.2</v>
      </c>
      <c r="M5" s="1">
        <v>18.399999999999999</v>
      </c>
      <c r="N5" s="1">
        <v>17.5</v>
      </c>
      <c r="O5" s="1">
        <v>19.7</v>
      </c>
      <c r="P5" s="1">
        <v>18.7</v>
      </c>
      <c r="Q5" s="1">
        <v>18.600000000000001</v>
      </c>
      <c r="R5" s="1">
        <v>18</v>
      </c>
    </row>
    <row r="6" spans="3:18">
      <c r="C6" s="1">
        <v>2</v>
      </c>
      <c r="D6" s="1">
        <v>21.4</v>
      </c>
      <c r="E6" s="1">
        <v>22.3</v>
      </c>
      <c r="F6" s="1">
        <v>20.5</v>
      </c>
      <c r="G6" s="1">
        <v>20.5</v>
      </c>
      <c r="H6" s="1">
        <v>21</v>
      </c>
      <c r="I6" s="1">
        <v>18.399999999999999</v>
      </c>
      <c r="J6" s="1">
        <v>17.5</v>
      </c>
      <c r="K6" s="1">
        <v>16.899999999999999</v>
      </c>
      <c r="L6" s="1">
        <v>18.2</v>
      </c>
      <c r="M6" s="1">
        <v>17.899999999999999</v>
      </c>
      <c r="N6" s="1">
        <v>17.3</v>
      </c>
      <c r="O6" s="1">
        <v>18.2</v>
      </c>
      <c r="P6" s="1">
        <v>18.600000000000001</v>
      </c>
      <c r="Q6" s="1">
        <v>17.5</v>
      </c>
      <c r="R6" s="1">
        <v>17.600000000000001</v>
      </c>
    </row>
    <row r="7" spans="3:18">
      <c r="C7" s="1">
        <v>4</v>
      </c>
      <c r="D7" s="1">
        <v>21.6</v>
      </c>
      <c r="E7" s="1">
        <v>22.2</v>
      </c>
      <c r="F7" s="1">
        <v>20.6</v>
      </c>
      <c r="G7" s="1">
        <v>19.100000000000001</v>
      </c>
      <c r="H7" s="1">
        <v>20.7</v>
      </c>
      <c r="I7" s="1">
        <v>19</v>
      </c>
      <c r="J7" s="1">
        <v>17.399999999999999</v>
      </c>
      <c r="K7" s="1">
        <v>16.100000000000001</v>
      </c>
      <c r="L7" s="1">
        <v>17.600000000000001</v>
      </c>
      <c r="M7" s="1">
        <v>15.2</v>
      </c>
      <c r="N7" s="1">
        <v>16.2</v>
      </c>
      <c r="O7" s="1">
        <v>17.600000000000001</v>
      </c>
      <c r="P7" s="1">
        <v>16.399999999999999</v>
      </c>
      <c r="Q7" s="1">
        <v>14.8</v>
      </c>
      <c r="R7" s="1">
        <v>16.2</v>
      </c>
    </row>
    <row r="8" spans="3:18">
      <c r="C8" s="1">
        <v>6</v>
      </c>
      <c r="D8" s="1">
        <v>21.6</v>
      </c>
      <c r="E8" s="1">
        <v>22.8</v>
      </c>
      <c r="F8" s="1">
        <v>20.9</v>
      </c>
      <c r="G8" s="1">
        <v>19.3</v>
      </c>
      <c r="H8" s="1">
        <v>20.399999999999999</v>
      </c>
      <c r="I8" s="1">
        <v>18.3</v>
      </c>
      <c r="J8" s="1">
        <v>17.899999999999999</v>
      </c>
      <c r="K8" s="1">
        <v>16.3</v>
      </c>
      <c r="L8" s="1">
        <v>17</v>
      </c>
      <c r="M8" s="1"/>
      <c r="N8" s="1"/>
      <c r="O8" s="1"/>
      <c r="P8" s="1"/>
      <c r="Q8" s="1"/>
      <c r="R8" s="1"/>
    </row>
    <row r="9" spans="3:18">
      <c r="C9" s="1">
        <v>8</v>
      </c>
      <c r="D9" s="1">
        <v>21.5</v>
      </c>
      <c r="E9" s="1">
        <v>22.7</v>
      </c>
      <c r="F9" s="1">
        <v>20.8</v>
      </c>
      <c r="G9" s="1">
        <v>19.8</v>
      </c>
      <c r="H9" s="1">
        <v>19.7</v>
      </c>
      <c r="I9" s="1">
        <v>18</v>
      </c>
      <c r="J9" s="1">
        <v>17.8</v>
      </c>
      <c r="K9" s="1">
        <v>16.3</v>
      </c>
      <c r="L9" s="1">
        <v>16.3</v>
      </c>
      <c r="M9" s="1"/>
      <c r="N9" s="1"/>
      <c r="O9" s="1"/>
      <c r="P9" s="1"/>
      <c r="Q9" s="1"/>
      <c r="R9" s="1"/>
    </row>
    <row r="10" spans="3:18">
      <c r="C10" s="1">
        <v>10</v>
      </c>
      <c r="D10" s="1">
        <v>21.3</v>
      </c>
      <c r="E10" s="1">
        <v>22.4</v>
      </c>
      <c r="F10" s="1">
        <v>20.9</v>
      </c>
      <c r="G10" s="1">
        <v>19.2</v>
      </c>
      <c r="H10" s="1">
        <v>19.899999999999999</v>
      </c>
      <c r="I10" s="1">
        <v>17.899999999999999</v>
      </c>
      <c r="J10" s="1">
        <v>17.899999999999999</v>
      </c>
      <c r="K10" s="1">
        <v>16.8</v>
      </c>
      <c r="L10" s="1">
        <v>16.7</v>
      </c>
      <c r="M10" s="1"/>
      <c r="N10" s="1"/>
      <c r="O10" s="1"/>
      <c r="P10" s="1"/>
      <c r="Q10" s="1"/>
      <c r="R10" s="1"/>
    </row>
    <row r="11" spans="3:18">
      <c r="C11" s="1">
        <v>12</v>
      </c>
      <c r="D11" s="1">
        <v>21.4</v>
      </c>
      <c r="E11" s="1">
        <v>22.1</v>
      </c>
      <c r="F11" s="1">
        <v>20.8</v>
      </c>
      <c r="G11" s="1">
        <v>19</v>
      </c>
      <c r="H11" s="1">
        <v>19.8</v>
      </c>
      <c r="I11" s="1">
        <v>18.600000000000001</v>
      </c>
      <c r="J11" s="1">
        <v>17.600000000000001</v>
      </c>
      <c r="K11" s="1">
        <v>16.5</v>
      </c>
      <c r="L11" s="1">
        <v>17.600000000000001</v>
      </c>
      <c r="M11" s="1"/>
      <c r="N11" s="1"/>
      <c r="O11" s="1"/>
      <c r="P11" s="1"/>
      <c r="Q11" s="1"/>
      <c r="R11" s="1"/>
    </row>
    <row r="12" spans="3:18">
      <c r="C12" s="1">
        <v>14</v>
      </c>
      <c r="D12" s="1">
        <v>21.5</v>
      </c>
      <c r="E12" s="1">
        <v>22.5</v>
      </c>
      <c r="F12" s="1">
        <v>20.7</v>
      </c>
      <c r="G12" s="1">
        <v>19.2</v>
      </c>
      <c r="H12" s="1">
        <v>20.5</v>
      </c>
      <c r="I12" s="1">
        <v>19.399999999999999</v>
      </c>
      <c r="J12" s="1">
        <v>18.2</v>
      </c>
      <c r="K12" s="1">
        <v>17.100000000000001</v>
      </c>
      <c r="L12" s="1">
        <v>18.2</v>
      </c>
      <c r="M12" s="1"/>
      <c r="N12" s="1"/>
      <c r="O12" s="1"/>
      <c r="P12" s="1"/>
      <c r="Q12" s="1"/>
      <c r="R12" s="1"/>
    </row>
    <row r="16" spans="3:18">
      <c r="C16" s="7" t="s">
        <v>21</v>
      </c>
    </row>
    <row r="17" spans="3:15">
      <c r="C17" s="2"/>
      <c r="D17" s="39" t="s">
        <v>142</v>
      </c>
      <c r="E17" s="39"/>
      <c r="F17" s="39"/>
      <c r="G17" s="39" t="s">
        <v>143</v>
      </c>
      <c r="H17" s="39"/>
      <c r="I17" s="39"/>
      <c r="J17" s="39" t="s">
        <v>144</v>
      </c>
      <c r="K17" s="39"/>
      <c r="L17" s="39"/>
      <c r="M17" s="39" t="s">
        <v>145</v>
      </c>
      <c r="N17" s="39"/>
      <c r="O17" s="39"/>
    </row>
    <row r="18" spans="3:15">
      <c r="C18" s="1">
        <v>1</v>
      </c>
      <c r="D18" s="1">
        <v>22</v>
      </c>
      <c r="E18" s="1">
        <v>21.2</v>
      </c>
      <c r="F18" s="1">
        <v>19.5</v>
      </c>
      <c r="G18" s="1">
        <v>19.5</v>
      </c>
      <c r="H18" s="1">
        <v>20.7</v>
      </c>
      <c r="I18" s="1">
        <v>18.899999999999999</v>
      </c>
      <c r="J18" s="1">
        <v>15.4</v>
      </c>
      <c r="K18" s="1">
        <v>14.5</v>
      </c>
      <c r="L18" s="1">
        <v>19.7</v>
      </c>
      <c r="M18" s="1">
        <v>17.7</v>
      </c>
      <c r="N18" s="1">
        <v>16.600000000000001</v>
      </c>
      <c r="O18" s="1">
        <v>16</v>
      </c>
    </row>
    <row r="19" spans="3:15">
      <c r="C19" s="1">
        <v>2</v>
      </c>
      <c r="D19" s="1">
        <v>21.6</v>
      </c>
      <c r="E19" s="1">
        <v>21</v>
      </c>
      <c r="F19" s="1">
        <v>19.100000000000001</v>
      </c>
      <c r="G19" s="1">
        <v>19.100000000000001</v>
      </c>
      <c r="H19" s="1">
        <v>20.3</v>
      </c>
      <c r="I19" s="1">
        <v>18.399999999999999</v>
      </c>
      <c r="J19" s="1">
        <v>14.8</v>
      </c>
      <c r="K19" s="1">
        <v>14.2</v>
      </c>
      <c r="L19" s="1">
        <v>18.7</v>
      </c>
      <c r="M19" s="1">
        <v>17.600000000000001</v>
      </c>
      <c r="N19" s="1">
        <v>15.5</v>
      </c>
      <c r="O19" s="1">
        <v>15.6</v>
      </c>
    </row>
    <row r="20" spans="3:15">
      <c r="C20" s="1">
        <v>4</v>
      </c>
      <c r="D20" s="1">
        <v>21.8</v>
      </c>
      <c r="E20" s="1">
        <v>21.2</v>
      </c>
      <c r="F20" s="1">
        <v>19.600000000000001</v>
      </c>
      <c r="G20" s="1">
        <v>19</v>
      </c>
      <c r="H20" s="1">
        <v>20.100000000000001</v>
      </c>
      <c r="I20" s="1">
        <v>18.2</v>
      </c>
      <c r="J20" s="1"/>
      <c r="K20" s="1"/>
      <c r="L20" s="1"/>
      <c r="M20" s="1"/>
      <c r="N20" s="1"/>
      <c r="O20" s="1"/>
    </row>
    <row r="21" spans="3:15">
      <c r="C21" s="1">
        <v>6</v>
      </c>
      <c r="D21" s="1">
        <v>21.7</v>
      </c>
      <c r="E21" s="1">
        <v>21</v>
      </c>
      <c r="F21" s="1">
        <v>19.399999999999999</v>
      </c>
      <c r="G21" s="1">
        <v>19.2</v>
      </c>
      <c r="H21" s="1">
        <v>20.5</v>
      </c>
      <c r="I21" s="1">
        <v>18.600000000000001</v>
      </c>
      <c r="J21" s="1"/>
      <c r="K21" s="1"/>
      <c r="L21" s="1"/>
      <c r="M21" s="1"/>
      <c r="N21" s="1"/>
      <c r="O21" s="1"/>
    </row>
    <row r="22" spans="3:15">
      <c r="C22" s="1">
        <v>8</v>
      </c>
      <c r="D22" s="1">
        <v>21.8</v>
      </c>
      <c r="E22" s="1">
        <v>21.3</v>
      </c>
      <c r="F22" s="1">
        <v>19.7</v>
      </c>
      <c r="G22" s="1">
        <v>19.399999999999999</v>
      </c>
      <c r="H22" s="1">
        <v>20.399999999999999</v>
      </c>
      <c r="I22" s="1">
        <v>18.899999999999999</v>
      </c>
      <c r="J22" s="1"/>
      <c r="K22" s="1"/>
      <c r="L22" s="1"/>
      <c r="M22" s="1"/>
      <c r="N22" s="1"/>
      <c r="O22" s="1"/>
    </row>
    <row r="23" spans="3:15">
      <c r="C23" s="1">
        <v>10</v>
      </c>
      <c r="D23" s="1">
        <v>21.6</v>
      </c>
      <c r="E23" s="1">
        <v>21</v>
      </c>
      <c r="F23" s="1">
        <v>19.2</v>
      </c>
      <c r="G23" s="1">
        <v>19</v>
      </c>
      <c r="H23" s="1">
        <v>20</v>
      </c>
      <c r="I23" s="1">
        <v>18.399999999999999</v>
      </c>
      <c r="J23" s="1"/>
      <c r="K23" s="1"/>
      <c r="L23" s="1"/>
      <c r="M23" s="1"/>
      <c r="N23" s="1"/>
      <c r="O23" s="1"/>
    </row>
    <row r="24" spans="3:15">
      <c r="C24" s="1">
        <v>12</v>
      </c>
      <c r="D24" s="1">
        <v>21.3</v>
      </c>
      <c r="E24" s="1">
        <v>21.1</v>
      </c>
      <c r="F24" s="1">
        <v>19</v>
      </c>
      <c r="G24" s="1">
        <v>19.100000000000001</v>
      </c>
      <c r="H24" s="1">
        <v>20.100000000000001</v>
      </c>
      <c r="I24" s="1">
        <v>18</v>
      </c>
      <c r="J24" s="1"/>
      <c r="K24" s="1"/>
      <c r="L24" s="1"/>
      <c r="M24" s="1"/>
      <c r="N24" s="1"/>
      <c r="O24" s="1"/>
    </row>
    <row r="25" spans="3:15">
      <c r="C25" s="1">
        <v>14</v>
      </c>
      <c r="D25" s="1">
        <v>21.6</v>
      </c>
      <c r="E25" s="1">
        <v>21.2</v>
      </c>
      <c r="F25" s="1">
        <v>19.600000000000001</v>
      </c>
      <c r="G25" s="1">
        <v>19.2</v>
      </c>
      <c r="H25" s="1">
        <v>20.2</v>
      </c>
      <c r="I25" s="1">
        <v>18.7</v>
      </c>
      <c r="J25" s="1"/>
      <c r="K25" s="1"/>
      <c r="L25" s="1"/>
      <c r="M25" s="1"/>
      <c r="N25" s="1"/>
      <c r="O25" s="1"/>
    </row>
    <row r="29" spans="3:15">
      <c r="C29" s="7" t="s">
        <v>28</v>
      </c>
    </row>
    <row r="30" spans="3:15">
      <c r="C30" s="2"/>
      <c r="D30" s="39" t="s">
        <v>146</v>
      </c>
      <c r="E30" s="39"/>
      <c r="F30" s="39"/>
      <c r="G30" s="39" t="s">
        <v>147</v>
      </c>
      <c r="H30" s="39"/>
      <c r="I30" s="39"/>
      <c r="J30" s="39" t="s">
        <v>148</v>
      </c>
      <c r="K30" s="39"/>
      <c r="L30" s="39"/>
      <c r="M30" s="39" t="s">
        <v>149</v>
      </c>
      <c r="N30" s="39"/>
      <c r="O30" s="39"/>
    </row>
    <row r="31" spans="3:15">
      <c r="C31" s="1">
        <v>1</v>
      </c>
      <c r="D31" s="1">
        <v>19.7</v>
      </c>
      <c r="E31" s="1">
        <v>19.600000000000001</v>
      </c>
      <c r="F31" s="1">
        <v>18.600000000000001</v>
      </c>
      <c r="G31" s="1">
        <v>19.8</v>
      </c>
      <c r="H31" s="1">
        <v>18.3</v>
      </c>
      <c r="I31" s="1">
        <v>18.100000000000001</v>
      </c>
      <c r="J31" s="1">
        <v>20.6</v>
      </c>
      <c r="K31" s="1">
        <v>18.100000000000001</v>
      </c>
      <c r="L31" s="1">
        <v>20.100000000000001</v>
      </c>
      <c r="M31" s="1">
        <v>17.8</v>
      </c>
      <c r="N31" s="1">
        <v>17.899999999999999</v>
      </c>
      <c r="O31" s="1">
        <v>18.899999999999999</v>
      </c>
    </row>
    <row r="32" spans="3:15">
      <c r="C32" s="1">
        <v>2</v>
      </c>
      <c r="D32" s="1">
        <v>18.5</v>
      </c>
      <c r="E32" s="1">
        <v>18.8</v>
      </c>
      <c r="F32" s="1">
        <v>17.100000000000001</v>
      </c>
      <c r="G32" s="1">
        <v>19.3</v>
      </c>
      <c r="H32" s="1">
        <v>18.5</v>
      </c>
      <c r="I32" s="1">
        <v>18.100000000000001</v>
      </c>
      <c r="J32" s="1">
        <v>17.600000000000001</v>
      </c>
      <c r="K32" s="1">
        <v>15.5</v>
      </c>
      <c r="L32" s="1">
        <v>17.399999999999999</v>
      </c>
      <c r="M32" s="1">
        <v>14.8</v>
      </c>
      <c r="N32" s="1">
        <v>15.2</v>
      </c>
      <c r="O32" s="1">
        <v>16.7</v>
      </c>
    </row>
    <row r="33" spans="3:15">
      <c r="C33" s="1">
        <v>4</v>
      </c>
      <c r="D33" s="1">
        <v>18.100000000000001</v>
      </c>
      <c r="E33" s="1">
        <v>19.100000000000001</v>
      </c>
      <c r="F33" s="1">
        <v>16.399999999999999</v>
      </c>
      <c r="G33" s="1">
        <v>19.399999999999999</v>
      </c>
      <c r="H33" s="1">
        <v>19</v>
      </c>
      <c r="I33" s="1">
        <v>19.399999999999999</v>
      </c>
      <c r="J33" s="1">
        <v>17.100000000000001</v>
      </c>
      <c r="K33" s="1">
        <v>15.3</v>
      </c>
      <c r="L33" s="1">
        <v>17.2</v>
      </c>
      <c r="M33" s="1">
        <v>13.1</v>
      </c>
      <c r="N33" s="1">
        <v>14.5</v>
      </c>
      <c r="O33" s="1">
        <v>14</v>
      </c>
    </row>
    <row r="34" spans="3:15">
      <c r="C34" s="1">
        <v>6</v>
      </c>
      <c r="D34" s="1">
        <v>19.8</v>
      </c>
      <c r="E34" s="1">
        <v>20.100000000000001</v>
      </c>
      <c r="F34" s="1">
        <v>17.899999999999999</v>
      </c>
      <c r="G34" s="1">
        <v>19.399999999999999</v>
      </c>
      <c r="H34" s="1">
        <v>19.100000000000001</v>
      </c>
      <c r="I34" s="1">
        <v>19</v>
      </c>
      <c r="J34" s="1">
        <v>16.3</v>
      </c>
      <c r="K34" s="1">
        <v>15.1</v>
      </c>
      <c r="L34" s="1">
        <v>16.7</v>
      </c>
      <c r="M34" s="1">
        <v>11.6</v>
      </c>
      <c r="N34" s="1">
        <v>13.9</v>
      </c>
      <c r="O34" s="1">
        <v>13.9</v>
      </c>
    </row>
    <row r="35" spans="3:15">
      <c r="C35" s="1">
        <v>8</v>
      </c>
      <c r="D35" s="1">
        <v>19</v>
      </c>
      <c r="E35" s="1">
        <v>18.5</v>
      </c>
      <c r="F35" s="1">
        <v>17.3</v>
      </c>
      <c r="G35" s="1">
        <v>18.899999999999999</v>
      </c>
      <c r="H35" s="1">
        <v>18.8</v>
      </c>
      <c r="I35" s="1">
        <v>18.399999999999999</v>
      </c>
      <c r="J35" s="1"/>
      <c r="K35" s="1"/>
      <c r="L35" s="1"/>
      <c r="M35" s="1"/>
      <c r="N35" s="1"/>
      <c r="O35" s="1"/>
    </row>
    <row r="36" spans="3:15">
      <c r="C36" s="1">
        <v>10</v>
      </c>
      <c r="D36" s="1">
        <v>19.3</v>
      </c>
      <c r="E36" s="1">
        <v>18.100000000000001</v>
      </c>
      <c r="F36" s="1">
        <v>17.5</v>
      </c>
      <c r="G36" s="1">
        <v>19.5</v>
      </c>
      <c r="H36" s="1">
        <v>19</v>
      </c>
      <c r="I36" s="1">
        <v>19.5</v>
      </c>
      <c r="J36" s="1"/>
      <c r="K36" s="1"/>
      <c r="L36" s="1"/>
      <c r="M36" s="1"/>
      <c r="N36" s="1"/>
      <c r="O36" s="1"/>
    </row>
    <row r="37" spans="3:15">
      <c r="C37" s="1">
        <v>12</v>
      </c>
      <c r="D37" s="1">
        <v>17.5</v>
      </c>
      <c r="E37" s="1">
        <v>18.3</v>
      </c>
      <c r="F37" s="1">
        <v>17</v>
      </c>
      <c r="G37" s="1">
        <v>19.2</v>
      </c>
      <c r="H37" s="1">
        <v>18.899999999999999</v>
      </c>
      <c r="I37" s="1">
        <v>19.2</v>
      </c>
      <c r="J37" s="1"/>
      <c r="K37" s="1"/>
      <c r="L37" s="1"/>
      <c r="M37" s="1"/>
      <c r="N37" s="1"/>
      <c r="O37" s="1"/>
    </row>
    <row r="38" spans="3:15">
      <c r="C38" s="1">
        <v>14</v>
      </c>
      <c r="D38" s="1">
        <v>17.8</v>
      </c>
      <c r="E38" s="1">
        <v>18.399999999999999</v>
      </c>
      <c r="F38" s="1">
        <v>17.8</v>
      </c>
      <c r="G38" s="1">
        <v>19.100000000000001</v>
      </c>
      <c r="H38" s="1">
        <v>19.100000000000001</v>
      </c>
      <c r="I38" s="1">
        <v>19.399999999999999</v>
      </c>
      <c r="J38" s="1"/>
      <c r="K38" s="1"/>
      <c r="L38" s="1"/>
      <c r="M38" s="1"/>
      <c r="N38" s="1"/>
      <c r="O38" s="1"/>
    </row>
    <row r="42" spans="3:15">
      <c r="C42" s="7" t="s">
        <v>153</v>
      </c>
    </row>
    <row r="43" spans="3:15">
      <c r="C43" s="2"/>
      <c r="D43" s="39" t="s">
        <v>150</v>
      </c>
      <c r="E43" s="39"/>
      <c r="F43" s="39"/>
      <c r="G43" s="39" t="s">
        <v>151</v>
      </c>
      <c r="H43" s="39"/>
      <c r="I43" s="39"/>
      <c r="J43" s="39" t="s">
        <v>152</v>
      </c>
      <c r="K43" s="39"/>
      <c r="L43" s="39"/>
    </row>
    <row r="44" spans="3:15">
      <c r="C44" s="1">
        <v>1</v>
      </c>
      <c r="D44" s="1">
        <v>20.7</v>
      </c>
      <c r="E44" s="1">
        <v>22.6</v>
      </c>
      <c r="F44" s="1">
        <v>19.5</v>
      </c>
      <c r="G44" s="1">
        <v>21.5</v>
      </c>
      <c r="H44" s="1">
        <v>20.100000000000001</v>
      </c>
      <c r="I44" s="1">
        <v>19.8</v>
      </c>
      <c r="J44" s="1">
        <v>21.3</v>
      </c>
      <c r="K44" s="1">
        <v>19.600000000000001</v>
      </c>
      <c r="L44" s="1">
        <v>21.4</v>
      </c>
    </row>
    <row r="45" spans="3:15">
      <c r="C45" s="1">
        <v>2</v>
      </c>
      <c r="D45" s="1">
        <v>20.6</v>
      </c>
      <c r="E45" s="1">
        <v>22.3</v>
      </c>
      <c r="F45" s="1">
        <v>19.600000000000001</v>
      </c>
      <c r="G45" s="1">
        <v>21.6</v>
      </c>
      <c r="H45" s="1">
        <v>20.399999999999999</v>
      </c>
      <c r="I45" s="1">
        <v>19.899999999999999</v>
      </c>
      <c r="J45" s="1">
        <v>20.100000000000001</v>
      </c>
      <c r="K45" s="1">
        <v>18.2</v>
      </c>
      <c r="L45" s="1">
        <v>20.100000000000001</v>
      </c>
    </row>
    <row r="46" spans="3:15">
      <c r="C46" s="1">
        <v>4</v>
      </c>
      <c r="D46" s="1">
        <v>20.8</v>
      </c>
      <c r="E46" s="1">
        <v>22.4</v>
      </c>
      <c r="F46" s="1">
        <v>19.8</v>
      </c>
      <c r="G46" s="1">
        <v>21.7</v>
      </c>
      <c r="H46" s="1">
        <v>20.3</v>
      </c>
      <c r="I46" s="1">
        <v>19.399999999999999</v>
      </c>
      <c r="J46" s="1">
        <v>19.5</v>
      </c>
      <c r="K46" s="1">
        <v>17.2</v>
      </c>
      <c r="L46" s="1">
        <v>19.399999999999999</v>
      </c>
    </row>
    <row r="47" spans="3:15">
      <c r="C47" s="1">
        <v>6</v>
      </c>
      <c r="D47" s="1">
        <v>20.6</v>
      </c>
      <c r="E47" s="1">
        <v>22.3</v>
      </c>
      <c r="F47" s="1">
        <v>19.3</v>
      </c>
      <c r="G47" s="1">
        <v>21.6</v>
      </c>
      <c r="H47" s="1">
        <v>20.399999999999999</v>
      </c>
      <c r="I47" s="1">
        <v>19.2</v>
      </c>
      <c r="J47" s="1"/>
      <c r="K47" s="1"/>
      <c r="L47" s="1"/>
    </row>
    <row r="48" spans="3:15">
      <c r="C48" s="1">
        <v>8</v>
      </c>
      <c r="D48" s="1">
        <v>20.399999999999999</v>
      </c>
      <c r="E48" s="1">
        <v>22.1</v>
      </c>
      <c r="F48" s="1">
        <v>19.100000000000001</v>
      </c>
      <c r="G48" s="1">
        <v>21.8</v>
      </c>
      <c r="H48" s="1">
        <v>20.100000000000001</v>
      </c>
      <c r="I48" s="1">
        <v>19.5</v>
      </c>
      <c r="J48" s="1"/>
      <c r="K48" s="1"/>
      <c r="L48" s="1"/>
    </row>
    <row r="49" spans="3:12">
      <c r="C49" s="1">
        <v>10</v>
      </c>
      <c r="D49" s="1">
        <v>20.100000000000001</v>
      </c>
      <c r="E49" s="1">
        <v>22.5</v>
      </c>
      <c r="F49" s="1">
        <v>19.8</v>
      </c>
      <c r="G49" s="1">
        <v>21.6</v>
      </c>
      <c r="H49" s="1">
        <v>20.3</v>
      </c>
      <c r="I49" s="1">
        <v>19.2</v>
      </c>
      <c r="J49" s="1"/>
      <c r="K49" s="1"/>
      <c r="L49" s="1"/>
    </row>
    <row r="50" spans="3:12">
      <c r="C50" s="1">
        <v>12</v>
      </c>
      <c r="D50" s="1">
        <v>20.6</v>
      </c>
      <c r="E50" s="1">
        <v>22.3</v>
      </c>
      <c r="F50" s="1">
        <v>19.399999999999999</v>
      </c>
      <c r="G50" s="1">
        <v>21.4</v>
      </c>
      <c r="H50" s="1">
        <v>20.2</v>
      </c>
      <c r="I50" s="1">
        <v>19.100000000000001</v>
      </c>
      <c r="J50" s="1"/>
      <c r="K50" s="1"/>
      <c r="L50" s="1"/>
    </row>
    <row r="51" spans="3:12">
      <c r="C51" s="1">
        <v>14</v>
      </c>
      <c r="D51" s="1">
        <v>20.5</v>
      </c>
      <c r="E51" s="1">
        <v>22.4</v>
      </c>
      <c r="F51" s="1">
        <v>19.8</v>
      </c>
      <c r="G51" s="1">
        <v>21.5</v>
      </c>
      <c r="H51" s="1">
        <v>20.5</v>
      </c>
      <c r="I51" s="1">
        <v>19.5</v>
      </c>
      <c r="J51" s="1"/>
      <c r="K51" s="1"/>
      <c r="L51" s="1"/>
    </row>
  </sheetData>
  <mergeCells count="16">
    <mergeCell ref="D43:F43"/>
    <mergeCell ref="G43:I43"/>
    <mergeCell ref="J43:L43"/>
    <mergeCell ref="P4:R4"/>
    <mergeCell ref="D30:F30"/>
    <mergeCell ref="G30:I30"/>
    <mergeCell ref="J30:L30"/>
    <mergeCell ref="M30:O30"/>
    <mergeCell ref="D17:F17"/>
    <mergeCell ref="G17:I17"/>
    <mergeCell ref="J17:L17"/>
    <mergeCell ref="M17:O17"/>
    <mergeCell ref="D4:F4"/>
    <mergeCell ref="G4:I4"/>
    <mergeCell ref="J4:L4"/>
    <mergeCell ref="M4:O4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E142E-5E8F-4DDE-8F77-B65785175D29}">
  <dimension ref="C5:Q6"/>
  <sheetViews>
    <sheetView workbookViewId="0">
      <selection activeCell="N25" sqref="N25"/>
    </sheetView>
  </sheetViews>
  <sheetFormatPr defaultRowHeight="14.4"/>
  <sheetData>
    <row r="5" spans="3:17">
      <c r="C5" s="39" t="s">
        <v>141</v>
      </c>
      <c r="D5" s="39"/>
      <c r="E5" s="39"/>
      <c r="F5" s="39" t="s">
        <v>19</v>
      </c>
      <c r="G5" s="39"/>
      <c r="H5" s="39"/>
      <c r="I5" s="39" t="s">
        <v>21</v>
      </c>
      <c r="J5" s="39"/>
      <c r="K5" s="39"/>
      <c r="L5" s="39" t="s">
        <v>28</v>
      </c>
      <c r="M5" s="39"/>
      <c r="N5" s="39"/>
      <c r="O5" s="39" t="s">
        <v>153</v>
      </c>
      <c r="P5" s="39"/>
      <c r="Q5" s="39"/>
    </row>
    <row r="6" spans="3:17">
      <c r="C6" s="1">
        <v>1</v>
      </c>
      <c r="D6" s="1">
        <v>1</v>
      </c>
      <c r="E6" s="1">
        <v>0</v>
      </c>
      <c r="F6" s="1">
        <v>1</v>
      </c>
      <c r="G6" s="1">
        <v>1</v>
      </c>
      <c r="H6" s="1">
        <v>2</v>
      </c>
      <c r="I6" s="1">
        <v>1</v>
      </c>
      <c r="J6" s="1">
        <v>0</v>
      </c>
      <c r="K6" s="1">
        <v>2</v>
      </c>
      <c r="L6" s="1">
        <v>1</v>
      </c>
      <c r="M6" s="1">
        <v>2</v>
      </c>
      <c r="N6" s="1">
        <v>2</v>
      </c>
      <c r="O6" s="1">
        <v>3</v>
      </c>
      <c r="P6" s="1">
        <v>4</v>
      </c>
      <c r="Q6" s="1">
        <v>4</v>
      </c>
    </row>
  </sheetData>
  <mergeCells count="5">
    <mergeCell ref="C5:E5"/>
    <mergeCell ref="F5:H5"/>
    <mergeCell ref="I5:K5"/>
    <mergeCell ref="L5:N5"/>
    <mergeCell ref="O5:Q5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B78F3-9840-49C7-989D-6409AF3CD58B}">
  <dimension ref="C5:Q6"/>
  <sheetViews>
    <sheetView workbookViewId="0">
      <selection activeCell="J41" sqref="J41"/>
    </sheetView>
  </sheetViews>
  <sheetFormatPr defaultRowHeight="14.4"/>
  <sheetData>
    <row r="5" spans="3:17">
      <c r="C5" s="39" t="s">
        <v>141</v>
      </c>
      <c r="D5" s="39"/>
      <c r="E5" s="39"/>
      <c r="F5" s="39" t="s">
        <v>19</v>
      </c>
      <c r="G5" s="39"/>
      <c r="H5" s="39"/>
      <c r="I5" s="39" t="s">
        <v>21</v>
      </c>
      <c r="J5" s="39"/>
      <c r="K5" s="39"/>
      <c r="L5" s="39" t="s">
        <v>28</v>
      </c>
      <c r="M5" s="39"/>
      <c r="N5" s="39"/>
      <c r="O5" s="39" t="s">
        <v>153</v>
      </c>
      <c r="P5" s="39"/>
      <c r="Q5" s="39"/>
    </row>
    <row r="6" spans="3:17">
      <c r="C6" s="1">
        <v>1</v>
      </c>
      <c r="D6" s="1">
        <v>2</v>
      </c>
      <c r="E6" s="1">
        <v>2</v>
      </c>
      <c r="F6" s="1">
        <v>2</v>
      </c>
      <c r="G6" s="1">
        <v>1</v>
      </c>
      <c r="H6" s="1">
        <v>3</v>
      </c>
      <c r="I6" s="1">
        <v>1</v>
      </c>
      <c r="J6" s="1">
        <v>3</v>
      </c>
      <c r="K6" s="1">
        <v>1</v>
      </c>
      <c r="L6" s="1">
        <v>3</v>
      </c>
      <c r="M6" s="1">
        <v>2</v>
      </c>
      <c r="N6" s="1">
        <v>2</v>
      </c>
      <c r="O6" s="1">
        <v>4</v>
      </c>
      <c r="P6" s="1">
        <v>5</v>
      </c>
      <c r="Q6" s="1">
        <v>4</v>
      </c>
    </row>
  </sheetData>
  <mergeCells count="5">
    <mergeCell ref="C5:E5"/>
    <mergeCell ref="F5:H5"/>
    <mergeCell ref="I5:K5"/>
    <mergeCell ref="L5:N5"/>
    <mergeCell ref="O5:Q5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DF95E-4A0A-40CF-A14B-AFCDDC119A1B}">
  <dimension ref="C6:R11"/>
  <sheetViews>
    <sheetView workbookViewId="0">
      <selection activeCell="J41" sqref="J41"/>
    </sheetView>
  </sheetViews>
  <sheetFormatPr defaultRowHeight="14.4"/>
  <cols>
    <col min="3" max="3" width="21.3671875" customWidth="1"/>
  </cols>
  <sheetData>
    <row r="6" spans="3:18">
      <c r="C6" s="7" t="s">
        <v>168</v>
      </c>
      <c r="D6" s="39" t="s">
        <v>6</v>
      </c>
      <c r="E6" s="39"/>
      <c r="F6" s="39"/>
      <c r="G6" s="39" t="s">
        <v>19</v>
      </c>
      <c r="H6" s="39"/>
      <c r="I6" s="39"/>
      <c r="J6" s="39" t="s">
        <v>154</v>
      </c>
      <c r="K6" s="39"/>
      <c r="L6" s="39"/>
      <c r="M6" s="39" t="s">
        <v>28</v>
      </c>
      <c r="N6" s="39"/>
      <c r="O6" s="39"/>
      <c r="P6" s="39" t="s">
        <v>153</v>
      </c>
      <c r="Q6" s="39"/>
      <c r="R6" s="39"/>
    </row>
    <row r="7" spans="3:18">
      <c r="D7" s="1">
        <v>1053</v>
      </c>
      <c r="E7" s="1">
        <v>689</v>
      </c>
      <c r="F7" s="1">
        <v>662</v>
      </c>
      <c r="G7" s="1">
        <v>805</v>
      </c>
      <c r="H7" s="1">
        <v>811</v>
      </c>
      <c r="I7" s="1">
        <v>729</v>
      </c>
      <c r="J7" s="1">
        <v>746</v>
      </c>
      <c r="K7" s="1">
        <v>789</v>
      </c>
      <c r="L7" s="1">
        <v>897</v>
      </c>
      <c r="M7" s="1">
        <v>693</v>
      </c>
      <c r="N7" s="1">
        <v>717</v>
      </c>
      <c r="O7" s="1">
        <v>720</v>
      </c>
      <c r="P7" s="1">
        <v>767</v>
      </c>
      <c r="Q7" s="1">
        <v>931</v>
      </c>
      <c r="R7" s="1">
        <v>1003</v>
      </c>
    </row>
    <row r="10" spans="3:18">
      <c r="C10" s="7" t="s">
        <v>169</v>
      </c>
      <c r="D10" s="39" t="s">
        <v>6</v>
      </c>
      <c r="E10" s="39"/>
      <c r="F10" s="39"/>
      <c r="G10" s="39" t="s">
        <v>19</v>
      </c>
      <c r="H10" s="39"/>
      <c r="I10" s="39"/>
      <c r="J10" s="39" t="s">
        <v>154</v>
      </c>
      <c r="K10" s="39"/>
      <c r="L10" s="39"/>
      <c r="M10" s="39" t="s">
        <v>28</v>
      </c>
      <c r="N10" s="39"/>
      <c r="O10" s="39"/>
      <c r="P10" s="39" t="s">
        <v>153</v>
      </c>
      <c r="Q10" s="39"/>
      <c r="R10" s="39"/>
    </row>
    <row r="11" spans="3:18">
      <c r="D11" s="1">
        <v>5</v>
      </c>
      <c r="E11" s="1">
        <v>5.5</v>
      </c>
      <c r="F11" s="1">
        <v>5.2</v>
      </c>
      <c r="G11" s="1">
        <v>5.7</v>
      </c>
      <c r="H11" s="1">
        <v>5.6</v>
      </c>
      <c r="I11" s="1">
        <v>5.7</v>
      </c>
      <c r="J11" s="1">
        <v>5.6</v>
      </c>
      <c r="K11" s="1">
        <v>5.4</v>
      </c>
      <c r="L11" s="1">
        <v>5.7</v>
      </c>
      <c r="M11" s="1">
        <v>5.4</v>
      </c>
      <c r="N11" s="1">
        <v>5.0999999999999996</v>
      </c>
      <c r="O11" s="1">
        <v>5.3</v>
      </c>
      <c r="P11" s="1">
        <v>4.9000000000000004</v>
      </c>
      <c r="Q11" s="1">
        <v>4.7</v>
      </c>
      <c r="R11" s="1">
        <v>4.5999999999999996</v>
      </c>
    </row>
  </sheetData>
  <mergeCells count="10">
    <mergeCell ref="D10:F10"/>
    <mergeCell ref="G10:I10"/>
    <mergeCell ref="J10:L10"/>
    <mergeCell ref="M10:O10"/>
    <mergeCell ref="P10:R10"/>
    <mergeCell ref="D6:F6"/>
    <mergeCell ref="G6:I6"/>
    <mergeCell ref="J6:L6"/>
    <mergeCell ref="M6:O6"/>
    <mergeCell ref="P6:R6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E451-9E69-4008-8AF4-657FF482A014}">
  <dimension ref="C4:R24"/>
  <sheetViews>
    <sheetView workbookViewId="0">
      <selection activeCell="J41" sqref="J41"/>
    </sheetView>
  </sheetViews>
  <sheetFormatPr defaultRowHeight="14.4"/>
  <cols>
    <col min="3" max="3" width="13.578125" customWidth="1"/>
  </cols>
  <sheetData>
    <row r="4" spans="3:18">
      <c r="C4" s="7" t="s">
        <v>155</v>
      </c>
      <c r="D4" s="39" t="s">
        <v>6</v>
      </c>
      <c r="E4" s="39"/>
      <c r="F4" s="39"/>
      <c r="G4" s="39" t="s">
        <v>19</v>
      </c>
      <c r="H4" s="39"/>
      <c r="I4" s="39"/>
      <c r="J4" s="39" t="s">
        <v>154</v>
      </c>
      <c r="K4" s="39"/>
      <c r="L4" s="39"/>
      <c r="M4" s="39" t="s">
        <v>28</v>
      </c>
      <c r="N4" s="39"/>
      <c r="O4" s="39"/>
      <c r="P4" s="39" t="s">
        <v>153</v>
      </c>
      <c r="Q4" s="39"/>
      <c r="R4" s="39"/>
    </row>
    <row r="5" spans="3:18">
      <c r="C5" s="1"/>
      <c r="D5" s="1">
        <v>59</v>
      </c>
      <c r="E5" s="1">
        <v>63</v>
      </c>
      <c r="F5" s="1">
        <v>83</v>
      </c>
      <c r="G5" s="1">
        <v>100</v>
      </c>
      <c r="H5" s="1">
        <v>105</v>
      </c>
      <c r="I5" s="1">
        <v>105</v>
      </c>
      <c r="J5" s="1">
        <v>87</v>
      </c>
      <c r="K5" s="1">
        <v>105</v>
      </c>
      <c r="L5" s="1">
        <v>121</v>
      </c>
      <c r="M5" s="1">
        <v>94</v>
      </c>
      <c r="N5" s="1">
        <v>91</v>
      </c>
      <c r="O5" s="1">
        <v>129</v>
      </c>
      <c r="P5" s="1">
        <v>121</v>
      </c>
      <c r="Q5" s="1">
        <v>125</v>
      </c>
      <c r="R5" s="1">
        <v>129</v>
      </c>
    </row>
    <row r="7" spans="3:18">
      <c r="C7" s="7" t="s">
        <v>156</v>
      </c>
      <c r="D7" s="39" t="s">
        <v>6</v>
      </c>
      <c r="E7" s="39"/>
      <c r="F7" s="39"/>
      <c r="G7" s="39" t="s">
        <v>19</v>
      </c>
      <c r="H7" s="39"/>
      <c r="I7" s="39"/>
      <c r="J7" s="39" t="s">
        <v>154</v>
      </c>
      <c r="K7" s="39"/>
      <c r="L7" s="39"/>
      <c r="M7" s="39" t="s">
        <v>28</v>
      </c>
      <c r="N7" s="39"/>
      <c r="O7" s="39"/>
      <c r="P7" s="39" t="s">
        <v>153</v>
      </c>
      <c r="Q7" s="39"/>
      <c r="R7" s="39"/>
    </row>
    <row r="8" spans="3:18">
      <c r="D8" s="1">
        <v>42</v>
      </c>
      <c r="E8" s="1">
        <v>71</v>
      </c>
      <c r="F8" s="1">
        <v>51</v>
      </c>
      <c r="G8" s="1">
        <v>48</v>
      </c>
      <c r="H8" s="1">
        <v>43</v>
      </c>
      <c r="I8" s="1">
        <v>43</v>
      </c>
      <c r="J8" s="1">
        <v>45</v>
      </c>
      <c r="K8" s="1">
        <v>99</v>
      </c>
      <c r="L8" s="1">
        <v>56</v>
      </c>
      <c r="M8" s="1">
        <v>36</v>
      </c>
      <c r="N8" s="1">
        <v>36</v>
      </c>
      <c r="O8" s="1">
        <v>22</v>
      </c>
      <c r="P8" s="1">
        <v>65</v>
      </c>
      <c r="Q8" s="1">
        <v>38</v>
      </c>
      <c r="R8" s="1">
        <v>37</v>
      </c>
    </row>
    <row r="11" spans="3:18">
      <c r="C11" s="7" t="s">
        <v>157</v>
      </c>
      <c r="D11" s="39" t="s">
        <v>6</v>
      </c>
      <c r="E11" s="39"/>
      <c r="F11" s="39"/>
      <c r="G11" s="39" t="s">
        <v>19</v>
      </c>
      <c r="H11" s="39"/>
      <c r="I11" s="39"/>
      <c r="J11" s="39" t="s">
        <v>154</v>
      </c>
      <c r="K11" s="39"/>
      <c r="L11" s="39"/>
      <c r="M11" s="39" t="s">
        <v>28</v>
      </c>
      <c r="N11" s="39"/>
      <c r="O11" s="39"/>
      <c r="P11" s="39" t="s">
        <v>153</v>
      </c>
      <c r="Q11" s="39"/>
      <c r="R11" s="39"/>
    </row>
    <row r="12" spans="3:18">
      <c r="D12" s="1">
        <v>90</v>
      </c>
      <c r="E12" s="1">
        <v>72</v>
      </c>
      <c r="F12" s="1">
        <v>88</v>
      </c>
      <c r="G12" s="1">
        <v>94</v>
      </c>
      <c r="H12" s="1">
        <v>80</v>
      </c>
      <c r="I12" s="1">
        <v>80</v>
      </c>
      <c r="J12" s="1">
        <v>67</v>
      </c>
      <c r="K12" s="1">
        <v>82</v>
      </c>
      <c r="L12" s="1">
        <v>66</v>
      </c>
      <c r="M12" s="1">
        <v>95</v>
      </c>
      <c r="N12" s="1">
        <v>58</v>
      </c>
      <c r="O12" s="1">
        <v>88</v>
      </c>
      <c r="P12" s="1">
        <v>87</v>
      </c>
      <c r="Q12" s="1">
        <v>89</v>
      </c>
      <c r="R12" s="1">
        <v>57</v>
      </c>
    </row>
    <row r="15" spans="3:18">
      <c r="C15" s="7" t="s">
        <v>43</v>
      </c>
      <c r="D15" s="39" t="s">
        <v>6</v>
      </c>
      <c r="E15" s="39"/>
      <c r="F15" s="39"/>
      <c r="G15" s="39" t="s">
        <v>19</v>
      </c>
      <c r="H15" s="39"/>
      <c r="I15" s="39"/>
      <c r="J15" s="39" t="s">
        <v>154</v>
      </c>
      <c r="K15" s="39"/>
      <c r="L15" s="39"/>
      <c r="M15" s="39" t="s">
        <v>28</v>
      </c>
      <c r="N15" s="39"/>
      <c r="O15" s="39"/>
      <c r="P15" s="39" t="s">
        <v>153</v>
      </c>
      <c r="Q15" s="39"/>
      <c r="R15" s="39"/>
    </row>
    <row r="16" spans="3:18">
      <c r="D16" s="1">
        <v>0.6</v>
      </c>
      <c r="E16" s="1">
        <v>0.5</v>
      </c>
      <c r="F16" s="1">
        <v>0.5</v>
      </c>
      <c r="G16" s="1">
        <v>0.9</v>
      </c>
      <c r="H16" s="1">
        <v>0.5</v>
      </c>
      <c r="I16" s="1">
        <v>0.5</v>
      </c>
      <c r="J16" s="1">
        <v>1</v>
      </c>
      <c r="K16" s="1">
        <v>1</v>
      </c>
      <c r="L16" s="1">
        <v>0.6</v>
      </c>
      <c r="M16" s="1">
        <v>0.6</v>
      </c>
      <c r="N16" s="1">
        <v>0.4</v>
      </c>
      <c r="O16" s="1">
        <v>1</v>
      </c>
      <c r="P16" s="1">
        <v>0.8</v>
      </c>
      <c r="Q16" s="1">
        <v>0.7</v>
      </c>
      <c r="R16" s="1">
        <v>0.9</v>
      </c>
    </row>
    <row r="19" spans="3:18">
      <c r="C19" s="7" t="s">
        <v>158</v>
      </c>
      <c r="D19" s="39" t="s">
        <v>6</v>
      </c>
      <c r="E19" s="39"/>
      <c r="F19" s="39"/>
      <c r="G19" s="39" t="s">
        <v>19</v>
      </c>
      <c r="H19" s="39"/>
      <c r="I19" s="39"/>
      <c r="J19" s="39" t="s">
        <v>154</v>
      </c>
      <c r="K19" s="39"/>
      <c r="L19" s="39"/>
      <c r="M19" s="39" t="s">
        <v>28</v>
      </c>
      <c r="N19" s="39"/>
      <c r="O19" s="39"/>
      <c r="P19" s="39" t="s">
        <v>153</v>
      </c>
      <c r="Q19" s="39"/>
      <c r="R19" s="39"/>
    </row>
    <row r="20" spans="3:18">
      <c r="D20" s="1">
        <v>28.1</v>
      </c>
      <c r="E20" s="1">
        <v>24.8</v>
      </c>
      <c r="F20" s="1">
        <v>24</v>
      </c>
      <c r="G20" s="1">
        <v>26</v>
      </c>
      <c r="H20" s="1">
        <v>20.9</v>
      </c>
      <c r="I20" s="1">
        <v>20.9</v>
      </c>
      <c r="J20" s="1">
        <v>19.399999999999999</v>
      </c>
      <c r="K20" s="1">
        <v>20.100000000000001</v>
      </c>
      <c r="L20" s="1">
        <v>20.399999999999999</v>
      </c>
      <c r="M20" s="1">
        <v>17.100000000000001</v>
      </c>
      <c r="N20" s="1">
        <v>26.7</v>
      </c>
      <c r="O20" s="1">
        <v>20.399999999999999</v>
      </c>
      <c r="P20" s="1">
        <v>32.200000000000003</v>
      </c>
      <c r="Q20" s="1">
        <v>34.1</v>
      </c>
      <c r="R20" s="1">
        <v>25.1</v>
      </c>
    </row>
    <row r="23" spans="3:18">
      <c r="C23" s="7" t="s">
        <v>159</v>
      </c>
      <c r="D23" s="39" t="s">
        <v>6</v>
      </c>
      <c r="E23" s="39"/>
      <c r="F23" s="39"/>
      <c r="G23" s="39" t="s">
        <v>19</v>
      </c>
      <c r="H23" s="39"/>
      <c r="I23" s="39"/>
      <c r="J23" s="39" t="s">
        <v>154</v>
      </c>
      <c r="K23" s="39"/>
      <c r="L23" s="39"/>
      <c r="M23" s="39" t="s">
        <v>28</v>
      </c>
      <c r="N23" s="39"/>
      <c r="O23" s="39"/>
      <c r="P23" s="39" t="s">
        <v>153</v>
      </c>
      <c r="Q23" s="39"/>
      <c r="R23" s="39"/>
    </row>
    <row r="24" spans="3:18">
      <c r="D24" s="1">
        <v>5.8</v>
      </c>
      <c r="E24" s="1">
        <v>5.2</v>
      </c>
      <c r="F24" s="1">
        <v>5.3</v>
      </c>
      <c r="G24" s="1">
        <v>5.6</v>
      </c>
      <c r="H24" s="1">
        <v>5.8</v>
      </c>
      <c r="I24" s="1">
        <v>5.8</v>
      </c>
      <c r="J24" s="1">
        <v>5.8</v>
      </c>
      <c r="K24" s="1">
        <v>5.6</v>
      </c>
      <c r="L24" s="1">
        <v>5.9</v>
      </c>
      <c r="M24" s="1">
        <v>6.2</v>
      </c>
      <c r="N24" s="1">
        <v>6</v>
      </c>
      <c r="O24" s="1">
        <v>5.8</v>
      </c>
      <c r="P24" s="1">
        <v>4.7</v>
      </c>
      <c r="Q24" s="1">
        <v>5.0999999999999996</v>
      </c>
      <c r="R24" s="1">
        <v>5.9</v>
      </c>
    </row>
  </sheetData>
  <mergeCells count="30">
    <mergeCell ref="D23:F23"/>
    <mergeCell ref="G23:I23"/>
    <mergeCell ref="J23:L23"/>
    <mergeCell ref="M23:O23"/>
    <mergeCell ref="P23:R23"/>
    <mergeCell ref="D19:F19"/>
    <mergeCell ref="G19:I19"/>
    <mergeCell ref="J19:L19"/>
    <mergeCell ref="M19:O19"/>
    <mergeCell ref="P19:R19"/>
    <mergeCell ref="D15:F15"/>
    <mergeCell ref="G15:I15"/>
    <mergeCell ref="J15:L15"/>
    <mergeCell ref="M15:O15"/>
    <mergeCell ref="P15:R15"/>
    <mergeCell ref="D11:F11"/>
    <mergeCell ref="G11:I11"/>
    <mergeCell ref="J11:L11"/>
    <mergeCell ref="M11:O11"/>
    <mergeCell ref="P11:R11"/>
    <mergeCell ref="D7:F7"/>
    <mergeCell ref="G7:I7"/>
    <mergeCell ref="J7:L7"/>
    <mergeCell ref="M7:O7"/>
    <mergeCell ref="P7:R7"/>
    <mergeCell ref="D4:F4"/>
    <mergeCell ref="G4:I4"/>
    <mergeCell ref="J4:L4"/>
    <mergeCell ref="M4:O4"/>
    <mergeCell ref="P4:R4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BC7AB-F9DE-4439-9F53-D3EBF532022F}">
  <dimension ref="B3:Q24"/>
  <sheetViews>
    <sheetView workbookViewId="0">
      <selection activeCell="J41" sqref="J41"/>
    </sheetView>
  </sheetViews>
  <sheetFormatPr defaultRowHeight="14.4"/>
  <cols>
    <col min="2" max="2" width="16.7890625" customWidth="1"/>
  </cols>
  <sheetData>
    <row r="3" spans="2:17">
      <c r="B3" s="7" t="s">
        <v>45</v>
      </c>
      <c r="C3" s="39" t="s">
        <v>6</v>
      </c>
      <c r="D3" s="39"/>
      <c r="E3" s="39"/>
      <c r="F3" s="39" t="s">
        <v>19</v>
      </c>
      <c r="G3" s="39"/>
      <c r="H3" s="39"/>
      <c r="I3" s="39" t="s">
        <v>154</v>
      </c>
      <c r="J3" s="39"/>
      <c r="K3" s="39"/>
      <c r="L3" s="39" t="s">
        <v>28</v>
      </c>
      <c r="M3" s="39"/>
      <c r="N3" s="39"/>
      <c r="O3" s="39" t="s">
        <v>153</v>
      </c>
      <c r="P3" s="39"/>
      <c r="Q3" s="39"/>
    </row>
    <row r="4" spans="2:17">
      <c r="C4" s="1">
        <v>4.28</v>
      </c>
      <c r="D4" s="1">
        <v>4.0199999999999996</v>
      </c>
      <c r="E4" s="1">
        <v>5.5</v>
      </c>
      <c r="F4" s="1">
        <v>4.0599999999999996</v>
      </c>
      <c r="G4" s="1">
        <v>4.5199999999999996</v>
      </c>
      <c r="H4" s="1">
        <v>3.76</v>
      </c>
      <c r="I4" s="1">
        <v>5.32</v>
      </c>
      <c r="J4" s="1">
        <v>5.92</v>
      </c>
      <c r="K4" s="1">
        <v>3.92</v>
      </c>
      <c r="L4" s="1">
        <v>2.46</v>
      </c>
      <c r="M4" s="1">
        <v>3.72</v>
      </c>
      <c r="N4" s="1">
        <v>6.62</v>
      </c>
      <c r="O4" s="1">
        <v>6.58</v>
      </c>
      <c r="P4" s="1">
        <v>5.38</v>
      </c>
      <c r="Q4" s="1">
        <v>4.74</v>
      </c>
    </row>
    <row r="7" spans="2:17">
      <c r="B7" s="7" t="s">
        <v>160</v>
      </c>
      <c r="C7" s="39" t="s">
        <v>6</v>
      </c>
      <c r="D7" s="39"/>
      <c r="E7" s="39"/>
      <c r="F7" s="39" t="s">
        <v>19</v>
      </c>
      <c r="G7" s="39"/>
      <c r="H7" s="39"/>
      <c r="I7" s="39" t="s">
        <v>154</v>
      </c>
      <c r="J7" s="39"/>
      <c r="K7" s="39"/>
      <c r="L7" s="39" t="s">
        <v>28</v>
      </c>
      <c r="M7" s="39"/>
      <c r="N7" s="39"/>
      <c r="O7" s="39" t="s">
        <v>153</v>
      </c>
      <c r="P7" s="39"/>
      <c r="Q7" s="39"/>
    </row>
    <row r="8" spans="2:17">
      <c r="C8" s="1">
        <v>1.35</v>
      </c>
      <c r="D8" s="1">
        <v>2.14</v>
      </c>
      <c r="E8" s="1">
        <v>1.181</v>
      </c>
      <c r="F8" s="1">
        <v>0.77</v>
      </c>
      <c r="G8" s="1">
        <v>1.55</v>
      </c>
      <c r="H8" s="1">
        <v>0.9</v>
      </c>
      <c r="I8" s="1">
        <v>2.34</v>
      </c>
      <c r="J8" s="1">
        <v>1.31</v>
      </c>
      <c r="K8" s="1">
        <v>1.37</v>
      </c>
      <c r="L8" s="1">
        <v>0.47</v>
      </c>
      <c r="M8" s="1">
        <v>0.76</v>
      </c>
      <c r="N8" s="1">
        <v>2.17</v>
      </c>
      <c r="O8" s="1">
        <v>1.66</v>
      </c>
      <c r="P8" s="1">
        <v>1.49</v>
      </c>
      <c r="Q8" s="1">
        <v>1.39</v>
      </c>
    </row>
    <row r="11" spans="2:17">
      <c r="B11" s="7" t="s">
        <v>46</v>
      </c>
      <c r="C11" s="39" t="s">
        <v>6</v>
      </c>
      <c r="D11" s="39"/>
      <c r="E11" s="39"/>
      <c r="F11" s="39" t="s">
        <v>19</v>
      </c>
      <c r="G11" s="39"/>
      <c r="H11" s="39"/>
      <c r="I11" s="39" t="s">
        <v>154</v>
      </c>
      <c r="J11" s="39"/>
      <c r="K11" s="39"/>
      <c r="L11" s="39" t="s">
        <v>28</v>
      </c>
      <c r="M11" s="39"/>
      <c r="N11" s="39"/>
      <c r="O11" s="39" t="s">
        <v>153</v>
      </c>
      <c r="P11" s="39"/>
      <c r="Q11" s="39"/>
    </row>
    <row r="12" spans="2:17">
      <c r="C12" s="1">
        <v>2.65</v>
      </c>
      <c r="D12" s="1">
        <v>1.74</v>
      </c>
      <c r="E12" s="1">
        <v>3.36</v>
      </c>
      <c r="F12" s="1">
        <v>2.93</v>
      </c>
      <c r="G12" s="1">
        <v>2.58</v>
      </c>
      <c r="H12" s="1">
        <v>2.61</v>
      </c>
      <c r="I12" s="1">
        <v>2.8</v>
      </c>
      <c r="J12" s="1">
        <v>5.36</v>
      </c>
      <c r="K12" s="1">
        <v>2.36</v>
      </c>
      <c r="L12" s="1">
        <v>1.9</v>
      </c>
      <c r="M12" s="1">
        <v>2.84</v>
      </c>
      <c r="N12" s="1">
        <v>3.85</v>
      </c>
      <c r="O12" s="1">
        <v>4.5599999999999996</v>
      </c>
      <c r="P12" s="1">
        <v>3.46</v>
      </c>
      <c r="Q12" s="1">
        <v>3.1</v>
      </c>
    </row>
    <row r="15" spans="2:17">
      <c r="B15" s="7" t="s">
        <v>161</v>
      </c>
      <c r="C15" s="39" t="s">
        <v>6</v>
      </c>
      <c r="D15" s="39"/>
      <c r="E15" s="39"/>
      <c r="F15" s="39" t="s">
        <v>19</v>
      </c>
      <c r="G15" s="39"/>
      <c r="H15" s="39"/>
      <c r="I15" s="39" t="s">
        <v>154</v>
      </c>
      <c r="J15" s="39"/>
      <c r="K15" s="39"/>
      <c r="L15" s="39" t="s">
        <v>28</v>
      </c>
      <c r="M15" s="39"/>
      <c r="N15" s="39"/>
      <c r="O15" s="39" t="s">
        <v>153</v>
      </c>
      <c r="P15" s="39"/>
      <c r="Q15" s="39"/>
    </row>
    <row r="16" spans="2:17">
      <c r="C16" s="1">
        <v>0.21</v>
      </c>
      <c r="D16" s="1">
        <v>0.08</v>
      </c>
      <c r="E16" s="1">
        <v>0.28999999999999998</v>
      </c>
      <c r="F16" s="1">
        <v>0.25</v>
      </c>
      <c r="G16" s="1">
        <v>0.3</v>
      </c>
      <c r="H16" s="1">
        <v>0.21</v>
      </c>
      <c r="I16" s="1">
        <v>0.11</v>
      </c>
      <c r="J16" s="1">
        <v>0.18</v>
      </c>
      <c r="K16" s="1">
        <v>0.15</v>
      </c>
      <c r="L16" s="1">
        <v>7.0000000000000007E-2</v>
      </c>
      <c r="M16" s="1">
        <v>0.09</v>
      </c>
      <c r="N16" s="1">
        <v>0.19</v>
      </c>
      <c r="O16" s="1">
        <v>0.23</v>
      </c>
      <c r="P16" s="1">
        <v>0.26</v>
      </c>
      <c r="Q16" s="1">
        <v>0.14000000000000001</v>
      </c>
    </row>
    <row r="19" spans="2:17">
      <c r="B19" s="7" t="s">
        <v>162</v>
      </c>
      <c r="C19" s="39" t="s">
        <v>6</v>
      </c>
      <c r="D19" s="39"/>
      <c r="E19" s="39"/>
      <c r="F19" s="39" t="s">
        <v>19</v>
      </c>
      <c r="G19" s="39"/>
      <c r="H19" s="39"/>
      <c r="I19" s="39" t="s">
        <v>154</v>
      </c>
      <c r="J19" s="39"/>
      <c r="K19" s="39"/>
      <c r="L19" s="39" t="s">
        <v>28</v>
      </c>
      <c r="M19" s="39"/>
      <c r="N19" s="39"/>
      <c r="O19" s="39" t="s">
        <v>153</v>
      </c>
      <c r="P19" s="39"/>
      <c r="Q19" s="39"/>
    </row>
    <row r="20" spans="2:17">
      <c r="C20" s="1">
        <v>0.05</v>
      </c>
      <c r="D20" s="1">
        <v>0.04</v>
      </c>
      <c r="E20" s="1">
        <v>0.03</v>
      </c>
      <c r="F20" s="1">
        <v>0.08</v>
      </c>
      <c r="G20" s="1">
        <v>0.08</v>
      </c>
      <c r="H20" s="1">
        <v>0.02</v>
      </c>
      <c r="I20" s="1">
        <v>0.05</v>
      </c>
      <c r="J20" s="1">
        <v>0.06</v>
      </c>
      <c r="K20" s="1">
        <v>0.03</v>
      </c>
      <c r="L20" s="1">
        <v>0.02</v>
      </c>
      <c r="M20" s="1">
        <v>0.02</v>
      </c>
      <c r="N20" s="1">
        <v>0.34</v>
      </c>
      <c r="O20" s="1">
        <v>0.11</v>
      </c>
      <c r="P20" s="1">
        <v>0.12</v>
      </c>
      <c r="Q20" s="1">
        <v>0.1</v>
      </c>
    </row>
    <row r="23" spans="2:17">
      <c r="B23" s="7" t="s">
        <v>163</v>
      </c>
      <c r="C23" s="39" t="s">
        <v>6</v>
      </c>
      <c r="D23" s="39"/>
      <c r="E23" s="39"/>
      <c r="F23" s="39" t="s">
        <v>19</v>
      </c>
      <c r="G23" s="39"/>
      <c r="H23" s="39"/>
      <c r="I23" s="39" t="s">
        <v>154</v>
      </c>
      <c r="J23" s="39"/>
      <c r="K23" s="39"/>
      <c r="L23" s="39" t="s">
        <v>28</v>
      </c>
      <c r="M23" s="39"/>
      <c r="N23" s="39"/>
      <c r="O23" s="39" t="s">
        <v>153</v>
      </c>
      <c r="P23" s="39"/>
      <c r="Q23" s="39"/>
    </row>
    <row r="24" spans="2:17">
      <c r="C24" s="1">
        <v>0.46</v>
      </c>
      <c r="D24" s="1">
        <v>0.48</v>
      </c>
      <c r="E24" s="1">
        <v>0.14000000000000001</v>
      </c>
      <c r="F24" s="1">
        <v>0.59</v>
      </c>
      <c r="G24" s="1">
        <v>0.33</v>
      </c>
      <c r="H24" s="1">
        <v>0.19</v>
      </c>
      <c r="I24" s="1">
        <v>0.26</v>
      </c>
      <c r="J24" s="1">
        <v>0.17</v>
      </c>
      <c r="K24" s="1">
        <v>0.26</v>
      </c>
      <c r="L24" s="1">
        <v>0.11</v>
      </c>
      <c r="M24" s="1">
        <v>0.34</v>
      </c>
      <c r="N24" s="1">
        <v>1.1399999999999999</v>
      </c>
      <c r="O24" s="1">
        <v>0.02</v>
      </c>
      <c r="P24" s="1">
        <v>0.04</v>
      </c>
      <c r="Q24" s="1">
        <v>0.02</v>
      </c>
    </row>
  </sheetData>
  <mergeCells count="30">
    <mergeCell ref="C23:E23"/>
    <mergeCell ref="F23:H23"/>
    <mergeCell ref="I23:K23"/>
    <mergeCell ref="L23:N23"/>
    <mergeCell ref="O23:Q23"/>
    <mergeCell ref="C19:E19"/>
    <mergeCell ref="F19:H19"/>
    <mergeCell ref="I19:K19"/>
    <mergeCell ref="L19:N19"/>
    <mergeCell ref="O19:Q19"/>
    <mergeCell ref="C15:E15"/>
    <mergeCell ref="F15:H15"/>
    <mergeCell ref="I15:K15"/>
    <mergeCell ref="L15:N15"/>
    <mergeCell ref="O15:Q15"/>
    <mergeCell ref="C11:E11"/>
    <mergeCell ref="F11:H11"/>
    <mergeCell ref="I11:K11"/>
    <mergeCell ref="L11:N11"/>
    <mergeCell ref="O11:Q11"/>
    <mergeCell ref="C7:E7"/>
    <mergeCell ref="F7:H7"/>
    <mergeCell ref="I7:K7"/>
    <mergeCell ref="L7:N7"/>
    <mergeCell ref="O7:Q7"/>
    <mergeCell ref="C3:E3"/>
    <mergeCell ref="F3:H3"/>
    <mergeCell ref="I3:K3"/>
    <mergeCell ref="L3:N3"/>
    <mergeCell ref="O3:Q3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6B90D-8D0B-4388-908B-56F30C86553A}">
  <dimension ref="B5:Q25"/>
  <sheetViews>
    <sheetView workbookViewId="0">
      <selection activeCell="J41" sqref="J41"/>
    </sheetView>
  </sheetViews>
  <sheetFormatPr defaultRowHeight="14.4"/>
  <cols>
    <col min="2" max="2" width="40.7890625" customWidth="1"/>
  </cols>
  <sheetData>
    <row r="5" spans="2:17">
      <c r="B5" s="8" t="s">
        <v>47</v>
      </c>
      <c r="C5" s="39" t="s">
        <v>6</v>
      </c>
      <c r="D5" s="39"/>
      <c r="E5" s="39"/>
      <c r="F5" s="39" t="s">
        <v>19</v>
      </c>
      <c r="G5" s="39"/>
      <c r="H5" s="39"/>
      <c r="I5" s="39" t="s">
        <v>154</v>
      </c>
      <c r="J5" s="39"/>
      <c r="K5" s="39"/>
      <c r="L5" s="39" t="s">
        <v>28</v>
      </c>
      <c r="M5" s="39"/>
      <c r="N5" s="39"/>
      <c r="O5" s="39" t="s">
        <v>153</v>
      </c>
      <c r="P5" s="39"/>
      <c r="Q5" s="39"/>
    </row>
    <row r="6" spans="2:17">
      <c r="C6" s="1">
        <v>16.3</v>
      </c>
      <c r="D6" s="1">
        <v>44.6</v>
      </c>
      <c r="E6" s="1">
        <v>47.5</v>
      </c>
      <c r="F6" s="1">
        <v>49.1</v>
      </c>
      <c r="G6" s="1">
        <v>18.8</v>
      </c>
      <c r="H6" s="1">
        <v>50.2</v>
      </c>
      <c r="I6" s="1">
        <v>46.5</v>
      </c>
      <c r="J6" s="1">
        <v>47.9</v>
      </c>
      <c r="K6" s="1">
        <v>49.7</v>
      </c>
      <c r="L6" s="1">
        <v>43.2</v>
      </c>
      <c r="M6" s="1">
        <v>44</v>
      </c>
      <c r="N6" s="1">
        <v>43.8</v>
      </c>
      <c r="O6" s="1">
        <v>41.8</v>
      </c>
      <c r="P6" s="1">
        <v>42.8</v>
      </c>
      <c r="Q6" s="1">
        <v>44.1</v>
      </c>
    </row>
    <row r="8" spans="2:17" ht="12.9" customHeight="1">
      <c r="B8" s="8" t="s">
        <v>164</v>
      </c>
      <c r="C8" s="39" t="s">
        <v>6</v>
      </c>
      <c r="D8" s="39"/>
      <c r="E8" s="39"/>
      <c r="F8" s="39" t="s">
        <v>19</v>
      </c>
      <c r="G8" s="39"/>
      <c r="H8" s="39"/>
      <c r="I8" s="39" t="s">
        <v>154</v>
      </c>
      <c r="J8" s="39"/>
      <c r="K8" s="39"/>
      <c r="L8" s="39" t="s">
        <v>28</v>
      </c>
      <c r="M8" s="39"/>
      <c r="N8" s="39"/>
      <c r="O8" s="39" t="s">
        <v>153</v>
      </c>
      <c r="P8" s="39"/>
      <c r="Q8" s="39"/>
    </row>
    <row r="9" spans="2:17">
      <c r="C9" s="1">
        <v>13.5</v>
      </c>
      <c r="D9" s="1">
        <v>13.5</v>
      </c>
      <c r="E9" s="1">
        <v>14.2</v>
      </c>
      <c r="F9" s="1">
        <v>15.1</v>
      </c>
      <c r="G9" s="1">
        <v>14.4</v>
      </c>
      <c r="H9" s="1">
        <v>15.2</v>
      </c>
      <c r="I9" s="1">
        <v>14.4</v>
      </c>
      <c r="J9" s="1">
        <v>14.1</v>
      </c>
      <c r="K9" s="1">
        <v>14.6</v>
      </c>
      <c r="L9" s="1">
        <v>14.8</v>
      </c>
      <c r="M9" s="1">
        <v>14.7</v>
      </c>
      <c r="N9" s="1">
        <v>15.1</v>
      </c>
      <c r="O9" s="1">
        <v>14.2</v>
      </c>
      <c r="P9" s="1">
        <v>15.8</v>
      </c>
      <c r="Q9" s="1">
        <v>14.7</v>
      </c>
    </row>
    <row r="12" spans="2:17">
      <c r="B12" s="7" t="s">
        <v>48</v>
      </c>
      <c r="C12" s="39" t="s">
        <v>6</v>
      </c>
      <c r="D12" s="39"/>
      <c r="E12" s="39"/>
      <c r="F12" s="39" t="s">
        <v>19</v>
      </c>
      <c r="G12" s="39"/>
      <c r="H12" s="39"/>
      <c r="I12" s="39" t="s">
        <v>154</v>
      </c>
      <c r="J12" s="39"/>
      <c r="K12" s="39"/>
      <c r="L12" s="39" t="s">
        <v>28</v>
      </c>
      <c r="M12" s="39"/>
      <c r="N12" s="39"/>
      <c r="O12" s="39" t="s">
        <v>153</v>
      </c>
      <c r="P12" s="39"/>
      <c r="Q12" s="39"/>
    </row>
    <row r="13" spans="2:17">
      <c r="C13" s="1">
        <v>29.1</v>
      </c>
      <c r="D13" s="1">
        <v>30.3</v>
      </c>
      <c r="E13" s="1">
        <v>30</v>
      </c>
      <c r="F13" s="1">
        <v>30.7</v>
      </c>
      <c r="G13" s="1">
        <v>29.5</v>
      </c>
      <c r="H13" s="1">
        <v>30.2</v>
      </c>
      <c r="I13" s="1">
        <v>31</v>
      </c>
      <c r="J13" s="1">
        <v>29.5</v>
      </c>
      <c r="K13" s="1">
        <v>29.3</v>
      </c>
      <c r="L13" s="1">
        <v>32.6</v>
      </c>
      <c r="M13" s="1">
        <v>29.6</v>
      </c>
      <c r="N13" s="1">
        <v>34.5</v>
      </c>
      <c r="O13" s="1">
        <v>34.4</v>
      </c>
      <c r="P13" s="1">
        <v>32.799999999999997</v>
      </c>
      <c r="Q13" s="1">
        <v>32</v>
      </c>
    </row>
    <row r="15" spans="2:17">
      <c r="B15" s="7" t="s">
        <v>165</v>
      </c>
      <c r="C15" s="39" t="s">
        <v>6</v>
      </c>
      <c r="D15" s="39"/>
      <c r="E15" s="39"/>
      <c r="F15" s="39" t="s">
        <v>19</v>
      </c>
      <c r="G15" s="39"/>
      <c r="H15" s="39"/>
      <c r="I15" s="39" t="s">
        <v>154</v>
      </c>
      <c r="J15" s="39"/>
      <c r="K15" s="39"/>
      <c r="L15" s="39" t="s">
        <v>28</v>
      </c>
      <c r="M15" s="39"/>
      <c r="N15" s="39"/>
      <c r="O15" s="39" t="s">
        <v>153</v>
      </c>
      <c r="P15" s="39"/>
      <c r="Q15" s="39"/>
    </row>
    <row r="16" spans="2:17">
      <c r="C16" s="1">
        <v>12.4</v>
      </c>
      <c r="D16" s="1">
        <v>12.2</v>
      </c>
      <c r="E16" s="1">
        <v>13</v>
      </c>
      <c r="F16" s="1">
        <v>13.4</v>
      </c>
      <c r="G16" s="1">
        <v>13</v>
      </c>
      <c r="H16" s="1">
        <v>13.5</v>
      </c>
      <c r="I16" s="1">
        <v>12.5</v>
      </c>
      <c r="J16" s="1">
        <v>13</v>
      </c>
      <c r="K16" s="1">
        <v>12.9</v>
      </c>
      <c r="L16" s="1">
        <v>12.9</v>
      </c>
      <c r="M16" s="1">
        <v>13.9</v>
      </c>
      <c r="N16" s="1">
        <v>13.7</v>
      </c>
      <c r="O16" s="1">
        <v>13.4</v>
      </c>
      <c r="P16" s="1">
        <v>13.5</v>
      </c>
      <c r="Q16" s="1">
        <v>13.3</v>
      </c>
    </row>
    <row r="18" spans="2:17">
      <c r="B18" s="7" t="s">
        <v>166</v>
      </c>
      <c r="C18" s="39" t="s">
        <v>6</v>
      </c>
      <c r="D18" s="39"/>
      <c r="E18" s="39"/>
      <c r="F18" s="39" t="s">
        <v>19</v>
      </c>
      <c r="G18" s="39"/>
      <c r="H18" s="39"/>
      <c r="I18" s="39" t="s">
        <v>154</v>
      </c>
      <c r="J18" s="39"/>
      <c r="K18" s="39"/>
      <c r="L18" s="39" t="s">
        <v>28</v>
      </c>
      <c r="M18" s="39"/>
      <c r="N18" s="39"/>
      <c r="O18" s="39" t="s">
        <v>153</v>
      </c>
      <c r="P18" s="39"/>
      <c r="Q18" s="39"/>
    </row>
    <row r="19" spans="2:17">
      <c r="C19" s="1">
        <v>20.399999999999999</v>
      </c>
      <c r="D19" s="1">
        <v>20.3</v>
      </c>
      <c r="E19" s="1">
        <v>18.7</v>
      </c>
      <c r="F19" s="1">
        <v>19.600000000000001</v>
      </c>
      <c r="G19" s="1">
        <v>19.3</v>
      </c>
      <c r="H19" s="1">
        <v>19.2</v>
      </c>
      <c r="I19" s="1">
        <v>19.100000000000001</v>
      </c>
      <c r="J19" s="1">
        <v>20.100000000000001</v>
      </c>
      <c r="K19" s="1">
        <v>20.399999999999999</v>
      </c>
      <c r="L19" s="1">
        <v>16.7</v>
      </c>
      <c r="M19" s="1">
        <v>16.8</v>
      </c>
      <c r="N19" s="1">
        <v>17.3</v>
      </c>
      <c r="O19" s="1">
        <v>19.3</v>
      </c>
      <c r="P19" s="1">
        <v>29.7</v>
      </c>
      <c r="Q19" s="1">
        <v>18</v>
      </c>
    </row>
    <row r="21" spans="2:17">
      <c r="B21" s="7" t="s">
        <v>167</v>
      </c>
      <c r="C21" s="39" t="s">
        <v>6</v>
      </c>
      <c r="D21" s="39"/>
      <c r="E21" s="39"/>
      <c r="F21" s="39" t="s">
        <v>19</v>
      </c>
      <c r="G21" s="39"/>
      <c r="H21" s="39"/>
      <c r="I21" s="39" t="s">
        <v>154</v>
      </c>
      <c r="J21" s="39"/>
      <c r="K21" s="39"/>
      <c r="L21" s="39" t="s">
        <v>28</v>
      </c>
      <c r="M21" s="39"/>
      <c r="N21" s="39"/>
      <c r="O21" s="39" t="s">
        <v>153</v>
      </c>
      <c r="P21" s="39"/>
      <c r="Q21" s="39"/>
    </row>
    <row r="22" spans="2:17">
      <c r="C22" s="1">
        <v>9.2100000000000009</v>
      </c>
      <c r="D22" s="1">
        <v>9.0399999999999991</v>
      </c>
      <c r="E22" s="1">
        <v>9.1300000000000008</v>
      </c>
      <c r="F22" s="1">
        <v>8.8699999999999992</v>
      </c>
      <c r="G22" s="1">
        <v>9.01</v>
      </c>
      <c r="H22" s="1">
        <v>8.9</v>
      </c>
      <c r="I22" s="1">
        <v>8.66</v>
      </c>
      <c r="J22" s="1">
        <v>9.1999999999999993</v>
      </c>
      <c r="K22" s="1">
        <v>8.85</v>
      </c>
      <c r="L22" s="1">
        <v>8.14</v>
      </c>
      <c r="M22" s="1">
        <v>8.8699999999999992</v>
      </c>
      <c r="N22" s="1">
        <v>9.07</v>
      </c>
      <c r="O22" s="1">
        <v>7.09</v>
      </c>
      <c r="P22" s="1">
        <v>6</v>
      </c>
      <c r="Q22" s="1">
        <v>8.93</v>
      </c>
    </row>
    <row r="24" spans="2:17">
      <c r="B24" s="7" t="s">
        <v>49</v>
      </c>
      <c r="C24" s="39" t="s">
        <v>6</v>
      </c>
      <c r="D24" s="39"/>
      <c r="E24" s="39"/>
      <c r="F24" s="39" t="s">
        <v>19</v>
      </c>
      <c r="G24" s="39"/>
      <c r="H24" s="39"/>
      <c r="I24" s="39" t="s">
        <v>154</v>
      </c>
      <c r="J24" s="39"/>
      <c r="K24" s="39"/>
      <c r="L24" s="39" t="s">
        <v>28</v>
      </c>
      <c r="M24" s="39"/>
      <c r="N24" s="39"/>
      <c r="O24" s="39" t="s">
        <v>153</v>
      </c>
      <c r="P24" s="39"/>
      <c r="Q24" s="39"/>
    </row>
    <row r="25" spans="2:17">
      <c r="C25" s="1">
        <v>42.6</v>
      </c>
      <c r="D25" s="1">
        <v>40.299999999999997</v>
      </c>
      <c r="E25" s="1">
        <v>43.4</v>
      </c>
      <c r="F25" s="1">
        <v>43.6</v>
      </c>
      <c r="G25" s="1">
        <v>44</v>
      </c>
      <c r="H25" s="1">
        <v>44.7</v>
      </c>
      <c r="I25" s="1">
        <v>40.299999999999997</v>
      </c>
      <c r="J25" s="1">
        <v>44.1</v>
      </c>
      <c r="K25" s="1">
        <v>44</v>
      </c>
      <c r="L25" s="1">
        <v>35.200000000000003</v>
      </c>
      <c r="M25" s="1">
        <v>39</v>
      </c>
      <c r="N25" s="1">
        <v>39.700000000000003</v>
      </c>
      <c r="O25" s="1">
        <v>38.9</v>
      </c>
      <c r="P25" s="1">
        <v>41.1</v>
      </c>
      <c r="Q25" s="1">
        <v>41.5</v>
      </c>
    </row>
  </sheetData>
  <mergeCells count="35">
    <mergeCell ref="C18:E18"/>
    <mergeCell ref="F18:H18"/>
    <mergeCell ref="I18:K18"/>
    <mergeCell ref="L18:N18"/>
    <mergeCell ref="O18:Q18"/>
    <mergeCell ref="C24:E24"/>
    <mergeCell ref="F24:H24"/>
    <mergeCell ref="I24:K24"/>
    <mergeCell ref="L24:N24"/>
    <mergeCell ref="O24:Q24"/>
    <mergeCell ref="C12:E12"/>
    <mergeCell ref="F12:H12"/>
    <mergeCell ref="I12:K12"/>
    <mergeCell ref="L12:N12"/>
    <mergeCell ref="O12:Q12"/>
    <mergeCell ref="C21:E21"/>
    <mergeCell ref="F21:H21"/>
    <mergeCell ref="I21:K21"/>
    <mergeCell ref="L21:N21"/>
    <mergeCell ref="O21:Q21"/>
    <mergeCell ref="C5:E5"/>
    <mergeCell ref="F5:H5"/>
    <mergeCell ref="I5:K5"/>
    <mergeCell ref="L5:N5"/>
    <mergeCell ref="O5:Q5"/>
    <mergeCell ref="C15:E15"/>
    <mergeCell ref="F15:H15"/>
    <mergeCell ref="I15:K15"/>
    <mergeCell ref="L15:N15"/>
    <mergeCell ref="O15:Q15"/>
    <mergeCell ref="C8:E8"/>
    <mergeCell ref="F8:H8"/>
    <mergeCell ref="I8:K8"/>
    <mergeCell ref="L8:N8"/>
    <mergeCell ref="O8:Q8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6A0AD-AFE6-4845-AD2D-2CEFF55F9369}">
  <dimension ref="C5:S49"/>
  <sheetViews>
    <sheetView workbookViewId="0">
      <selection activeCell="H41" sqref="H41:J41"/>
    </sheetView>
  </sheetViews>
  <sheetFormatPr defaultRowHeight="14.4"/>
  <cols>
    <col min="3" max="3" width="31.05078125" customWidth="1"/>
    <col min="4" max="4" width="5.734375" customWidth="1"/>
  </cols>
  <sheetData>
    <row r="5" spans="3:19">
      <c r="C5" s="9" t="s">
        <v>19</v>
      </c>
      <c r="D5" s="2"/>
      <c r="E5" s="39" t="s">
        <v>141</v>
      </c>
      <c r="F5" s="39"/>
      <c r="G5" s="39"/>
      <c r="H5" s="39" t="s">
        <v>142</v>
      </c>
      <c r="I5" s="39"/>
      <c r="J5" s="39"/>
      <c r="K5" s="39" t="s">
        <v>143</v>
      </c>
      <c r="L5" s="39"/>
      <c r="M5" s="39"/>
      <c r="N5" s="39" t="s">
        <v>144</v>
      </c>
      <c r="O5" s="39"/>
      <c r="P5" s="39"/>
      <c r="Q5" s="39" t="s">
        <v>145</v>
      </c>
      <c r="R5" s="39"/>
      <c r="S5" s="39"/>
    </row>
    <row r="6" spans="3:19">
      <c r="D6" s="1">
        <v>1</v>
      </c>
      <c r="E6" s="1">
        <v>21.5</v>
      </c>
      <c r="F6" s="1">
        <v>20.100000000000001</v>
      </c>
      <c r="G6" s="1">
        <v>19.8</v>
      </c>
      <c r="H6" s="1">
        <v>21.4</v>
      </c>
      <c r="I6" s="1">
        <v>20.6</v>
      </c>
      <c r="J6" s="1">
        <v>19.899999999999999</v>
      </c>
      <c r="K6" s="1">
        <v>20.3</v>
      </c>
      <c r="L6" s="1">
        <v>19.8</v>
      </c>
      <c r="M6" s="1">
        <v>22.8</v>
      </c>
      <c r="N6" s="1">
        <v>19.899999999999999</v>
      </c>
      <c r="O6" s="1">
        <v>20.5</v>
      </c>
      <c r="P6" s="1">
        <v>21.3</v>
      </c>
      <c r="Q6" s="1">
        <v>20.8</v>
      </c>
      <c r="R6" s="1">
        <v>22.6</v>
      </c>
      <c r="S6" s="1">
        <v>21.8</v>
      </c>
    </row>
    <row r="7" spans="3:19">
      <c r="D7" s="1">
        <v>2</v>
      </c>
      <c r="E7" s="1">
        <v>21.3</v>
      </c>
      <c r="F7" s="1">
        <v>20.399999999999999</v>
      </c>
      <c r="G7" s="1">
        <v>19.899999999999999</v>
      </c>
      <c r="H7" s="1">
        <v>21</v>
      </c>
      <c r="I7" s="1">
        <v>20</v>
      </c>
      <c r="J7" s="1">
        <v>20.100000000000001</v>
      </c>
      <c r="K7" s="1">
        <v>20</v>
      </c>
      <c r="L7" s="1">
        <v>19.5</v>
      </c>
      <c r="M7" s="1">
        <v>22.3</v>
      </c>
      <c r="N7" s="1">
        <v>18.399999999999999</v>
      </c>
      <c r="O7" s="1">
        <v>18.5</v>
      </c>
      <c r="P7" s="1">
        <v>20.399999999999999</v>
      </c>
      <c r="Q7" s="1">
        <v>18.5</v>
      </c>
      <c r="R7" s="1">
        <v>20.399999999999999</v>
      </c>
      <c r="S7" s="1">
        <v>19.399999999999999</v>
      </c>
    </row>
    <row r="8" spans="3:19">
      <c r="D8" s="1">
        <v>4</v>
      </c>
      <c r="E8" s="1">
        <v>21.6</v>
      </c>
      <c r="F8" s="1">
        <v>20.3</v>
      </c>
      <c r="G8" s="1">
        <v>19.7</v>
      </c>
      <c r="H8" s="1">
        <v>20.7</v>
      </c>
      <c r="I8" s="1">
        <v>20.399999999999999</v>
      </c>
      <c r="J8" s="1">
        <v>19.5</v>
      </c>
      <c r="K8" s="1">
        <v>19.5</v>
      </c>
      <c r="L8" s="1">
        <v>19.2</v>
      </c>
      <c r="M8" s="1">
        <v>22</v>
      </c>
      <c r="N8" s="1">
        <v>17.3</v>
      </c>
      <c r="O8" s="1">
        <v>17.2</v>
      </c>
      <c r="P8" s="1">
        <v>19.2</v>
      </c>
      <c r="Q8" s="1">
        <v>16.100000000000001</v>
      </c>
      <c r="R8" s="1">
        <v>18.100000000000001</v>
      </c>
      <c r="S8" s="1">
        <v>17.2</v>
      </c>
    </row>
    <row r="9" spans="3:19">
      <c r="D9" s="1">
        <v>6</v>
      </c>
      <c r="E9" s="1">
        <v>21.4</v>
      </c>
      <c r="F9" s="1">
        <v>20.399999999999999</v>
      </c>
      <c r="G9" s="1">
        <v>19.8</v>
      </c>
      <c r="H9" s="1">
        <v>20.9</v>
      </c>
      <c r="I9" s="1">
        <v>20</v>
      </c>
      <c r="J9" s="1">
        <v>19.600000000000001</v>
      </c>
      <c r="K9" s="1">
        <v>19.600000000000001</v>
      </c>
      <c r="L9" s="1">
        <v>19</v>
      </c>
      <c r="M9" s="1">
        <v>21</v>
      </c>
      <c r="N9" s="1"/>
      <c r="O9" s="1"/>
      <c r="P9" s="1"/>
      <c r="Q9" s="1"/>
      <c r="R9" s="1"/>
      <c r="S9" s="1"/>
    </row>
    <row r="10" spans="3:19">
      <c r="D10" s="1">
        <v>8</v>
      </c>
      <c r="E10" s="1">
        <v>21.3</v>
      </c>
      <c r="F10" s="1">
        <v>20.2</v>
      </c>
      <c r="G10" s="1">
        <v>19.7</v>
      </c>
      <c r="H10" s="1">
        <v>20.5</v>
      </c>
      <c r="I10" s="1">
        <v>19.5</v>
      </c>
      <c r="J10" s="1">
        <v>19.2</v>
      </c>
      <c r="K10" s="1">
        <v>19</v>
      </c>
      <c r="L10" s="1">
        <v>18.5</v>
      </c>
      <c r="M10" s="1">
        <v>19.600000000000001</v>
      </c>
      <c r="N10" s="1"/>
      <c r="O10" s="1"/>
      <c r="P10" s="1"/>
      <c r="Q10" s="1"/>
      <c r="R10" s="1"/>
      <c r="S10" s="1"/>
    </row>
    <row r="11" spans="3:19">
      <c r="D11" s="1">
        <v>10</v>
      </c>
      <c r="E11" s="1">
        <v>21.8</v>
      </c>
      <c r="F11" s="1">
        <v>20.100000000000001</v>
      </c>
      <c r="G11" s="1">
        <v>20.100000000000001</v>
      </c>
      <c r="H11" s="1">
        <v>20.6</v>
      </c>
      <c r="I11" s="1">
        <v>19.600000000000001</v>
      </c>
      <c r="J11" s="1">
        <v>19</v>
      </c>
      <c r="K11" s="1">
        <v>19.2</v>
      </c>
      <c r="L11" s="1">
        <v>18.600000000000001</v>
      </c>
      <c r="M11" s="1">
        <v>19.8</v>
      </c>
      <c r="N11" s="1"/>
      <c r="O11" s="1"/>
      <c r="P11" s="1"/>
      <c r="Q11" s="1"/>
      <c r="R11" s="1"/>
      <c r="S11" s="1"/>
    </row>
    <row r="12" spans="3:19">
      <c r="D12" s="1">
        <v>12</v>
      </c>
      <c r="E12" s="1">
        <v>21.7</v>
      </c>
      <c r="F12" s="1">
        <v>20</v>
      </c>
      <c r="G12" s="1">
        <v>19.899999999999999</v>
      </c>
      <c r="H12" s="1">
        <v>20.3</v>
      </c>
      <c r="I12" s="1">
        <v>19.8</v>
      </c>
      <c r="J12" s="1">
        <v>19.2</v>
      </c>
      <c r="K12" s="1">
        <v>19.5</v>
      </c>
      <c r="L12" s="1">
        <v>18.899999999999999</v>
      </c>
      <c r="M12" s="1">
        <v>20.3</v>
      </c>
      <c r="N12" s="1"/>
      <c r="O12" s="1"/>
      <c r="P12" s="1"/>
      <c r="Q12" s="1"/>
      <c r="R12" s="1"/>
      <c r="S12" s="1"/>
    </row>
    <row r="13" spans="3:19">
      <c r="D13" s="1">
        <v>14</v>
      </c>
      <c r="E13" s="1">
        <v>21.6</v>
      </c>
      <c r="F13" s="1">
        <v>20.3</v>
      </c>
      <c r="G13" s="1">
        <v>20</v>
      </c>
      <c r="H13" s="1">
        <v>20.399999999999999</v>
      </c>
      <c r="I13" s="1">
        <v>19.7</v>
      </c>
      <c r="J13" s="1">
        <v>19.3</v>
      </c>
      <c r="K13" s="1">
        <v>20.3</v>
      </c>
      <c r="L13" s="1">
        <v>19.3</v>
      </c>
      <c r="M13" s="1">
        <v>21.6</v>
      </c>
      <c r="N13" s="1"/>
      <c r="O13" s="1"/>
      <c r="P13" s="1"/>
      <c r="Q13" s="1"/>
      <c r="R13" s="1"/>
      <c r="S13" s="1"/>
    </row>
    <row r="17" spans="3:16">
      <c r="C17" s="9" t="s">
        <v>21</v>
      </c>
      <c r="D17" s="2"/>
      <c r="E17" s="39" t="s">
        <v>142</v>
      </c>
      <c r="F17" s="39"/>
      <c r="G17" s="39"/>
      <c r="H17" s="39" t="s">
        <v>143</v>
      </c>
      <c r="I17" s="39"/>
      <c r="J17" s="39"/>
      <c r="K17" s="39" t="s">
        <v>144</v>
      </c>
      <c r="L17" s="39"/>
      <c r="M17" s="39"/>
      <c r="N17" s="39" t="s">
        <v>145</v>
      </c>
      <c r="O17" s="39"/>
      <c r="P17" s="39"/>
    </row>
    <row r="18" spans="3:16">
      <c r="D18" s="1">
        <v>1</v>
      </c>
      <c r="E18" s="1">
        <v>18.7</v>
      </c>
      <c r="F18" s="1">
        <v>20.399999999999999</v>
      </c>
      <c r="G18" s="1">
        <v>22.4</v>
      </c>
      <c r="H18" s="1">
        <v>21.3</v>
      </c>
      <c r="I18" s="1">
        <v>22.1</v>
      </c>
      <c r="J18" s="1">
        <v>19.8</v>
      </c>
      <c r="K18" s="1">
        <v>20.399999999999999</v>
      </c>
      <c r="L18" s="1">
        <v>21.5</v>
      </c>
      <c r="M18" s="1">
        <v>18.7</v>
      </c>
      <c r="N18" s="1">
        <v>21.7</v>
      </c>
      <c r="O18" s="1">
        <v>19.8</v>
      </c>
      <c r="P18" s="1">
        <v>21.4</v>
      </c>
    </row>
    <row r="19" spans="3:16">
      <c r="D19" s="1">
        <v>2</v>
      </c>
      <c r="E19" s="1">
        <v>18.2</v>
      </c>
      <c r="F19" s="1">
        <v>20</v>
      </c>
      <c r="G19" s="1">
        <v>22.1</v>
      </c>
      <c r="H19" s="1">
        <v>20.8</v>
      </c>
      <c r="I19" s="1">
        <v>21.4</v>
      </c>
      <c r="J19" s="1">
        <v>19.2</v>
      </c>
      <c r="K19" s="1">
        <v>18.3</v>
      </c>
      <c r="L19" s="1">
        <v>20.100000000000001</v>
      </c>
      <c r="M19" s="1">
        <v>16.7</v>
      </c>
      <c r="N19" s="1">
        <v>19.5</v>
      </c>
      <c r="O19" s="1">
        <v>17.399999999999999</v>
      </c>
      <c r="P19" s="1">
        <v>16.5</v>
      </c>
    </row>
    <row r="20" spans="3:16">
      <c r="D20" s="1">
        <v>4</v>
      </c>
      <c r="E20" s="1">
        <v>18.3</v>
      </c>
      <c r="F20" s="1">
        <v>20.100000000000001</v>
      </c>
      <c r="G20" s="1">
        <v>21.7</v>
      </c>
      <c r="H20" s="1">
        <v>20</v>
      </c>
      <c r="I20" s="1">
        <v>21.8</v>
      </c>
      <c r="J20" s="1">
        <v>19.7</v>
      </c>
      <c r="K20" s="1">
        <v>18.100000000000001</v>
      </c>
      <c r="L20" s="1">
        <v>19.399999999999999</v>
      </c>
      <c r="M20" s="1">
        <v>16</v>
      </c>
      <c r="N20" s="1"/>
      <c r="O20" s="1"/>
      <c r="P20" s="1"/>
    </row>
    <row r="21" spans="3:16">
      <c r="D21" s="1">
        <v>6</v>
      </c>
      <c r="E21" s="1">
        <v>18.600000000000001</v>
      </c>
      <c r="F21" s="1">
        <v>20.3</v>
      </c>
      <c r="G21" s="1">
        <v>21.8</v>
      </c>
      <c r="H21" s="1">
        <v>21</v>
      </c>
      <c r="I21" s="1">
        <v>21.9</v>
      </c>
      <c r="J21" s="1">
        <v>19.5</v>
      </c>
      <c r="K21" s="1"/>
      <c r="L21" s="1"/>
      <c r="M21" s="1"/>
      <c r="N21" s="1"/>
      <c r="O21" s="1"/>
      <c r="P21" s="1"/>
    </row>
    <row r="22" spans="3:16">
      <c r="D22" s="1">
        <v>8</v>
      </c>
      <c r="E22" s="1">
        <v>18.5</v>
      </c>
      <c r="F22" s="1">
        <v>20</v>
      </c>
      <c r="G22" s="1">
        <v>21.4</v>
      </c>
      <c r="H22" s="1">
        <v>20.3</v>
      </c>
      <c r="I22" s="1">
        <v>21</v>
      </c>
      <c r="J22" s="1">
        <v>19</v>
      </c>
      <c r="K22" s="1"/>
      <c r="L22" s="1"/>
      <c r="M22" s="1"/>
      <c r="N22" s="1"/>
      <c r="O22" s="1"/>
      <c r="P22" s="1"/>
    </row>
    <row r="23" spans="3:16">
      <c r="D23" s="1">
        <v>10</v>
      </c>
      <c r="E23" s="1">
        <v>18.2</v>
      </c>
      <c r="F23" s="1">
        <v>20.3</v>
      </c>
      <c r="G23" s="1">
        <v>21</v>
      </c>
      <c r="H23" s="1">
        <v>20</v>
      </c>
      <c r="I23" s="1">
        <v>20.399999999999999</v>
      </c>
      <c r="J23" s="1">
        <v>19.2</v>
      </c>
      <c r="K23" s="1"/>
      <c r="L23" s="1"/>
      <c r="M23" s="1"/>
      <c r="N23" s="1"/>
      <c r="O23" s="1"/>
      <c r="P23" s="1"/>
    </row>
    <row r="24" spans="3:16">
      <c r="D24" s="1">
        <v>12</v>
      </c>
      <c r="E24" s="1">
        <v>18</v>
      </c>
      <c r="F24" s="1">
        <v>20.5</v>
      </c>
      <c r="G24" s="1">
        <v>21.6</v>
      </c>
      <c r="H24" s="1">
        <v>20.6</v>
      </c>
      <c r="I24" s="1">
        <v>20.8</v>
      </c>
      <c r="J24" s="1">
        <v>19.5</v>
      </c>
      <c r="K24" s="1"/>
      <c r="L24" s="1"/>
      <c r="M24" s="1"/>
      <c r="N24" s="1"/>
      <c r="O24" s="1"/>
      <c r="P24" s="1"/>
    </row>
    <row r="25" spans="3:16">
      <c r="D25" s="1">
        <v>14</v>
      </c>
      <c r="E25" s="1">
        <v>18.5</v>
      </c>
      <c r="F25" s="1">
        <v>20.100000000000001</v>
      </c>
      <c r="G25" s="1">
        <v>21.2</v>
      </c>
      <c r="H25" s="1">
        <v>20.9</v>
      </c>
      <c r="I25" s="1">
        <v>21.4</v>
      </c>
      <c r="J25" s="1">
        <v>19.600000000000001</v>
      </c>
      <c r="K25" s="1"/>
      <c r="L25" s="1"/>
      <c r="M25" s="1"/>
      <c r="N25" s="1"/>
      <c r="O25" s="1"/>
      <c r="P25" s="1"/>
    </row>
    <row r="29" spans="3:16">
      <c r="C29" s="9" t="s">
        <v>34</v>
      </c>
      <c r="D29" s="2"/>
      <c r="E29" s="39" t="s">
        <v>170</v>
      </c>
      <c r="F29" s="39"/>
      <c r="G29" s="39"/>
      <c r="H29" s="39" t="s">
        <v>171</v>
      </c>
      <c r="I29" s="39"/>
      <c r="J29" s="39"/>
      <c r="K29" s="39" t="s">
        <v>172</v>
      </c>
      <c r="L29" s="39"/>
      <c r="M29" s="39"/>
      <c r="N29" s="39" t="s">
        <v>173</v>
      </c>
      <c r="O29" s="39"/>
      <c r="P29" s="39"/>
    </row>
    <row r="30" spans="3:16">
      <c r="D30" s="1">
        <v>1</v>
      </c>
      <c r="E30" s="1">
        <v>20.8</v>
      </c>
      <c r="F30" s="1">
        <v>21.4</v>
      </c>
      <c r="G30" s="1">
        <v>22.6</v>
      </c>
      <c r="H30" s="1">
        <v>19.8</v>
      </c>
      <c r="I30" s="1">
        <v>22.3</v>
      </c>
      <c r="J30" s="1">
        <v>18.100000000000001</v>
      </c>
      <c r="K30" s="1">
        <v>21.3</v>
      </c>
      <c r="L30" s="1">
        <v>19.600000000000001</v>
      </c>
      <c r="M30" s="1">
        <v>22.1</v>
      </c>
      <c r="N30" s="1">
        <v>21.8</v>
      </c>
      <c r="O30" s="1">
        <v>22.4</v>
      </c>
      <c r="P30" s="1">
        <v>19.5</v>
      </c>
    </row>
    <row r="31" spans="3:16">
      <c r="D31" s="1">
        <v>2</v>
      </c>
      <c r="E31" s="1">
        <v>20.399999999999999</v>
      </c>
      <c r="F31" s="1">
        <v>21.3</v>
      </c>
      <c r="G31" s="1">
        <v>22.4</v>
      </c>
      <c r="H31" s="1">
        <v>19.3</v>
      </c>
      <c r="I31" s="1">
        <v>22</v>
      </c>
      <c r="J31" s="1">
        <v>17.2</v>
      </c>
      <c r="K31" s="1">
        <v>20</v>
      </c>
      <c r="L31" s="1">
        <v>18.2</v>
      </c>
      <c r="M31" s="1">
        <v>20.100000000000001</v>
      </c>
      <c r="N31" s="1">
        <v>20.3</v>
      </c>
      <c r="O31" s="1">
        <v>20.399999999999999</v>
      </c>
      <c r="P31" s="1">
        <v>17.600000000000001</v>
      </c>
    </row>
    <row r="32" spans="3:16">
      <c r="D32" s="1">
        <v>4</v>
      </c>
      <c r="E32" s="1">
        <v>20.100000000000001</v>
      </c>
      <c r="F32" s="1">
        <v>21.2</v>
      </c>
      <c r="G32" s="1">
        <v>22.2</v>
      </c>
      <c r="H32" s="1">
        <v>18.600000000000001</v>
      </c>
      <c r="I32" s="1">
        <v>21.5</v>
      </c>
      <c r="J32" s="1">
        <v>17</v>
      </c>
      <c r="K32" s="1">
        <v>19.3</v>
      </c>
      <c r="L32" s="1">
        <v>17.399999999999999</v>
      </c>
      <c r="M32" s="1">
        <v>19.2</v>
      </c>
      <c r="N32" s="1">
        <v>18.399999999999999</v>
      </c>
      <c r="O32" s="1">
        <v>17.600000000000001</v>
      </c>
      <c r="P32" s="1">
        <v>16.100000000000001</v>
      </c>
    </row>
    <row r="33" spans="3:16">
      <c r="D33" s="1">
        <v>6</v>
      </c>
      <c r="E33" s="1">
        <v>19.600000000000001</v>
      </c>
      <c r="F33" s="1">
        <v>20.7</v>
      </c>
      <c r="G33" s="1">
        <v>22.4</v>
      </c>
      <c r="H33" s="1">
        <v>18.2</v>
      </c>
      <c r="I33" s="1">
        <v>21.3</v>
      </c>
      <c r="J33" s="1">
        <v>17.600000000000001</v>
      </c>
      <c r="K33" s="1">
        <v>18.2</v>
      </c>
      <c r="L33" s="1">
        <v>16.2</v>
      </c>
      <c r="M33" s="1">
        <v>17.399999999999999</v>
      </c>
      <c r="N33" s="1"/>
      <c r="O33" s="1"/>
      <c r="P33" s="1"/>
    </row>
    <row r="34" spans="3:16">
      <c r="D34" s="1">
        <v>8</v>
      </c>
      <c r="E34" s="1">
        <v>19.899999999999999</v>
      </c>
      <c r="F34" s="1">
        <v>20.5</v>
      </c>
      <c r="G34" s="1">
        <v>22.2</v>
      </c>
      <c r="H34" s="1">
        <v>18.600000000000001</v>
      </c>
      <c r="I34" s="1">
        <v>21.4</v>
      </c>
      <c r="J34" s="1">
        <v>17.899999999999999</v>
      </c>
      <c r="K34" s="1"/>
      <c r="L34" s="1"/>
      <c r="M34" s="1"/>
      <c r="N34" s="1"/>
      <c r="O34" s="1"/>
      <c r="P34" s="1"/>
    </row>
    <row r="35" spans="3:16">
      <c r="D35" s="1">
        <v>10</v>
      </c>
      <c r="E35" s="1">
        <v>20.2</v>
      </c>
      <c r="F35" s="1">
        <v>20.9</v>
      </c>
      <c r="G35" s="1">
        <v>22.4</v>
      </c>
      <c r="H35" s="1">
        <v>19</v>
      </c>
      <c r="I35" s="1">
        <v>21.6</v>
      </c>
      <c r="J35" s="1">
        <v>17.7</v>
      </c>
      <c r="K35" s="1"/>
      <c r="L35" s="1"/>
      <c r="M35" s="1"/>
      <c r="N35" s="1"/>
      <c r="O35" s="1"/>
      <c r="P35" s="1"/>
    </row>
    <row r="36" spans="3:16">
      <c r="D36" s="1">
        <v>12</v>
      </c>
      <c r="E36" s="1">
        <v>20</v>
      </c>
      <c r="F36" s="1">
        <v>21.1</v>
      </c>
      <c r="G36" s="1">
        <v>22.5</v>
      </c>
      <c r="H36" s="1">
        <v>19.600000000000001</v>
      </c>
      <c r="I36" s="1">
        <v>21.4</v>
      </c>
      <c r="J36" s="1">
        <v>17.600000000000001</v>
      </c>
      <c r="K36" s="1"/>
      <c r="L36" s="1"/>
      <c r="M36" s="1"/>
      <c r="N36" s="1"/>
      <c r="O36" s="1"/>
      <c r="P36" s="1"/>
    </row>
    <row r="37" spans="3:16">
      <c r="D37" s="1">
        <v>14</v>
      </c>
      <c r="E37" s="1">
        <v>20.6</v>
      </c>
      <c r="F37" s="1">
        <v>21.2</v>
      </c>
      <c r="G37" s="1">
        <v>22.3</v>
      </c>
      <c r="H37" s="1">
        <v>19.399999999999999</v>
      </c>
      <c r="I37" s="1">
        <v>21.1</v>
      </c>
      <c r="J37" s="1">
        <v>17.2</v>
      </c>
      <c r="K37" s="1"/>
      <c r="L37" s="1"/>
      <c r="M37" s="1"/>
      <c r="N37" s="1"/>
      <c r="O37" s="1"/>
      <c r="P37" s="1"/>
    </row>
    <row r="41" spans="3:16">
      <c r="C41" s="9" t="s">
        <v>174</v>
      </c>
      <c r="D41" s="2"/>
      <c r="E41" s="39" t="s">
        <v>175</v>
      </c>
      <c r="F41" s="39"/>
      <c r="G41" s="39"/>
      <c r="H41" s="39" t="s">
        <v>176</v>
      </c>
      <c r="I41" s="39"/>
      <c r="J41" s="39"/>
      <c r="K41" s="39" t="s">
        <v>177</v>
      </c>
      <c r="L41" s="39"/>
      <c r="M41" s="39"/>
    </row>
    <row r="42" spans="3:16">
      <c r="D42" s="1">
        <v>1</v>
      </c>
      <c r="E42" s="1">
        <v>18.600000000000001</v>
      </c>
      <c r="F42" s="1">
        <v>20.6</v>
      </c>
      <c r="G42" s="1">
        <v>18.399999999999999</v>
      </c>
      <c r="H42" s="1">
        <v>22.3</v>
      </c>
      <c r="I42" s="1">
        <v>18.2</v>
      </c>
      <c r="J42" s="1">
        <v>20.399999999999999</v>
      </c>
      <c r="K42" s="1">
        <v>22.3</v>
      </c>
      <c r="L42" s="1">
        <v>18.600000000000001</v>
      </c>
      <c r="M42" s="1">
        <v>22.4</v>
      </c>
    </row>
    <row r="43" spans="3:16">
      <c r="D43" s="1">
        <v>2</v>
      </c>
      <c r="E43" s="1">
        <v>18.7</v>
      </c>
      <c r="F43" s="1">
        <v>20.8</v>
      </c>
      <c r="G43" s="1">
        <v>18.3</v>
      </c>
      <c r="H43" s="1">
        <v>22.5</v>
      </c>
      <c r="I43" s="1">
        <v>18.600000000000001</v>
      </c>
      <c r="J43" s="1">
        <v>20.7</v>
      </c>
      <c r="K43" s="1">
        <v>21.3</v>
      </c>
      <c r="L43" s="1">
        <v>17.2</v>
      </c>
      <c r="M43" s="1">
        <v>21.3</v>
      </c>
    </row>
    <row r="44" spans="3:16">
      <c r="D44" s="1">
        <v>4</v>
      </c>
      <c r="E44" s="1">
        <v>18.600000000000001</v>
      </c>
      <c r="F44" s="1">
        <v>20.5</v>
      </c>
      <c r="G44" s="1">
        <v>18.7</v>
      </c>
      <c r="H44" s="1">
        <v>22.3</v>
      </c>
      <c r="I44" s="1">
        <v>18.899999999999999</v>
      </c>
      <c r="J44" s="1">
        <v>20.399999999999999</v>
      </c>
      <c r="K44" s="1">
        <v>20.399999999999999</v>
      </c>
      <c r="L44" s="1">
        <v>16.2</v>
      </c>
      <c r="M44" s="1">
        <v>20.399999999999999</v>
      </c>
    </row>
    <row r="45" spans="3:16">
      <c r="D45" s="1">
        <v>6</v>
      </c>
      <c r="E45" s="1">
        <v>18.5</v>
      </c>
      <c r="F45" s="1">
        <v>20.6</v>
      </c>
      <c r="G45" s="1">
        <v>18.8</v>
      </c>
      <c r="H45" s="1">
        <v>22.8</v>
      </c>
      <c r="I45" s="1">
        <v>19.100000000000001</v>
      </c>
      <c r="J45" s="1">
        <v>20.6</v>
      </c>
      <c r="K45" s="1">
        <v>18.600000000000001</v>
      </c>
      <c r="L45" s="1">
        <v>15.3</v>
      </c>
      <c r="M45" s="1">
        <v>19.600000000000001</v>
      </c>
    </row>
    <row r="46" spans="3:16">
      <c r="D46" s="1">
        <v>8</v>
      </c>
      <c r="E46" s="1">
        <v>18.8</v>
      </c>
      <c r="F46" s="1">
        <v>20.7</v>
      </c>
      <c r="G46" s="1">
        <v>18.899999999999999</v>
      </c>
      <c r="H46" s="1">
        <v>22.7</v>
      </c>
      <c r="I46" s="1">
        <v>19.2</v>
      </c>
      <c r="J46" s="1">
        <v>20.399999999999999</v>
      </c>
      <c r="K46" s="1"/>
      <c r="L46" s="1"/>
      <c r="M46" s="1"/>
    </row>
    <row r="47" spans="3:16">
      <c r="D47" s="1">
        <v>10</v>
      </c>
      <c r="E47" s="1">
        <v>18.899999999999999</v>
      </c>
      <c r="F47" s="1">
        <v>20.9</v>
      </c>
      <c r="G47" s="1">
        <v>18.7</v>
      </c>
      <c r="H47" s="1">
        <v>22.8</v>
      </c>
      <c r="I47" s="1">
        <v>19.3</v>
      </c>
      <c r="J47" s="1">
        <v>20.5</v>
      </c>
      <c r="K47" s="1"/>
      <c r="L47" s="1"/>
      <c r="M47" s="1"/>
    </row>
    <row r="48" spans="3:16">
      <c r="D48" s="1">
        <v>12</v>
      </c>
      <c r="E48" s="1">
        <v>18.399999999999999</v>
      </c>
      <c r="F48" s="1">
        <v>20.6</v>
      </c>
      <c r="G48" s="1">
        <v>18.399999999999999</v>
      </c>
      <c r="H48" s="1">
        <v>22.9</v>
      </c>
      <c r="I48" s="1">
        <v>19.5</v>
      </c>
      <c r="J48" s="1">
        <v>20.8</v>
      </c>
      <c r="K48" s="1"/>
      <c r="L48" s="1"/>
      <c r="M48" s="1"/>
    </row>
    <row r="49" spans="4:13">
      <c r="D49" s="1">
        <v>14</v>
      </c>
      <c r="E49" s="1">
        <v>18.8</v>
      </c>
      <c r="F49" s="1">
        <v>20.8</v>
      </c>
      <c r="G49" s="1">
        <v>18.600000000000001</v>
      </c>
      <c r="H49" s="1">
        <v>22.8</v>
      </c>
      <c r="I49" s="1">
        <v>19.600000000000001</v>
      </c>
      <c r="J49" s="1">
        <v>20.7</v>
      </c>
      <c r="K49" s="1"/>
      <c r="L49" s="1"/>
      <c r="M49" s="1"/>
    </row>
  </sheetData>
  <mergeCells count="16">
    <mergeCell ref="E41:G41"/>
    <mergeCell ref="H41:J41"/>
    <mergeCell ref="K41:M41"/>
    <mergeCell ref="Q5:S5"/>
    <mergeCell ref="E29:G29"/>
    <mergeCell ref="H29:J29"/>
    <mergeCell ref="K29:M29"/>
    <mergeCell ref="N29:P29"/>
    <mergeCell ref="E17:G17"/>
    <mergeCell ref="H17:J17"/>
    <mergeCell ref="K17:M17"/>
    <mergeCell ref="N17:P17"/>
    <mergeCell ref="E5:G5"/>
    <mergeCell ref="H5:J5"/>
    <mergeCell ref="K5:M5"/>
    <mergeCell ref="N5:P5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D4051-EDC8-4F28-AAFB-E705A5CA96EB}">
  <dimension ref="D4:R5"/>
  <sheetViews>
    <sheetView workbookViewId="0">
      <selection activeCell="H41" sqref="H41:J41"/>
    </sheetView>
  </sheetViews>
  <sheetFormatPr defaultRowHeight="14.4"/>
  <sheetData>
    <row r="4" spans="4:18">
      <c r="D4" s="39" t="s">
        <v>141</v>
      </c>
      <c r="E4" s="39"/>
      <c r="F4" s="39"/>
      <c r="G4" s="39" t="s">
        <v>19</v>
      </c>
      <c r="H4" s="39"/>
      <c r="I4" s="39"/>
      <c r="J4" s="39" t="s">
        <v>21</v>
      </c>
      <c r="K4" s="39"/>
      <c r="L4" s="39"/>
      <c r="M4" s="39" t="s">
        <v>28</v>
      </c>
      <c r="N4" s="39"/>
      <c r="O4" s="39"/>
      <c r="P4" s="39" t="s">
        <v>153</v>
      </c>
      <c r="Q4" s="39"/>
      <c r="R4" s="39"/>
    </row>
    <row r="5" spans="4:18">
      <c r="D5" s="1">
        <v>1</v>
      </c>
      <c r="E5" s="1">
        <v>1</v>
      </c>
      <c r="F5" s="1">
        <v>0</v>
      </c>
      <c r="G5" s="1">
        <v>1</v>
      </c>
      <c r="H5" s="1">
        <v>1</v>
      </c>
      <c r="I5" s="1">
        <v>2</v>
      </c>
      <c r="J5" s="1">
        <v>1</v>
      </c>
      <c r="K5" s="1">
        <v>0</v>
      </c>
      <c r="L5" s="1">
        <v>2</v>
      </c>
      <c r="M5" s="1">
        <v>1</v>
      </c>
      <c r="N5" s="1">
        <v>2</v>
      </c>
      <c r="O5" s="1">
        <v>2</v>
      </c>
      <c r="P5" s="1">
        <v>3</v>
      </c>
      <c r="Q5" s="1">
        <v>4</v>
      </c>
      <c r="R5" s="1">
        <v>4</v>
      </c>
    </row>
  </sheetData>
  <mergeCells count="5">
    <mergeCell ref="D4:F4"/>
    <mergeCell ref="G4:I4"/>
    <mergeCell ref="J4:L4"/>
    <mergeCell ref="M4:O4"/>
    <mergeCell ref="P4:R4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3DCF-4DC7-46E0-B08A-855840F34F77}">
  <dimension ref="D5:R6"/>
  <sheetViews>
    <sheetView workbookViewId="0">
      <selection activeCell="H41" sqref="H41:J41"/>
    </sheetView>
  </sheetViews>
  <sheetFormatPr defaultRowHeight="14.4"/>
  <sheetData>
    <row r="5" spans="4:18">
      <c r="D5" s="39" t="s">
        <v>141</v>
      </c>
      <c r="E5" s="39"/>
      <c r="F5" s="39"/>
      <c r="G5" s="39" t="s">
        <v>19</v>
      </c>
      <c r="H5" s="39"/>
      <c r="I5" s="39"/>
      <c r="J5" s="39" t="s">
        <v>21</v>
      </c>
      <c r="K5" s="39"/>
      <c r="L5" s="39"/>
      <c r="M5" s="39" t="s">
        <v>28</v>
      </c>
      <c r="N5" s="39"/>
      <c r="O5" s="39"/>
      <c r="P5" s="39" t="s">
        <v>153</v>
      </c>
      <c r="Q5" s="39"/>
      <c r="R5" s="39"/>
    </row>
    <row r="6" spans="4:18">
      <c r="D6" s="1">
        <v>1</v>
      </c>
      <c r="E6" s="1">
        <v>2</v>
      </c>
      <c r="F6" s="1">
        <v>2</v>
      </c>
      <c r="G6" s="1">
        <v>2</v>
      </c>
      <c r="H6" s="1">
        <v>1</v>
      </c>
      <c r="I6" s="1">
        <v>3</v>
      </c>
      <c r="J6" s="1">
        <v>1</v>
      </c>
      <c r="K6" s="1">
        <v>3</v>
      </c>
      <c r="L6" s="1">
        <v>1</v>
      </c>
      <c r="M6" s="1">
        <v>3</v>
      </c>
      <c r="N6" s="1">
        <v>2</v>
      </c>
      <c r="O6" s="1">
        <v>2</v>
      </c>
      <c r="P6" s="1">
        <v>4</v>
      </c>
      <c r="Q6" s="1">
        <v>5</v>
      </c>
      <c r="R6" s="1">
        <v>4</v>
      </c>
    </row>
  </sheetData>
  <mergeCells count="5">
    <mergeCell ref="D5:F5"/>
    <mergeCell ref="G5:I5"/>
    <mergeCell ref="J5:L5"/>
    <mergeCell ref="M5:O5"/>
    <mergeCell ref="P5:R5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92239-2036-486D-885E-1C0D7103C551}">
  <dimension ref="C5:R9"/>
  <sheetViews>
    <sheetView workbookViewId="0">
      <selection activeCell="H41" sqref="H41:J41"/>
    </sheetView>
  </sheetViews>
  <sheetFormatPr defaultRowHeight="14.4"/>
  <cols>
    <col min="3" max="3" width="19.68359375" customWidth="1"/>
  </cols>
  <sheetData>
    <row r="5" spans="3:18">
      <c r="C5" s="7" t="s">
        <v>168</v>
      </c>
      <c r="D5" s="39" t="s">
        <v>6</v>
      </c>
      <c r="E5" s="39"/>
      <c r="F5" s="39"/>
      <c r="G5" s="39" t="s">
        <v>19</v>
      </c>
      <c r="H5" s="39"/>
      <c r="I5" s="39"/>
      <c r="J5" s="39" t="s">
        <v>21</v>
      </c>
      <c r="K5" s="39"/>
      <c r="L5" s="39"/>
      <c r="M5" s="39" t="s">
        <v>34</v>
      </c>
      <c r="N5" s="39"/>
      <c r="O5" s="39"/>
      <c r="P5" s="39" t="s">
        <v>174</v>
      </c>
      <c r="Q5" s="39"/>
      <c r="R5" s="39"/>
    </row>
    <row r="6" spans="3:18">
      <c r="D6" s="1">
        <v>1059</v>
      </c>
      <c r="E6" s="1">
        <v>1661</v>
      </c>
      <c r="F6" s="1">
        <v>1809</v>
      </c>
      <c r="G6" s="1">
        <v>708</v>
      </c>
      <c r="H6" s="1">
        <v>1342</v>
      </c>
      <c r="I6" s="1">
        <v>1656</v>
      </c>
      <c r="J6" s="1">
        <v>1595</v>
      </c>
      <c r="K6" s="1">
        <v>1123</v>
      </c>
      <c r="L6" s="1">
        <v>1223</v>
      </c>
      <c r="M6" s="1">
        <v>1218</v>
      </c>
      <c r="N6" s="1">
        <v>1367</v>
      </c>
      <c r="O6" s="1">
        <v>961</v>
      </c>
      <c r="P6" s="1">
        <v>363</v>
      </c>
      <c r="Q6" s="1">
        <v>435</v>
      </c>
      <c r="R6" s="1">
        <v>1229</v>
      </c>
    </row>
    <row r="8" spans="3:18">
      <c r="C8" s="7" t="s">
        <v>169</v>
      </c>
      <c r="D8" s="39" t="s">
        <v>6</v>
      </c>
      <c r="E8" s="39"/>
      <c r="F8" s="39"/>
      <c r="G8" s="39" t="s">
        <v>19</v>
      </c>
      <c r="H8" s="39"/>
      <c r="I8" s="39"/>
      <c r="J8" s="39" t="s">
        <v>21</v>
      </c>
      <c r="K8" s="39"/>
      <c r="L8" s="39"/>
      <c r="M8" s="39" t="s">
        <v>34</v>
      </c>
      <c r="N8" s="39"/>
      <c r="O8" s="39"/>
      <c r="P8" s="39" t="s">
        <v>174</v>
      </c>
      <c r="Q8" s="39"/>
      <c r="R8" s="39"/>
    </row>
    <row r="9" spans="3:18">
      <c r="D9" s="1">
        <v>5.9</v>
      </c>
      <c r="E9" s="1">
        <v>5.7</v>
      </c>
      <c r="F9" s="1">
        <v>6</v>
      </c>
      <c r="G9" s="1">
        <v>7.2</v>
      </c>
      <c r="H9" s="1">
        <v>6.3</v>
      </c>
      <c r="I9" s="1">
        <v>6.2</v>
      </c>
      <c r="J9" s="1">
        <v>6.2</v>
      </c>
      <c r="K9" s="1">
        <v>5.8</v>
      </c>
      <c r="L9" s="1">
        <v>6.2</v>
      </c>
      <c r="M9" s="1">
        <v>5.8</v>
      </c>
      <c r="N9" s="1">
        <v>5.9</v>
      </c>
      <c r="O9" s="1">
        <v>5.5</v>
      </c>
      <c r="P9" s="1">
        <v>7</v>
      </c>
      <c r="Q9" s="1">
        <v>7.1</v>
      </c>
      <c r="R9" s="1">
        <v>6.5</v>
      </c>
    </row>
  </sheetData>
  <mergeCells count="10">
    <mergeCell ref="D8:F8"/>
    <mergeCell ref="G8:I8"/>
    <mergeCell ref="J8:L8"/>
    <mergeCell ref="M8:O8"/>
    <mergeCell ref="P8:R8"/>
    <mergeCell ref="D5:F5"/>
    <mergeCell ref="G5:I5"/>
    <mergeCell ref="J5:L5"/>
    <mergeCell ref="M5:O5"/>
    <mergeCell ref="P5:R5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C08BF-B94F-41C3-9758-90638D72B54C}">
  <dimension ref="C4:R23"/>
  <sheetViews>
    <sheetView workbookViewId="0">
      <selection activeCell="H41" sqref="H41:J41"/>
    </sheetView>
  </sheetViews>
  <sheetFormatPr defaultRowHeight="14.4"/>
  <cols>
    <col min="3" max="3" width="13.734375" customWidth="1"/>
  </cols>
  <sheetData>
    <row r="4" spans="3:18">
      <c r="C4" s="7" t="s">
        <v>155</v>
      </c>
      <c r="D4" s="39" t="s">
        <v>6</v>
      </c>
      <c r="E4" s="39"/>
      <c r="F4" s="39"/>
      <c r="G4" s="39" t="s">
        <v>19</v>
      </c>
      <c r="H4" s="39"/>
      <c r="I4" s="39"/>
      <c r="J4" s="39" t="s">
        <v>21</v>
      </c>
      <c r="K4" s="39"/>
      <c r="L4" s="39"/>
      <c r="M4" s="39" t="s">
        <v>34</v>
      </c>
      <c r="N4" s="39"/>
      <c r="O4" s="39"/>
      <c r="P4" s="39" t="s">
        <v>174</v>
      </c>
      <c r="Q4" s="39"/>
      <c r="R4" s="39"/>
    </row>
    <row r="5" spans="3:18">
      <c r="D5" s="1">
        <v>127</v>
      </c>
      <c r="E5" s="1">
        <v>171</v>
      </c>
      <c r="F5" s="1">
        <v>155</v>
      </c>
      <c r="G5" s="1">
        <v>122</v>
      </c>
      <c r="H5" s="1">
        <v>138</v>
      </c>
      <c r="I5" s="1">
        <v>155</v>
      </c>
      <c r="J5" s="1">
        <v>150</v>
      </c>
      <c r="K5" s="1">
        <v>145</v>
      </c>
      <c r="L5" s="1">
        <v>147</v>
      </c>
      <c r="M5" s="1">
        <v>147</v>
      </c>
      <c r="N5" s="1">
        <v>141</v>
      </c>
      <c r="O5" s="1">
        <v>132</v>
      </c>
      <c r="P5" s="1">
        <v>108</v>
      </c>
      <c r="Q5" s="1">
        <v>105</v>
      </c>
      <c r="R5" s="1">
        <v>12</v>
      </c>
    </row>
    <row r="8" spans="3:18">
      <c r="C8" s="7" t="s">
        <v>156</v>
      </c>
      <c r="D8" s="39" t="s">
        <v>6</v>
      </c>
      <c r="E8" s="39"/>
      <c r="F8" s="39"/>
      <c r="G8" s="39" t="s">
        <v>19</v>
      </c>
      <c r="H8" s="39"/>
      <c r="I8" s="39"/>
      <c r="J8" s="39" t="s">
        <v>21</v>
      </c>
      <c r="K8" s="39"/>
      <c r="L8" s="39"/>
      <c r="M8" s="39" t="s">
        <v>34</v>
      </c>
      <c r="N8" s="39"/>
      <c r="O8" s="39"/>
      <c r="P8" s="39" t="s">
        <v>174</v>
      </c>
      <c r="Q8" s="39"/>
      <c r="R8" s="39"/>
    </row>
    <row r="9" spans="3:18">
      <c r="D9" s="1">
        <v>36</v>
      </c>
      <c r="E9" s="1">
        <v>38</v>
      </c>
      <c r="F9" s="1">
        <v>29</v>
      </c>
      <c r="G9" s="1">
        <v>48</v>
      </c>
      <c r="H9" s="1">
        <v>55</v>
      </c>
      <c r="I9" s="1">
        <v>38</v>
      </c>
      <c r="J9" s="1">
        <v>37</v>
      </c>
      <c r="K9" s="1">
        <v>32</v>
      </c>
      <c r="L9" s="1">
        <v>37</v>
      </c>
      <c r="M9" s="1">
        <v>25</v>
      </c>
      <c r="N9" s="1">
        <v>38</v>
      </c>
      <c r="O9" s="1">
        <v>13</v>
      </c>
      <c r="P9" s="1">
        <v>64</v>
      </c>
      <c r="Q9" s="1">
        <v>107</v>
      </c>
      <c r="R9" s="1">
        <v>83</v>
      </c>
    </row>
    <row r="12" spans="3:18">
      <c r="C12" s="7" t="s">
        <v>157</v>
      </c>
      <c r="D12" s="39" t="s">
        <v>6</v>
      </c>
      <c r="E12" s="39"/>
      <c r="F12" s="39"/>
      <c r="G12" s="39" t="s">
        <v>19</v>
      </c>
      <c r="H12" s="39"/>
      <c r="I12" s="39"/>
      <c r="J12" s="39" t="s">
        <v>21</v>
      </c>
      <c r="K12" s="39"/>
      <c r="L12" s="39"/>
      <c r="M12" s="39" t="s">
        <v>34</v>
      </c>
      <c r="N12" s="39"/>
      <c r="O12" s="39"/>
      <c r="P12" s="39" t="s">
        <v>174</v>
      </c>
      <c r="Q12" s="39"/>
      <c r="R12" s="39"/>
    </row>
    <row r="13" spans="3:18">
      <c r="C13" s="7"/>
      <c r="D13" s="1">
        <v>122</v>
      </c>
      <c r="E13" s="1">
        <v>97</v>
      </c>
      <c r="F13" s="1">
        <v>66</v>
      </c>
      <c r="G13" s="1">
        <v>65</v>
      </c>
      <c r="H13" s="1">
        <v>118</v>
      </c>
      <c r="I13" s="1">
        <v>143</v>
      </c>
      <c r="J13" s="1">
        <v>124</v>
      </c>
      <c r="K13" s="1">
        <v>54</v>
      </c>
      <c r="L13" s="1">
        <v>64</v>
      </c>
      <c r="M13" s="1">
        <v>54</v>
      </c>
      <c r="N13" s="1">
        <v>97</v>
      </c>
      <c r="O13" s="1">
        <v>79</v>
      </c>
      <c r="P13" s="1">
        <v>37</v>
      </c>
      <c r="Q13" s="1">
        <v>54</v>
      </c>
      <c r="R13" s="1">
        <v>13</v>
      </c>
    </row>
    <row r="15" spans="3:18">
      <c r="C15" s="7" t="s">
        <v>43</v>
      </c>
      <c r="D15" s="39" t="s">
        <v>6</v>
      </c>
      <c r="E15" s="39"/>
      <c r="F15" s="39"/>
      <c r="G15" s="39" t="s">
        <v>19</v>
      </c>
      <c r="H15" s="39"/>
      <c r="I15" s="39"/>
      <c r="J15" s="39" t="s">
        <v>21</v>
      </c>
      <c r="K15" s="39"/>
      <c r="L15" s="39"/>
      <c r="M15" s="39" t="s">
        <v>34</v>
      </c>
      <c r="N15" s="39"/>
      <c r="O15" s="39"/>
      <c r="P15" s="39" t="s">
        <v>174</v>
      </c>
      <c r="Q15" s="39"/>
      <c r="R15" s="39"/>
    </row>
    <row r="16" spans="3:18">
      <c r="D16" s="1">
        <v>0.6</v>
      </c>
      <c r="E16" s="1">
        <v>0.9</v>
      </c>
      <c r="F16" s="1">
        <v>1</v>
      </c>
      <c r="G16" s="1">
        <v>0.6</v>
      </c>
      <c r="H16" s="1">
        <v>0.5</v>
      </c>
      <c r="I16" s="1">
        <v>1</v>
      </c>
      <c r="J16" s="1">
        <v>0.1</v>
      </c>
      <c r="K16" s="1">
        <v>0.8</v>
      </c>
      <c r="L16" s="1">
        <v>0.9</v>
      </c>
      <c r="M16" s="1">
        <v>0.6</v>
      </c>
      <c r="N16" s="1">
        <v>0.6</v>
      </c>
      <c r="O16" s="1">
        <v>0.8</v>
      </c>
      <c r="P16" s="1">
        <v>0.8</v>
      </c>
      <c r="Q16" s="1">
        <v>2.6</v>
      </c>
      <c r="R16" s="1">
        <v>0.1</v>
      </c>
    </row>
    <row r="18" spans="3:18">
      <c r="C18" s="7" t="s">
        <v>158</v>
      </c>
      <c r="D18" s="39" t="s">
        <v>6</v>
      </c>
      <c r="E18" s="39"/>
      <c r="F18" s="39"/>
      <c r="G18" s="39" t="s">
        <v>19</v>
      </c>
      <c r="H18" s="39"/>
      <c r="I18" s="39"/>
      <c r="J18" s="39" t="s">
        <v>21</v>
      </c>
      <c r="K18" s="39"/>
      <c r="L18" s="39"/>
      <c r="M18" s="39" t="s">
        <v>34</v>
      </c>
      <c r="N18" s="39"/>
      <c r="O18" s="39"/>
      <c r="P18" s="39" t="s">
        <v>174</v>
      </c>
      <c r="Q18" s="39"/>
      <c r="R18" s="39"/>
    </row>
    <row r="19" spans="3:18">
      <c r="D19" s="1">
        <v>21.2</v>
      </c>
      <c r="E19" s="1">
        <v>20.6</v>
      </c>
      <c r="F19" s="1">
        <v>23.9</v>
      </c>
      <c r="G19" s="1">
        <v>16.100000000000001</v>
      </c>
      <c r="H19" s="1">
        <v>16.100000000000001</v>
      </c>
      <c r="I19" s="1">
        <v>23.8</v>
      </c>
      <c r="J19" s="1">
        <v>17.600000000000001</v>
      </c>
      <c r="K19" s="1">
        <v>18.3</v>
      </c>
      <c r="L19" s="1">
        <v>16.5</v>
      </c>
      <c r="M19" s="1">
        <v>19.600000000000001</v>
      </c>
      <c r="N19" s="1">
        <v>18.8</v>
      </c>
      <c r="O19" s="1">
        <v>28.3</v>
      </c>
      <c r="P19" s="1">
        <v>19.100000000000001</v>
      </c>
      <c r="Q19" s="1">
        <v>20.7</v>
      </c>
      <c r="R19" s="1">
        <v>3</v>
      </c>
    </row>
    <row r="22" spans="3:18">
      <c r="C22" s="7" t="s">
        <v>159</v>
      </c>
      <c r="D22" s="39" t="s">
        <v>6</v>
      </c>
      <c r="E22" s="39"/>
      <c r="F22" s="39"/>
      <c r="G22" s="39" t="s">
        <v>19</v>
      </c>
      <c r="H22" s="39"/>
      <c r="I22" s="39"/>
      <c r="J22" s="39" t="s">
        <v>21</v>
      </c>
      <c r="K22" s="39"/>
      <c r="L22" s="39"/>
      <c r="M22" s="39" t="s">
        <v>34</v>
      </c>
      <c r="N22" s="39"/>
      <c r="O22" s="39"/>
      <c r="P22" s="39" t="s">
        <v>174</v>
      </c>
      <c r="Q22" s="39"/>
      <c r="R22" s="39"/>
    </row>
    <row r="23" spans="3:18">
      <c r="D23" s="1">
        <v>6.4</v>
      </c>
      <c r="E23" s="1">
        <v>6.1</v>
      </c>
      <c r="F23" s="1">
        <v>6.2</v>
      </c>
      <c r="G23" s="1">
        <v>6.5</v>
      </c>
      <c r="H23" s="1">
        <v>6.1</v>
      </c>
      <c r="I23" s="1">
        <v>5.6</v>
      </c>
      <c r="J23" s="1">
        <v>5.8</v>
      </c>
      <c r="K23" s="1">
        <v>5.9</v>
      </c>
      <c r="L23" s="1">
        <v>6.3</v>
      </c>
      <c r="M23" s="1">
        <v>5.5</v>
      </c>
      <c r="N23" s="1">
        <v>5.6</v>
      </c>
      <c r="O23" s="1">
        <v>6.4</v>
      </c>
      <c r="P23" s="1">
        <v>5</v>
      </c>
      <c r="Q23" s="1">
        <v>5.2</v>
      </c>
      <c r="R23" s="1">
        <v>0.9</v>
      </c>
    </row>
  </sheetData>
  <mergeCells count="30">
    <mergeCell ref="D15:F15"/>
    <mergeCell ref="G15:I15"/>
    <mergeCell ref="J15:L15"/>
    <mergeCell ref="M15:O15"/>
    <mergeCell ref="P15:R15"/>
    <mergeCell ref="D22:F22"/>
    <mergeCell ref="G22:I22"/>
    <mergeCell ref="J22:L22"/>
    <mergeCell ref="M22:O22"/>
    <mergeCell ref="P22:R22"/>
    <mergeCell ref="D12:F12"/>
    <mergeCell ref="G12:I12"/>
    <mergeCell ref="J12:L12"/>
    <mergeCell ref="M12:O12"/>
    <mergeCell ref="P12:R12"/>
    <mergeCell ref="D18:F18"/>
    <mergeCell ref="G18:I18"/>
    <mergeCell ref="J18:L18"/>
    <mergeCell ref="M18:O18"/>
    <mergeCell ref="P18:R18"/>
    <mergeCell ref="D8:F8"/>
    <mergeCell ref="G8:I8"/>
    <mergeCell ref="J8:L8"/>
    <mergeCell ref="M8:O8"/>
    <mergeCell ref="P8:R8"/>
    <mergeCell ref="D4:F4"/>
    <mergeCell ref="G4:I4"/>
    <mergeCell ref="J4:L4"/>
    <mergeCell ref="M4:O4"/>
    <mergeCell ref="P4:R4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9BA90-20D2-4AB4-8BED-AB3A18B1AADE}">
  <dimension ref="B4:Q20"/>
  <sheetViews>
    <sheetView workbookViewId="0">
      <selection activeCell="H41" sqref="H41:J41"/>
    </sheetView>
  </sheetViews>
  <sheetFormatPr defaultRowHeight="14.4"/>
  <cols>
    <col min="2" max="2" width="19.9453125" customWidth="1"/>
  </cols>
  <sheetData>
    <row r="4" spans="2:17">
      <c r="B4" s="7" t="s">
        <v>45</v>
      </c>
      <c r="C4" s="39" t="s">
        <v>6</v>
      </c>
      <c r="D4" s="39"/>
      <c r="E4" s="39"/>
      <c r="F4" s="39" t="s">
        <v>19</v>
      </c>
      <c r="G4" s="39"/>
      <c r="H4" s="39"/>
      <c r="I4" s="39" t="s">
        <v>21</v>
      </c>
      <c r="J4" s="39"/>
      <c r="K4" s="39"/>
      <c r="L4" s="39" t="s">
        <v>34</v>
      </c>
      <c r="M4" s="39"/>
      <c r="N4" s="39"/>
      <c r="O4" s="39" t="s">
        <v>174</v>
      </c>
      <c r="P4" s="39"/>
      <c r="Q4" s="39"/>
    </row>
    <row r="5" spans="2:17">
      <c r="C5" s="1">
        <v>5.2</v>
      </c>
      <c r="D5" s="1">
        <v>7.96</v>
      </c>
      <c r="E5" s="1">
        <v>5.32</v>
      </c>
      <c r="F5" s="1">
        <v>1.56</v>
      </c>
      <c r="G5" s="1">
        <v>2.44</v>
      </c>
      <c r="H5" s="1">
        <v>4.34</v>
      </c>
      <c r="I5" s="1">
        <v>3.86</v>
      </c>
      <c r="J5" s="1">
        <v>7.14</v>
      </c>
      <c r="K5" s="1">
        <v>6.96</v>
      </c>
      <c r="L5" s="1">
        <v>8.58</v>
      </c>
      <c r="M5" s="1">
        <v>4.62</v>
      </c>
      <c r="N5" s="1">
        <v>6.02</v>
      </c>
      <c r="O5" s="1">
        <v>2.66</v>
      </c>
      <c r="P5" s="1">
        <v>4.24</v>
      </c>
      <c r="Q5" s="1">
        <v>3.1</v>
      </c>
    </row>
    <row r="7" spans="2:17">
      <c r="B7" s="7" t="s">
        <v>160</v>
      </c>
      <c r="C7" s="39" t="s">
        <v>6</v>
      </c>
      <c r="D7" s="39"/>
      <c r="E7" s="39"/>
      <c r="F7" s="39" t="s">
        <v>19</v>
      </c>
      <c r="G7" s="39"/>
      <c r="H7" s="39"/>
      <c r="I7" s="39" t="s">
        <v>21</v>
      </c>
      <c r="J7" s="39"/>
      <c r="K7" s="39"/>
      <c r="L7" s="39" t="s">
        <v>34</v>
      </c>
      <c r="M7" s="39"/>
      <c r="N7" s="39"/>
      <c r="O7" s="39" t="s">
        <v>174</v>
      </c>
      <c r="P7" s="39"/>
      <c r="Q7" s="39"/>
    </row>
    <row r="8" spans="2:17">
      <c r="C8" s="1">
        <v>1.45</v>
      </c>
      <c r="D8" s="1">
        <v>1.99</v>
      </c>
      <c r="E8" s="1">
        <v>1.42</v>
      </c>
      <c r="F8" s="1">
        <v>0.63</v>
      </c>
      <c r="G8" s="1">
        <v>1.05</v>
      </c>
      <c r="H8" s="1">
        <v>0.45</v>
      </c>
      <c r="I8" s="1">
        <v>1.06</v>
      </c>
      <c r="J8" s="1">
        <v>1.72</v>
      </c>
      <c r="K8" s="1">
        <v>1.41</v>
      </c>
      <c r="L8" s="1">
        <v>2.23</v>
      </c>
      <c r="M8" s="1">
        <v>1.26</v>
      </c>
      <c r="N8" s="1">
        <v>1.78</v>
      </c>
      <c r="O8" s="1">
        <v>0.17</v>
      </c>
      <c r="P8" s="1">
        <v>0.36</v>
      </c>
      <c r="Q8" s="1">
        <v>0.8</v>
      </c>
    </row>
    <row r="10" spans="2:17">
      <c r="B10" s="7" t="s">
        <v>161</v>
      </c>
      <c r="C10" s="39" t="s">
        <v>6</v>
      </c>
      <c r="D10" s="39"/>
      <c r="E10" s="39"/>
      <c r="F10" s="39" t="s">
        <v>19</v>
      </c>
      <c r="G10" s="39"/>
      <c r="H10" s="39"/>
      <c r="I10" s="39" t="s">
        <v>21</v>
      </c>
      <c r="J10" s="39"/>
      <c r="K10" s="39"/>
      <c r="L10" s="39" t="s">
        <v>34</v>
      </c>
      <c r="M10" s="39"/>
      <c r="N10" s="39"/>
      <c r="O10" s="39" t="s">
        <v>174</v>
      </c>
      <c r="P10" s="39"/>
      <c r="Q10" s="39"/>
    </row>
    <row r="11" spans="2:17">
      <c r="C11" s="1">
        <v>0.33</v>
      </c>
      <c r="D11" s="1">
        <v>0.39</v>
      </c>
      <c r="E11" s="1">
        <v>0.28999999999999998</v>
      </c>
      <c r="F11" s="1">
        <v>0.16</v>
      </c>
      <c r="G11" s="1">
        <v>0.32</v>
      </c>
      <c r="H11" s="1">
        <v>0.22</v>
      </c>
      <c r="I11" s="1">
        <v>0.18</v>
      </c>
      <c r="J11" s="1">
        <v>0.44</v>
      </c>
      <c r="K11" s="1">
        <v>0.42</v>
      </c>
      <c r="L11" s="1">
        <v>0.39</v>
      </c>
      <c r="M11" s="1">
        <v>0.21</v>
      </c>
      <c r="N11" s="1">
        <v>0.32</v>
      </c>
      <c r="O11" s="1">
        <v>0.13</v>
      </c>
      <c r="P11" s="1">
        <v>0.13</v>
      </c>
      <c r="Q11" s="1">
        <v>0.26</v>
      </c>
    </row>
    <row r="13" spans="2:17">
      <c r="B13" s="7" t="s">
        <v>46</v>
      </c>
      <c r="C13" s="39" t="s">
        <v>6</v>
      </c>
      <c r="D13" s="39"/>
      <c r="E13" s="39"/>
      <c r="F13" s="39" t="s">
        <v>19</v>
      </c>
      <c r="G13" s="39"/>
      <c r="H13" s="39"/>
      <c r="I13" s="39" t="s">
        <v>21</v>
      </c>
      <c r="J13" s="39"/>
      <c r="K13" s="39"/>
      <c r="L13" s="39" t="s">
        <v>34</v>
      </c>
      <c r="M13" s="39"/>
      <c r="N13" s="39"/>
      <c r="O13" s="39" t="s">
        <v>174</v>
      </c>
      <c r="P13" s="39"/>
      <c r="Q13" s="39"/>
    </row>
    <row r="14" spans="2:17">
      <c r="C14" s="1">
        <v>3.19</v>
      </c>
      <c r="D14" s="1">
        <v>5.03</v>
      </c>
      <c r="E14" s="1">
        <v>3.46</v>
      </c>
      <c r="F14" s="1">
        <v>2.65</v>
      </c>
      <c r="G14" s="1">
        <v>1.78</v>
      </c>
      <c r="H14" s="1">
        <v>3.17</v>
      </c>
      <c r="I14" s="1">
        <v>2.58</v>
      </c>
      <c r="J14" s="1">
        <v>4.6399999999999997</v>
      </c>
      <c r="K14" s="1">
        <v>5.08</v>
      </c>
      <c r="L14" s="1">
        <v>5.53</v>
      </c>
      <c r="M14" s="1">
        <v>3.01</v>
      </c>
      <c r="N14" s="1">
        <v>3.57</v>
      </c>
      <c r="O14" s="1">
        <v>1.72</v>
      </c>
      <c r="P14" s="1">
        <v>1.17</v>
      </c>
      <c r="Q14" s="1">
        <v>2.37</v>
      </c>
    </row>
    <row r="16" spans="2:17">
      <c r="B16" s="7" t="s">
        <v>162</v>
      </c>
      <c r="C16" s="39" t="s">
        <v>6</v>
      </c>
      <c r="D16" s="39"/>
      <c r="E16" s="39"/>
      <c r="F16" s="39" t="s">
        <v>19</v>
      </c>
      <c r="G16" s="39"/>
      <c r="H16" s="39"/>
      <c r="I16" s="39" t="s">
        <v>21</v>
      </c>
      <c r="J16" s="39"/>
      <c r="K16" s="39"/>
      <c r="L16" s="39" t="s">
        <v>34</v>
      </c>
      <c r="M16" s="39"/>
      <c r="N16" s="39"/>
      <c r="O16" s="39" t="s">
        <v>174</v>
      </c>
      <c r="P16" s="39"/>
      <c r="Q16" s="39"/>
    </row>
    <row r="17" spans="2:17">
      <c r="C17" s="1">
        <v>0.18</v>
      </c>
      <c r="D17" s="1">
        <v>0.4</v>
      </c>
      <c r="E17" s="1">
        <v>0.11</v>
      </c>
      <c r="F17" s="1">
        <v>0.13</v>
      </c>
      <c r="G17" s="1">
        <v>0.16</v>
      </c>
      <c r="H17" s="1">
        <v>0.04</v>
      </c>
      <c r="I17" s="1">
        <v>0.03</v>
      </c>
      <c r="J17" s="1">
        <v>0.25</v>
      </c>
      <c r="K17" s="1">
        <v>0.04</v>
      </c>
      <c r="L17" s="1">
        <v>0.32</v>
      </c>
      <c r="M17" s="1">
        <v>0.09</v>
      </c>
      <c r="N17" s="1">
        <v>0.25</v>
      </c>
      <c r="O17" s="1">
        <v>7.0000000000000007E-2</v>
      </c>
      <c r="P17" s="1">
        <v>0.13</v>
      </c>
      <c r="Q17" s="1">
        <v>7.0000000000000007E-2</v>
      </c>
    </row>
    <row r="19" spans="2:17">
      <c r="B19" s="7" t="s">
        <v>163</v>
      </c>
      <c r="C19" s="39" t="s">
        <v>6</v>
      </c>
      <c r="D19" s="39"/>
      <c r="E19" s="39"/>
      <c r="F19" s="39" t="s">
        <v>19</v>
      </c>
      <c r="G19" s="39"/>
      <c r="H19" s="39"/>
      <c r="I19" s="39" t="s">
        <v>21</v>
      </c>
      <c r="J19" s="39"/>
      <c r="K19" s="39"/>
      <c r="L19" s="39" t="s">
        <v>34</v>
      </c>
      <c r="M19" s="39"/>
      <c r="N19" s="39"/>
      <c r="O19" s="39" t="s">
        <v>174</v>
      </c>
      <c r="P19" s="39"/>
      <c r="Q19" s="39"/>
    </row>
    <row r="20" spans="2:17">
      <c r="C20" s="1">
        <v>0.05</v>
      </c>
      <c r="D20" s="1">
        <v>0.14000000000000001</v>
      </c>
      <c r="E20" s="1">
        <v>0.04</v>
      </c>
      <c r="F20" s="1">
        <v>0.03</v>
      </c>
      <c r="G20" s="1">
        <v>7.0000000000000007E-2</v>
      </c>
      <c r="H20" s="1">
        <v>0.03</v>
      </c>
      <c r="I20" s="1">
        <v>0.02</v>
      </c>
      <c r="J20" s="1">
        <v>0.09</v>
      </c>
      <c r="K20" s="1">
        <v>0.01</v>
      </c>
      <c r="L20" s="1">
        <v>0.11</v>
      </c>
      <c r="M20" s="1">
        <v>0.04</v>
      </c>
      <c r="N20" s="1">
        <v>0.09</v>
      </c>
      <c r="O20" s="1">
        <v>0.02</v>
      </c>
      <c r="P20" s="1">
        <v>0.05</v>
      </c>
      <c r="Q20" s="1">
        <v>0.04</v>
      </c>
    </row>
  </sheetData>
  <mergeCells count="30">
    <mergeCell ref="C19:E19"/>
    <mergeCell ref="F19:H19"/>
    <mergeCell ref="I19:K19"/>
    <mergeCell ref="L19:N19"/>
    <mergeCell ref="O19:Q19"/>
    <mergeCell ref="C16:E16"/>
    <mergeCell ref="F16:H16"/>
    <mergeCell ref="I16:K16"/>
    <mergeCell ref="L16:N16"/>
    <mergeCell ref="O16:Q16"/>
    <mergeCell ref="C13:E13"/>
    <mergeCell ref="F13:H13"/>
    <mergeCell ref="I13:K13"/>
    <mergeCell ref="L13:N13"/>
    <mergeCell ref="O13:Q13"/>
    <mergeCell ref="C10:E10"/>
    <mergeCell ref="F10:H10"/>
    <mergeCell ref="I10:K10"/>
    <mergeCell ref="L10:N10"/>
    <mergeCell ref="O10:Q10"/>
    <mergeCell ref="C7:E7"/>
    <mergeCell ref="F7:H7"/>
    <mergeCell ref="I7:K7"/>
    <mergeCell ref="L7:N7"/>
    <mergeCell ref="O7:Q7"/>
    <mergeCell ref="C4:E4"/>
    <mergeCell ref="F4:H4"/>
    <mergeCell ref="I4:K4"/>
    <mergeCell ref="L4:N4"/>
    <mergeCell ref="O4:Q4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4CFE-B6DB-4A19-93E5-50FEC00C34EC}">
  <dimension ref="B4:Q23"/>
  <sheetViews>
    <sheetView workbookViewId="0">
      <selection activeCell="H41" sqref="H41:J41"/>
    </sheetView>
  </sheetViews>
  <sheetFormatPr defaultRowHeight="14.4"/>
  <cols>
    <col min="2" max="2" width="39.15625" customWidth="1"/>
  </cols>
  <sheetData>
    <row r="4" spans="2:17">
      <c r="B4" s="7" t="s">
        <v>47</v>
      </c>
      <c r="C4" s="39" t="s">
        <v>6</v>
      </c>
      <c r="D4" s="39"/>
      <c r="E4" s="39"/>
      <c r="F4" s="39" t="s">
        <v>19</v>
      </c>
      <c r="G4" s="39"/>
      <c r="H4" s="39"/>
      <c r="I4" s="39" t="s">
        <v>21</v>
      </c>
      <c r="J4" s="39"/>
      <c r="K4" s="39"/>
      <c r="L4" s="39" t="s">
        <v>34</v>
      </c>
      <c r="M4" s="39"/>
      <c r="N4" s="39"/>
      <c r="O4" s="39" t="s">
        <v>174</v>
      </c>
      <c r="P4" s="39"/>
      <c r="Q4" s="39"/>
    </row>
    <row r="5" spans="2:17">
      <c r="C5" s="1">
        <v>67.3</v>
      </c>
      <c r="D5" s="1">
        <v>65.400000000000006</v>
      </c>
      <c r="E5" s="1">
        <v>66.3</v>
      </c>
      <c r="F5" s="1">
        <v>66.400000000000006</v>
      </c>
      <c r="G5" s="1">
        <v>61.5</v>
      </c>
      <c r="H5" s="1">
        <v>63.1</v>
      </c>
      <c r="I5" s="1">
        <v>64.5</v>
      </c>
      <c r="J5" s="1">
        <v>65.8</v>
      </c>
      <c r="K5" s="1">
        <v>63.3</v>
      </c>
      <c r="L5" s="1">
        <v>67.599999999999994</v>
      </c>
      <c r="M5" s="1">
        <v>67.2</v>
      </c>
      <c r="N5" s="1">
        <v>67.5</v>
      </c>
      <c r="O5" s="1">
        <v>60.4</v>
      </c>
      <c r="P5" s="1">
        <v>61.5</v>
      </c>
      <c r="Q5" s="1">
        <v>63.1</v>
      </c>
    </row>
    <row r="7" spans="2:17">
      <c r="B7" s="7" t="s">
        <v>164</v>
      </c>
      <c r="C7" s="39" t="s">
        <v>6</v>
      </c>
      <c r="D7" s="39"/>
      <c r="E7" s="39"/>
      <c r="F7" s="39" t="s">
        <v>19</v>
      </c>
      <c r="G7" s="39"/>
      <c r="H7" s="39"/>
      <c r="I7" s="39" t="s">
        <v>21</v>
      </c>
      <c r="J7" s="39"/>
      <c r="K7" s="39"/>
      <c r="L7" s="39" t="s">
        <v>34</v>
      </c>
      <c r="M7" s="39"/>
      <c r="N7" s="39"/>
      <c r="O7" s="39" t="s">
        <v>174</v>
      </c>
      <c r="P7" s="39"/>
      <c r="Q7" s="39"/>
    </row>
    <row r="8" spans="2:17">
      <c r="C8" s="1">
        <v>16.5</v>
      </c>
      <c r="D8" s="1">
        <v>18.399999999999999</v>
      </c>
      <c r="E8" s="1">
        <v>17.8</v>
      </c>
      <c r="F8" s="1">
        <v>16</v>
      </c>
      <c r="G8" s="1">
        <v>15.9</v>
      </c>
      <c r="H8" s="1">
        <v>19.5</v>
      </c>
      <c r="I8" s="1">
        <v>18.899999999999999</v>
      </c>
      <c r="J8" s="1">
        <v>16.399999999999999</v>
      </c>
      <c r="K8" s="1">
        <v>17.399999999999999</v>
      </c>
      <c r="L8" s="1">
        <v>16.3</v>
      </c>
      <c r="M8" s="1">
        <v>17.600000000000001</v>
      </c>
      <c r="N8" s="1">
        <v>16.2</v>
      </c>
      <c r="O8" s="1">
        <v>15.3</v>
      </c>
      <c r="P8" s="1">
        <v>15.8</v>
      </c>
      <c r="Q8" s="1">
        <v>17.100000000000001</v>
      </c>
    </row>
    <row r="10" spans="2:17">
      <c r="B10" s="7" t="s">
        <v>48</v>
      </c>
      <c r="C10" s="39" t="s">
        <v>6</v>
      </c>
      <c r="D10" s="39"/>
      <c r="E10" s="39"/>
      <c r="F10" s="39" t="s">
        <v>19</v>
      </c>
      <c r="G10" s="39"/>
      <c r="H10" s="39"/>
      <c r="I10" s="39" t="s">
        <v>21</v>
      </c>
      <c r="J10" s="39"/>
      <c r="K10" s="39"/>
      <c r="L10" s="39" t="s">
        <v>34</v>
      </c>
      <c r="M10" s="39"/>
      <c r="N10" s="39"/>
      <c r="O10" s="39" t="s">
        <v>174</v>
      </c>
      <c r="P10" s="39"/>
      <c r="Q10" s="39"/>
    </row>
    <row r="11" spans="2:17">
      <c r="C11" s="1">
        <v>24.6</v>
      </c>
      <c r="D11" s="1">
        <v>28.1</v>
      </c>
      <c r="E11" s="1">
        <v>26.9</v>
      </c>
      <c r="F11" s="1">
        <v>26.2</v>
      </c>
      <c r="G11" s="1">
        <v>25</v>
      </c>
      <c r="H11" s="1">
        <v>30.6</v>
      </c>
      <c r="I11" s="1">
        <v>29.2</v>
      </c>
      <c r="J11" s="1">
        <v>24.9</v>
      </c>
      <c r="K11" s="1">
        <v>27.5</v>
      </c>
      <c r="L11" s="1">
        <v>24.2</v>
      </c>
      <c r="M11" s="1">
        <v>26.1</v>
      </c>
      <c r="N11" s="1">
        <v>24</v>
      </c>
      <c r="O11" s="1">
        <v>25.3</v>
      </c>
      <c r="P11" s="1">
        <v>25.8</v>
      </c>
      <c r="Q11" s="1">
        <v>27.1</v>
      </c>
    </row>
    <row r="13" spans="2:17">
      <c r="B13" s="7" t="s">
        <v>165</v>
      </c>
      <c r="C13" s="39" t="s">
        <v>6</v>
      </c>
      <c r="D13" s="39"/>
      <c r="E13" s="39"/>
      <c r="F13" s="39" t="s">
        <v>19</v>
      </c>
      <c r="G13" s="39"/>
      <c r="H13" s="39"/>
      <c r="I13" s="39" t="s">
        <v>21</v>
      </c>
      <c r="J13" s="39"/>
      <c r="K13" s="39"/>
      <c r="L13" s="39" t="s">
        <v>34</v>
      </c>
      <c r="M13" s="39"/>
      <c r="N13" s="39"/>
      <c r="O13" s="39" t="s">
        <v>174</v>
      </c>
      <c r="P13" s="39"/>
      <c r="Q13" s="39"/>
    </row>
    <row r="14" spans="2:17">
      <c r="C14" s="1">
        <v>13.8</v>
      </c>
      <c r="D14" s="1">
        <v>15</v>
      </c>
      <c r="E14" s="1">
        <v>14.7</v>
      </c>
      <c r="F14" s="1">
        <v>13.1</v>
      </c>
      <c r="G14" s="1">
        <v>13.6</v>
      </c>
      <c r="H14" s="1">
        <v>13.6</v>
      </c>
      <c r="I14" s="1">
        <v>15</v>
      </c>
      <c r="J14" s="1">
        <v>14.9</v>
      </c>
      <c r="K14" s="1">
        <v>15.6</v>
      </c>
      <c r="L14" s="1">
        <v>14.3</v>
      </c>
      <c r="M14" s="1">
        <v>15.2</v>
      </c>
      <c r="N14" s="1">
        <v>13.6</v>
      </c>
      <c r="O14" s="1">
        <v>10.8</v>
      </c>
      <c r="P14" s="1">
        <v>12.6</v>
      </c>
      <c r="Q14" s="1">
        <v>13.9</v>
      </c>
    </row>
    <row r="16" spans="2:17">
      <c r="B16" s="7" t="s">
        <v>166</v>
      </c>
      <c r="C16" s="39" t="s">
        <v>6</v>
      </c>
      <c r="D16" s="39"/>
      <c r="E16" s="39"/>
      <c r="F16" s="39" t="s">
        <v>19</v>
      </c>
      <c r="G16" s="39"/>
      <c r="H16" s="39"/>
      <c r="I16" s="39" t="s">
        <v>21</v>
      </c>
      <c r="J16" s="39"/>
      <c r="K16" s="39"/>
      <c r="L16" s="39" t="s">
        <v>34</v>
      </c>
      <c r="M16" s="39"/>
      <c r="N16" s="39"/>
      <c r="O16" s="39" t="s">
        <v>174</v>
      </c>
      <c r="P16" s="39"/>
      <c r="Q16" s="39"/>
    </row>
    <row r="17" spans="2:17">
      <c r="C17" s="1">
        <v>18.600000000000001</v>
      </c>
      <c r="D17" s="1">
        <v>18.3</v>
      </c>
      <c r="E17" s="1">
        <v>19.2</v>
      </c>
      <c r="F17" s="1">
        <v>18.2</v>
      </c>
      <c r="G17" s="1">
        <v>18.100000000000001</v>
      </c>
      <c r="H17" s="1">
        <v>18.600000000000001</v>
      </c>
      <c r="I17" s="1">
        <v>18.8</v>
      </c>
      <c r="J17" s="1">
        <v>19.100000000000001</v>
      </c>
      <c r="K17" s="1">
        <v>17.899999999999999</v>
      </c>
      <c r="L17" s="1">
        <v>19.2</v>
      </c>
      <c r="M17" s="1">
        <v>18.600000000000001</v>
      </c>
      <c r="N17" s="1">
        <v>18.600000000000001</v>
      </c>
      <c r="O17" s="1">
        <v>18.7</v>
      </c>
      <c r="P17" s="1">
        <v>17.8</v>
      </c>
      <c r="Q17" s="1">
        <v>18.399999999999999</v>
      </c>
    </row>
    <row r="19" spans="2:17">
      <c r="B19" s="7" t="s">
        <v>167</v>
      </c>
      <c r="C19" s="39" t="s">
        <v>6</v>
      </c>
      <c r="D19" s="39"/>
      <c r="E19" s="39"/>
      <c r="F19" s="39" t="s">
        <v>19</v>
      </c>
      <c r="G19" s="39"/>
      <c r="H19" s="39"/>
      <c r="I19" s="39" t="s">
        <v>21</v>
      </c>
      <c r="J19" s="39"/>
      <c r="K19" s="39"/>
      <c r="L19" s="39" t="s">
        <v>34</v>
      </c>
      <c r="M19" s="39"/>
      <c r="N19" s="39"/>
      <c r="O19" s="39" t="s">
        <v>174</v>
      </c>
      <c r="P19" s="39"/>
      <c r="Q19" s="39"/>
    </row>
    <row r="20" spans="2:17">
      <c r="C20" s="1">
        <v>8.34</v>
      </c>
      <c r="D20" s="1">
        <v>8.17</v>
      </c>
      <c r="E20" s="1">
        <v>8.24</v>
      </c>
      <c r="F20" s="1">
        <v>8.57</v>
      </c>
      <c r="G20" s="1">
        <v>8.59</v>
      </c>
      <c r="H20" s="1">
        <v>7.95</v>
      </c>
      <c r="I20" s="1">
        <v>7.95</v>
      </c>
      <c r="J20" s="1">
        <v>9.09</v>
      </c>
      <c r="K20" s="1">
        <v>8.9700000000000006</v>
      </c>
      <c r="L20" s="1">
        <v>8.75</v>
      </c>
      <c r="M20" s="1">
        <v>8.66</v>
      </c>
      <c r="N20" s="1">
        <v>8.4</v>
      </c>
      <c r="O20" s="1">
        <v>6.76</v>
      </c>
      <c r="P20" s="1">
        <v>7.91</v>
      </c>
      <c r="Q20" s="1">
        <v>7.14</v>
      </c>
    </row>
    <row r="22" spans="2:17">
      <c r="B22" s="7" t="s">
        <v>49</v>
      </c>
      <c r="C22" s="39" t="s">
        <v>6</v>
      </c>
      <c r="D22" s="39"/>
      <c r="E22" s="39"/>
      <c r="F22" s="39" t="s">
        <v>19</v>
      </c>
      <c r="G22" s="39"/>
      <c r="H22" s="39"/>
      <c r="I22" s="39" t="s">
        <v>21</v>
      </c>
      <c r="J22" s="39"/>
      <c r="K22" s="39"/>
      <c r="L22" s="39" t="s">
        <v>34</v>
      </c>
      <c r="M22" s="39"/>
      <c r="N22" s="39"/>
      <c r="O22" s="39" t="s">
        <v>174</v>
      </c>
      <c r="P22" s="39"/>
      <c r="Q22" s="39"/>
    </row>
    <row r="23" spans="2:17">
      <c r="C23" s="1">
        <v>56.1</v>
      </c>
      <c r="D23" s="1">
        <v>53.4</v>
      </c>
      <c r="E23" s="1">
        <v>54.6</v>
      </c>
      <c r="F23" s="1">
        <v>59.2</v>
      </c>
      <c r="G23" s="1">
        <v>58.2</v>
      </c>
      <c r="H23" s="1">
        <v>56.7</v>
      </c>
      <c r="I23" s="1">
        <v>51.8</v>
      </c>
      <c r="J23" s="1">
        <v>52.8</v>
      </c>
      <c r="K23" s="1">
        <v>50.2</v>
      </c>
      <c r="L23" s="1">
        <v>51.3</v>
      </c>
      <c r="M23" s="1">
        <v>59.8</v>
      </c>
      <c r="N23" s="1">
        <v>56.8</v>
      </c>
      <c r="O23" s="1">
        <v>41.2</v>
      </c>
      <c r="P23" s="1">
        <v>50.4</v>
      </c>
      <c r="Q23" s="1">
        <v>45.4</v>
      </c>
    </row>
  </sheetData>
  <mergeCells count="35">
    <mergeCell ref="C16:E16"/>
    <mergeCell ref="F16:H16"/>
    <mergeCell ref="I16:K16"/>
    <mergeCell ref="L16:N16"/>
    <mergeCell ref="O16:Q16"/>
    <mergeCell ref="C22:E22"/>
    <mergeCell ref="F22:H22"/>
    <mergeCell ref="I22:K22"/>
    <mergeCell ref="L22:N22"/>
    <mergeCell ref="O22:Q22"/>
    <mergeCell ref="C10:E10"/>
    <mergeCell ref="F10:H10"/>
    <mergeCell ref="I10:K10"/>
    <mergeCell ref="L10:N10"/>
    <mergeCell ref="O10:Q10"/>
    <mergeCell ref="C19:E19"/>
    <mergeCell ref="F19:H19"/>
    <mergeCell ref="I19:K19"/>
    <mergeCell ref="L19:N19"/>
    <mergeCell ref="O19:Q19"/>
    <mergeCell ref="C4:E4"/>
    <mergeCell ref="F4:H4"/>
    <mergeCell ref="I4:K4"/>
    <mergeCell ref="L4:N4"/>
    <mergeCell ref="O4:Q4"/>
    <mergeCell ref="C13:E13"/>
    <mergeCell ref="F13:H13"/>
    <mergeCell ref="I13:K13"/>
    <mergeCell ref="L13:N13"/>
    <mergeCell ref="O13:Q13"/>
    <mergeCell ref="C7:E7"/>
    <mergeCell ref="F7:H7"/>
    <mergeCell ref="I7:K7"/>
    <mergeCell ref="L7:N7"/>
    <mergeCell ref="O7:Q7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E4618-41FD-488D-BFE5-A2BCC18EC9A2}">
  <dimension ref="B4:AZ12"/>
  <sheetViews>
    <sheetView workbookViewId="0">
      <selection activeCell="C4" sqref="C4:AZ4"/>
    </sheetView>
  </sheetViews>
  <sheetFormatPr defaultRowHeight="14.4"/>
  <sheetData>
    <row r="4" spans="2:52">
      <c r="B4" s="2"/>
      <c r="C4" s="39" t="s">
        <v>6</v>
      </c>
      <c r="D4" s="39"/>
      <c r="E4" s="39"/>
      <c r="F4" s="39"/>
      <c r="G4" s="39"/>
      <c r="H4" s="39" t="s">
        <v>30</v>
      </c>
      <c r="I4" s="39"/>
      <c r="J4" s="39"/>
      <c r="K4" s="39"/>
      <c r="L4" s="39"/>
      <c r="M4" s="39" t="s">
        <v>13</v>
      </c>
      <c r="N4" s="39"/>
      <c r="O4" s="39"/>
      <c r="P4" s="39"/>
      <c r="Q4" s="39"/>
      <c r="R4" s="39" t="s">
        <v>14</v>
      </c>
      <c r="S4" s="39"/>
      <c r="T4" s="39"/>
      <c r="U4" s="39"/>
      <c r="V4" s="39"/>
      <c r="W4" s="39" t="s">
        <v>22</v>
      </c>
      <c r="X4" s="39"/>
      <c r="Y4" s="39"/>
      <c r="Z4" s="39"/>
      <c r="AA4" s="39"/>
      <c r="AB4" s="39" t="s">
        <v>31</v>
      </c>
      <c r="AC4" s="39"/>
      <c r="AD4" s="39"/>
      <c r="AE4" s="39"/>
      <c r="AF4" s="39"/>
      <c r="AG4" s="39" t="s">
        <v>19</v>
      </c>
      <c r="AH4" s="39"/>
      <c r="AI4" s="39"/>
      <c r="AJ4" s="39"/>
      <c r="AK4" s="39"/>
      <c r="AL4" s="39" t="s">
        <v>32</v>
      </c>
      <c r="AM4" s="39"/>
      <c r="AN4" s="39"/>
      <c r="AO4" s="39"/>
      <c r="AP4" s="39"/>
      <c r="AQ4" s="39" t="s">
        <v>33</v>
      </c>
      <c r="AR4" s="39"/>
      <c r="AS4" s="39"/>
      <c r="AT4" s="39"/>
      <c r="AU4" s="39"/>
      <c r="AV4" s="39" t="s">
        <v>34</v>
      </c>
      <c r="AW4" s="39"/>
      <c r="AX4" s="39"/>
      <c r="AY4" s="39"/>
      <c r="AZ4" s="39"/>
    </row>
    <row r="5" spans="2:52"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</row>
    <row r="6" spans="2:52">
      <c r="B6" s="1">
        <v>19</v>
      </c>
      <c r="C6" s="1">
        <v>419.49</v>
      </c>
      <c r="D6" s="1">
        <v>407.22</v>
      </c>
      <c r="E6" s="1">
        <v>396.21</v>
      </c>
      <c r="F6" s="1">
        <v>400.59</v>
      </c>
      <c r="G6" s="1">
        <v>393.8</v>
      </c>
      <c r="H6" s="1">
        <v>408.16</v>
      </c>
      <c r="I6" s="1">
        <v>418.95</v>
      </c>
      <c r="J6" s="1">
        <v>405.66</v>
      </c>
      <c r="K6" s="1">
        <v>410.54</v>
      </c>
      <c r="L6" s="1">
        <v>404.11</v>
      </c>
      <c r="M6" s="1">
        <v>394.88</v>
      </c>
      <c r="N6" s="1">
        <v>396.16</v>
      </c>
      <c r="O6" s="1">
        <v>399.02</v>
      </c>
      <c r="P6" s="1">
        <v>401.86</v>
      </c>
      <c r="Q6" s="1">
        <v>418.22</v>
      </c>
      <c r="R6" s="1">
        <v>402.38</v>
      </c>
      <c r="S6" s="1">
        <v>416.04</v>
      </c>
      <c r="T6" s="1">
        <v>392.01</v>
      </c>
      <c r="U6" s="1">
        <v>399.46</v>
      </c>
      <c r="V6" s="1">
        <v>408.2</v>
      </c>
      <c r="W6" s="1">
        <v>398.7</v>
      </c>
      <c r="X6" s="1">
        <v>406.5</v>
      </c>
      <c r="Y6" s="1">
        <v>400.2</v>
      </c>
      <c r="Z6" s="1">
        <v>409.5</v>
      </c>
      <c r="AA6" s="1">
        <v>410.3</v>
      </c>
      <c r="AB6" s="1">
        <v>410.09</v>
      </c>
      <c r="AC6" s="1">
        <v>380.05</v>
      </c>
      <c r="AD6" s="1">
        <v>414.93</v>
      </c>
      <c r="AE6" s="1">
        <v>404.16</v>
      </c>
      <c r="AF6" s="1">
        <v>396.67</v>
      </c>
      <c r="AG6" s="1">
        <v>391.54</v>
      </c>
      <c r="AH6" s="1">
        <v>382.92</v>
      </c>
      <c r="AI6" s="1">
        <v>394.69</v>
      </c>
      <c r="AJ6" s="1">
        <v>413.65</v>
      </c>
      <c r="AK6" s="1">
        <v>395.38</v>
      </c>
      <c r="AL6" s="1">
        <v>410.04</v>
      </c>
      <c r="AM6" s="1">
        <v>406.63</v>
      </c>
      <c r="AN6" s="1">
        <v>396.75</v>
      </c>
      <c r="AO6" s="1">
        <v>408.86</v>
      </c>
      <c r="AP6" s="1">
        <v>399.34</v>
      </c>
      <c r="AQ6" s="1">
        <v>391.12</v>
      </c>
      <c r="AR6" s="1">
        <v>397.43</v>
      </c>
      <c r="AS6" s="1">
        <v>413.01</v>
      </c>
      <c r="AT6" s="1">
        <v>403.1</v>
      </c>
      <c r="AU6" s="1">
        <v>400.74</v>
      </c>
      <c r="AV6" s="1">
        <v>406.19</v>
      </c>
      <c r="AW6" s="1">
        <v>384.68</v>
      </c>
      <c r="AX6" s="1">
        <v>381.33</v>
      </c>
      <c r="AY6" s="1">
        <v>413.56</v>
      </c>
      <c r="AZ6" s="1">
        <v>414.88</v>
      </c>
    </row>
    <row r="7" spans="2:52">
      <c r="B7" s="1">
        <v>19.001000000000001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</row>
    <row r="8" spans="2:52">
      <c r="B8" s="1">
        <v>26</v>
      </c>
      <c r="C8" s="1">
        <v>302.08</v>
      </c>
      <c r="D8" s="1">
        <v>504.9</v>
      </c>
      <c r="E8" s="1">
        <v>372.01</v>
      </c>
      <c r="F8" s="1">
        <v>499.03</v>
      </c>
      <c r="G8" s="1">
        <v>360.04</v>
      </c>
      <c r="H8" s="1">
        <v>423.47</v>
      </c>
      <c r="I8" s="1">
        <v>350.2</v>
      </c>
      <c r="J8" s="1">
        <v>388.21</v>
      </c>
      <c r="K8" s="1">
        <v>276.01</v>
      </c>
      <c r="L8" s="1">
        <v>455.29</v>
      </c>
      <c r="M8" s="1">
        <v>215.55</v>
      </c>
      <c r="N8" s="1">
        <v>246.94</v>
      </c>
      <c r="O8" s="1">
        <v>160.38999999999999</v>
      </c>
      <c r="P8" s="1">
        <v>208.79</v>
      </c>
      <c r="Q8" s="1">
        <v>324.35000000000002</v>
      </c>
      <c r="R8" s="1">
        <v>109.65</v>
      </c>
      <c r="S8" s="1">
        <v>199.5</v>
      </c>
      <c r="T8" s="1">
        <v>278.27</v>
      </c>
      <c r="U8" s="1">
        <v>194.31</v>
      </c>
      <c r="V8" s="1">
        <v>157.88999999999999</v>
      </c>
      <c r="W8" s="1">
        <v>187.6</v>
      </c>
      <c r="X8" s="1">
        <v>245.7</v>
      </c>
      <c r="Y8" s="1">
        <v>211.6</v>
      </c>
      <c r="Z8" s="1">
        <v>256.7</v>
      </c>
      <c r="AA8" s="1">
        <v>200.1</v>
      </c>
      <c r="AB8" s="1">
        <v>63.51</v>
      </c>
      <c r="AC8" s="1">
        <v>104.51</v>
      </c>
      <c r="AD8" s="1">
        <v>206.93</v>
      </c>
      <c r="AE8" s="1">
        <v>97.56</v>
      </c>
      <c r="AF8" s="1">
        <v>202.62</v>
      </c>
      <c r="AG8" s="1">
        <v>140.97</v>
      </c>
      <c r="AH8" s="1">
        <v>33.270000000000003</v>
      </c>
      <c r="AI8" s="1">
        <v>145.13</v>
      </c>
      <c r="AJ8" s="1">
        <v>124.62</v>
      </c>
      <c r="AK8" s="1">
        <v>99.89</v>
      </c>
      <c r="AL8" s="1">
        <v>104.17</v>
      </c>
      <c r="AM8" s="1">
        <v>90.33</v>
      </c>
      <c r="AN8" s="1">
        <v>51.61</v>
      </c>
      <c r="AO8" s="1">
        <v>124.15</v>
      </c>
      <c r="AP8" s="1">
        <v>100.94</v>
      </c>
      <c r="AQ8" s="1">
        <v>9.44</v>
      </c>
      <c r="AR8" s="1">
        <v>27.32</v>
      </c>
      <c r="AS8" s="1">
        <v>12.87</v>
      </c>
      <c r="AT8" s="1">
        <v>7.41</v>
      </c>
      <c r="AU8" s="1">
        <v>36.840000000000003</v>
      </c>
      <c r="AV8" s="1">
        <v>0</v>
      </c>
      <c r="AW8" s="1">
        <v>0</v>
      </c>
      <c r="AX8" s="1">
        <v>17.07</v>
      </c>
      <c r="AY8" s="1">
        <v>14.19</v>
      </c>
      <c r="AZ8" s="1">
        <v>4.5599999999999996</v>
      </c>
    </row>
    <row r="9" spans="2:52">
      <c r="B9" s="1">
        <v>31</v>
      </c>
      <c r="C9" s="1">
        <v>559.15</v>
      </c>
      <c r="D9" s="1">
        <v>563.16</v>
      </c>
      <c r="E9" s="1">
        <v>792.91</v>
      </c>
      <c r="F9" s="1">
        <v>720.51</v>
      </c>
      <c r="G9" s="1">
        <v>670.33</v>
      </c>
      <c r="H9" s="1">
        <v>493.86</v>
      </c>
      <c r="I9" s="1">
        <v>574.57000000000005</v>
      </c>
      <c r="J9" s="1">
        <v>689.05</v>
      </c>
      <c r="K9" s="1">
        <v>626.48</v>
      </c>
      <c r="L9" s="1">
        <v>530.44000000000005</v>
      </c>
      <c r="M9" s="1">
        <v>283.75</v>
      </c>
      <c r="N9" s="1">
        <v>294.58999999999997</v>
      </c>
      <c r="O9" s="1">
        <v>299.39999999999998</v>
      </c>
      <c r="P9" s="1">
        <v>307.02999999999997</v>
      </c>
      <c r="Q9" s="1">
        <v>329.4</v>
      </c>
      <c r="R9" s="1">
        <v>167.64</v>
      </c>
      <c r="S9" s="1">
        <v>209.62</v>
      </c>
      <c r="T9" s="1">
        <v>327.19</v>
      </c>
      <c r="U9" s="1">
        <v>197.91</v>
      </c>
      <c r="V9" s="1">
        <v>179.54</v>
      </c>
      <c r="W9" s="1">
        <v>269.8</v>
      </c>
      <c r="X9" s="1">
        <v>267.8</v>
      </c>
      <c r="Y9" s="1">
        <v>346.8</v>
      </c>
      <c r="Z9" s="1">
        <v>412</v>
      </c>
      <c r="AA9" s="1">
        <v>456.7</v>
      </c>
      <c r="AB9" s="1">
        <v>91.9</v>
      </c>
      <c r="AC9" s="1">
        <v>111.13</v>
      </c>
      <c r="AD9" s="1">
        <v>209.58</v>
      </c>
      <c r="AE9" s="1">
        <v>163.44999999999999</v>
      </c>
      <c r="AF9" s="1">
        <v>236.28</v>
      </c>
      <c r="AG9" s="1">
        <v>162.55000000000001</v>
      </c>
      <c r="AH9" s="1">
        <v>75.459999999999994</v>
      </c>
      <c r="AI9" s="1">
        <v>308.13</v>
      </c>
      <c r="AJ9" s="1">
        <v>126.03</v>
      </c>
      <c r="AK9" s="1">
        <v>113.38</v>
      </c>
      <c r="AL9" s="1">
        <v>113.13</v>
      </c>
      <c r="AM9" s="1">
        <v>91.84</v>
      </c>
      <c r="AN9" s="1">
        <v>91.26</v>
      </c>
      <c r="AO9" s="1">
        <v>149.78</v>
      </c>
      <c r="AP9" s="1">
        <v>136.77000000000001</v>
      </c>
      <c r="AQ9" s="1">
        <v>19.489999999999998</v>
      </c>
      <c r="AR9" s="1">
        <v>37.17</v>
      </c>
      <c r="AS9" s="1">
        <v>38.380000000000003</v>
      </c>
      <c r="AT9" s="1">
        <v>65.430000000000007</v>
      </c>
      <c r="AU9" s="1">
        <v>51.21</v>
      </c>
      <c r="AV9" s="1">
        <v>0</v>
      </c>
      <c r="AW9" s="1">
        <v>12.9</v>
      </c>
      <c r="AX9" s="1">
        <v>20.010000000000002</v>
      </c>
      <c r="AY9" s="1">
        <v>21.27</v>
      </c>
      <c r="AZ9" s="1">
        <v>7.03</v>
      </c>
    </row>
    <row r="10" spans="2:52">
      <c r="B10" s="1">
        <v>35</v>
      </c>
      <c r="C10" s="1">
        <v>740.03</v>
      </c>
      <c r="D10" s="1">
        <v>865.72</v>
      </c>
      <c r="E10" s="1">
        <v>810.77</v>
      </c>
      <c r="F10" s="1">
        <v>748.96</v>
      </c>
      <c r="G10" s="1">
        <v>1009.54</v>
      </c>
      <c r="H10" s="1">
        <v>607.71</v>
      </c>
      <c r="I10" s="1">
        <v>777.16</v>
      </c>
      <c r="J10" s="1">
        <v>843.44</v>
      </c>
      <c r="K10" s="1">
        <v>672.13</v>
      </c>
      <c r="L10" s="1">
        <v>676.55</v>
      </c>
      <c r="M10" s="1">
        <v>488.4</v>
      </c>
      <c r="N10" s="1">
        <v>347.99</v>
      </c>
      <c r="O10" s="1">
        <v>402.51</v>
      </c>
      <c r="P10" s="1">
        <v>593.94000000000005</v>
      </c>
      <c r="Q10" s="1">
        <v>567.63</v>
      </c>
      <c r="R10" s="1">
        <v>339.57</v>
      </c>
      <c r="S10" s="1">
        <v>489.53</v>
      </c>
      <c r="T10" s="1">
        <v>469.47</v>
      </c>
      <c r="U10" s="1">
        <v>417.18</v>
      </c>
      <c r="V10" s="1">
        <v>418.94</v>
      </c>
      <c r="W10" s="1">
        <v>387.9</v>
      </c>
      <c r="X10" s="1">
        <v>359.8</v>
      </c>
      <c r="Y10" s="1">
        <v>457.8</v>
      </c>
      <c r="Z10" s="1">
        <v>564.20000000000005</v>
      </c>
      <c r="AA10" s="1">
        <v>503.6</v>
      </c>
      <c r="AB10" s="1">
        <v>200.09</v>
      </c>
      <c r="AC10" s="1">
        <v>212</v>
      </c>
      <c r="AD10" s="1">
        <v>310.64999999999998</v>
      </c>
      <c r="AE10" s="1">
        <v>250.89</v>
      </c>
      <c r="AF10" s="1">
        <v>331.07</v>
      </c>
      <c r="AG10" s="1">
        <v>143.08000000000001</v>
      </c>
      <c r="AH10" s="1">
        <v>127.52</v>
      </c>
      <c r="AI10" s="1">
        <v>401.1</v>
      </c>
      <c r="AJ10" s="1">
        <v>341.11</v>
      </c>
      <c r="AK10" s="1">
        <v>257.41000000000003</v>
      </c>
      <c r="AL10" s="1">
        <v>138.76</v>
      </c>
      <c r="AM10" s="1">
        <v>103.19</v>
      </c>
      <c r="AN10" s="1">
        <v>195.3</v>
      </c>
      <c r="AO10" s="1">
        <v>188.83</v>
      </c>
      <c r="AP10" s="1">
        <v>199.75</v>
      </c>
      <c r="AQ10" s="1">
        <v>39.97</v>
      </c>
      <c r="AR10" s="1">
        <v>158.58000000000001</v>
      </c>
      <c r="AS10" s="1">
        <v>79.53</v>
      </c>
      <c r="AT10" s="1">
        <v>217.66</v>
      </c>
      <c r="AU10" s="1">
        <v>117.65</v>
      </c>
      <c r="AV10" s="1">
        <v>0</v>
      </c>
      <c r="AW10" s="1">
        <v>59.9</v>
      </c>
      <c r="AX10" s="1">
        <v>79.87</v>
      </c>
      <c r="AY10" s="1">
        <v>101.69</v>
      </c>
      <c r="AZ10" s="1">
        <v>37.53</v>
      </c>
    </row>
    <row r="11" spans="2:52">
      <c r="B11" s="1">
        <v>41</v>
      </c>
      <c r="C11" s="1">
        <v>1024</v>
      </c>
      <c r="D11" s="1">
        <v>1245</v>
      </c>
      <c r="E11" s="1">
        <v>1245</v>
      </c>
      <c r="F11" s="1">
        <v>1369</v>
      </c>
      <c r="G11" s="1">
        <v>1569</v>
      </c>
      <c r="H11" s="1">
        <v>984</v>
      </c>
      <c r="I11" s="1">
        <v>1230</v>
      </c>
      <c r="J11" s="1">
        <v>1024</v>
      </c>
      <c r="K11" s="1">
        <v>1246</v>
      </c>
      <c r="L11" s="1">
        <v>823</v>
      </c>
      <c r="M11" s="1">
        <v>756</v>
      </c>
      <c r="N11" s="1">
        <v>1256</v>
      </c>
      <c r="O11" s="1">
        <v>951</v>
      </c>
      <c r="P11" s="1">
        <v>623</v>
      </c>
      <c r="Q11" s="1">
        <v>914</v>
      </c>
      <c r="R11" s="1">
        <v>645</v>
      </c>
      <c r="S11" s="1">
        <v>523</v>
      </c>
      <c r="T11" s="1">
        <v>896</v>
      </c>
      <c r="U11" s="1">
        <v>1107</v>
      </c>
      <c r="V11" s="1">
        <v>689</v>
      </c>
      <c r="W11" s="1">
        <v>746.5</v>
      </c>
      <c r="X11" s="1">
        <v>621.4</v>
      </c>
      <c r="Y11" s="1">
        <v>889.4</v>
      </c>
      <c r="Z11" s="1">
        <v>1089.9000000000001</v>
      </c>
      <c r="AA11" s="1">
        <v>968.4</v>
      </c>
      <c r="AB11" s="1">
        <v>423</v>
      </c>
      <c r="AC11" s="1">
        <v>301</v>
      </c>
      <c r="AD11" s="1">
        <v>569</v>
      </c>
      <c r="AE11" s="1">
        <v>689</v>
      </c>
      <c r="AF11" s="1">
        <v>845</v>
      </c>
      <c r="AG11" s="1">
        <v>234</v>
      </c>
      <c r="AH11" s="1">
        <v>201</v>
      </c>
      <c r="AI11" s="1">
        <v>426</v>
      </c>
      <c r="AJ11" s="1">
        <v>523</v>
      </c>
      <c r="AK11" s="1">
        <v>478</v>
      </c>
      <c r="AL11" s="1">
        <v>412</v>
      </c>
      <c r="AM11" s="1">
        <v>206</v>
      </c>
      <c r="AN11" s="1">
        <v>214</v>
      </c>
      <c r="AO11" s="1">
        <v>256</v>
      </c>
      <c r="AP11" s="1">
        <v>301</v>
      </c>
      <c r="AQ11" s="1">
        <v>123</v>
      </c>
      <c r="AR11" s="1">
        <v>204</v>
      </c>
      <c r="AS11" s="1">
        <v>142</v>
      </c>
      <c r="AT11" s="1">
        <v>126</v>
      </c>
      <c r="AU11" s="1">
        <v>289</v>
      </c>
      <c r="AV11" s="1">
        <v>0</v>
      </c>
      <c r="AW11" s="1">
        <v>85</v>
      </c>
      <c r="AX11" s="1">
        <v>126</v>
      </c>
      <c r="AY11" s="1">
        <v>123</v>
      </c>
      <c r="AZ11" s="1">
        <v>46</v>
      </c>
    </row>
    <row r="12" spans="2:52">
      <c r="B12" s="1">
        <v>48</v>
      </c>
      <c r="C12" s="1">
        <v>1597.56</v>
      </c>
      <c r="D12" s="1">
        <v>1943.07</v>
      </c>
      <c r="E12" s="1">
        <v>1658.06</v>
      </c>
      <c r="F12" s="1">
        <v>1697.54</v>
      </c>
      <c r="G12" s="1">
        <v>1991.22</v>
      </c>
      <c r="H12" s="1">
        <v>1442.38</v>
      </c>
      <c r="I12" s="1">
        <v>1990.61</v>
      </c>
      <c r="J12" s="1">
        <v>1527.89</v>
      </c>
      <c r="K12" s="1">
        <v>1950.29</v>
      </c>
      <c r="L12" s="1">
        <v>1297.55</v>
      </c>
      <c r="M12" s="1">
        <v>1280.3399999999999</v>
      </c>
      <c r="N12" s="1">
        <v>1992.77</v>
      </c>
      <c r="O12" s="1">
        <v>1399.61</v>
      </c>
      <c r="P12" s="1">
        <v>1081.2</v>
      </c>
      <c r="Q12" s="1">
        <v>1161.8800000000001</v>
      </c>
      <c r="R12" s="1">
        <v>965.29</v>
      </c>
      <c r="S12" s="1">
        <v>1049.8</v>
      </c>
      <c r="T12" s="1">
        <v>1211.99</v>
      </c>
      <c r="U12" s="1">
        <v>1516.72</v>
      </c>
      <c r="V12" s="1">
        <v>1151.67</v>
      </c>
      <c r="W12" s="1">
        <v>1126</v>
      </c>
      <c r="X12" s="1">
        <v>1046</v>
      </c>
      <c r="Y12" s="1">
        <v>1386</v>
      </c>
      <c r="Z12" s="1">
        <v>1529</v>
      </c>
      <c r="AA12" s="1">
        <v>1448</v>
      </c>
      <c r="AB12" s="1">
        <v>874.45</v>
      </c>
      <c r="AC12" s="1">
        <v>680.43</v>
      </c>
      <c r="AD12" s="1">
        <v>1034.02</v>
      </c>
      <c r="AE12" s="1">
        <v>1183.1500000000001</v>
      </c>
      <c r="AF12" s="1">
        <v>1288.96</v>
      </c>
      <c r="AG12" s="1">
        <v>551.57000000000005</v>
      </c>
      <c r="AH12" s="1">
        <v>474.3</v>
      </c>
      <c r="AI12" s="1">
        <v>1116.8499999999999</v>
      </c>
      <c r="AJ12" s="1">
        <v>1124.19</v>
      </c>
      <c r="AK12" s="1">
        <v>1186.21</v>
      </c>
      <c r="AL12" s="1">
        <v>970.56</v>
      </c>
      <c r="AM12" s="1">
        <v>492.5</v>
      </c>
      <c r="AN12" s="1">
        <v>474.09</v>
      </c>
      <c r="AO12" s="1">
        <v>726.31</v>
      </c>
      <c r="AP12" s="1">
        <v>708.72</v>
      </c>
      <c r="AQ12" s="1">
        <v>225.27</v>
      </c>
      <c r="AR12" s="1">
        <v>405.41</v>
      </c>
      <c r="AS12" s="1">
        <v>286.89999999999998</v>
      </c>
      <c r="AT12" s="1">
        <v>577.23</v>
      </c>
      <c r="AU12" s="1">
        <v>583.85</v>
      </c>
      <c r="AV12" s="1">
        <v>0</v>
      </c>
      <c r="AW12" s="1">
        <v>160.16</v>
      </c>
      <c r="AX12" s="1">
        <v>236.33</v>
      </c>
      <c r="AY12" s="1">
        <v>194.97</v>
      </c>
      <c r="AZ12" s="1">
        <v>103.2</v>
      </c>
    </row>
  </sheetData>
  <mergeCells count="10">
    <mergeCell ref="AG4:AK4"/>
    <mergeCell ref="AL4:AP4"/>
    <mergeCell ref="AQ4:AU4"/>
    <mergeCell ref="AV4:AZ4"/>
    <mergeCell ref="C4:G4"/>
    <mergeCell ref="H4:L4"/>
    <mergeCell ref="M4:Q4"/>
    <mergeCell ref="R4:V4"/>
    <mergeCell ref="W4:AA4"/>
    <mergeCell ref="AB4:AF4"/>
  </mergeCells>
  <pageMargins left="0.7" right="0.7" top="0.75" bottom="0.75" header="0.3" footer="0.3"/>
  <pageSetup paperSize="9" orientation="portrait" horizontalDpi="4294967293" verticalDpi="0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11440-A66E-45A6-AD45-6722AA30B6FB}">
  <dimension ref="C4:BA10"/>
  <sheetViews>
    <sheetView workbookViewId="0">
      <selection activeCell="L19" sqref="L19"/>
    </sheetView>
  </sheetViews>
  <sheetFormatPr defaultRowHeight="14.4"/>
  <sheetData>
    <row r="4" spans="3:53">
      <c r="C4" s="2"/>
      <c r="D4" s="39" t="s">
        <v>6</v>
      </c>
      <c r="E4" s="39"/>
      <c r="F4" s="39"/>
      <c r="G4" s="39"/>
      <c r="H4" s="39"/>
      <c r="I4" s="39" t="s">
        <v>30</v>
      </c>
      <c r="J4" s="39"/>
      <c r="K4" s="39"/>
      <c r="L4" s="39"/>
      <c r="M4" s="39"/>
      <c r="N4" s="39" t="s">
        <v>13</v>
      </c>
      <c r="O4" s="39"/>
      <c r="P4" s="39"/>
      <c r="Q4" s="39"/>
      <c r="R4" s="39"/>
      <c r="S4" s="39" t="s">
        <v>14</v>
      </c>
      <c r="T4" s="39"/>
      <c r="U4" s="39"/>
      <c r="V4" s="39"/>
      <c r="W4" s="39"/>
      <c r="X4" s="39" t="s">
        <v>22</v>
      </c>
      <c r="Y4" s="39"/>
      <c r="Z4" s="39"/>
      <c r="AA4" s="39"/>
      <c r="AB4" s="39"/>
      <c r="AC4" s="39" t="s">
        <v>31</v>
      </c>
      <c r="AD4" s="39"/>
      <c r="AE4" s="39"/>
      <c r="AF4" s="39"/>
      <c r="AG4" s="39"/>
      <c r="AH4" s="39" t="s">
        <v>19</v>
      </c>
      <c r="AI4" s="39"/>
      <c r="AJ4" s="39"/>
      <c r="AK4" s="39"/>
      <c r="AL4" s="39"/>
      <c r="AM4" s="39" t="s">
        <v>32</v>
      </c>
      <c r="AN4" s="39"/>
      <c r="AO4" s="39"/>
      <c r="AP4" s="39"/>
      <c r="AQ4" s="39"/>
      <c r="AR4" s="39" t="s">
        <v>33</v>
      </c>
      <c r="AS4" s="39"/>
      <c r="AT4" s="39"/>
      <c r="AU4" s="39"/>
      <c r="AV4" s="39"/>
      <c r="AW4" s="39" t="s">
        <v>34</v>
      </c>
      <c r="AX4" s="39"/>
      <c r="AY4" s="39"/>
      <c r="AZ4" s="39"/>
      <c r="BA4" s="39"/>
    </row>
    <row r="5" spans="3:53">
      <c r="C5" s="1">
        <v>19</v>
      </c>
      <c r="D5" s="1">
        <v>19.2</v>
      </c>
      <c r="E5" s="1">
        <v>22.5</v>
      </c>
      <c r="F5" s="1">
        <v>22.2</v>
      </c>
      <c r="G5" s="1">
        <v>23.3</v>
      </c>
      <c r="H5" s="1">
        <v>19.3</v>
      </c>
      <c r="I5" s="1">
        <v>21</v>
      </c>
      <c r="J5" s="1">
        <v>19</v>
      </c>
      <c r="K5" s="1">
        <v>20.2</v>
      </c>
      <c r="L5" s="1">
        <v>20.9</v>
      </c>
      <c r="M5" s="1">
        <v>20.7</v>
      </c>
      <c r="N5" s="1">
        <v>19.399999999999999</v>
      </c>
      <c r="O5" s="1">
        <v>22</v>
      </c>
      <c r="P5" s="1">
        <v>22.6</v>
      </c>
      <c r="Q5" s="1">
        <v>24.5</v>
      </c>
      <c r="R5" s="1">
        <v>23.1</v>
      </c>
      <c r="S5" s="1">
        <v>22.1</v>
      </c>
      <c r="T5" s="1">
        <v>19.8</v>
      </c>
      <c r="U5" s="1">
        <v>21.4</v>
      </c>
      <c r="V5" s="1">
        <v>18.899999999999999</v>
      </c>
      <c r="W5" s="1">
        <v>20.9</v>
      </c>
      <c r="X5" s="1">
        <v>22</v>
      </c>
      <c r="Y5" s="1">
        <v>19.399999999999999</v>
      </c>
      <c r="Z5" s="1">
        <v>20.399999999999999</v>
      </c>
      <c r="AA5" s="1">
        <v>23.7</v>
      </c>
      <c r="AB5" s="1">
        <v>20.8</v>
      </c>
      <c r="AC5" s="1">
        <v>21.3</v>
      </c>
      <c r="AD5" s="1">
        <v>13.6</v>
      </c>
      <c r="AE5" s="1">
        <v>20.9</v>
      </c>
      <c r="AF5" s="1">
        <v>19.100000000000001</v>
      </c>
      <c r="AG5" s="1">
        <v>24.2</v>
      </c>
      <c r="AH5" s="1">
        <v>19</v>
      </c>
      <c r="AI5" s="1">
        <v>19.899999999999999</v>
      </c>
      <c r="AJ5" s="1">
        <v>19.600000000000001</v>
      </c>
      <c r="AK5" s="1">
        <v>19.3</v>
      </c>
      <c r="AL5" s="1">
        <v>20.100000000000001</v>
      </c>
      <c r="AM5" s="1">
        <v>19</v>
      </c>
      <c r="AN5" s="1">
        <v>24</v>
      </c>
      <c r="AO5" s="1">
        <v>19.2</v>
      </c>
      <c r="AP5" s="1">
        <v>23</v>
      </c>
      <c r="AQ5" s="1">
        <v>19.899999999999999</v>
      </c>
      <c r="AR5" s="1">
        <v>20.399999999999999</v>
      </c>
      <c r="AS5" s="1">
        <v>26.7</v>
      </c>
      <c r="AT5" s="1">
        <v>20.3</v>
      </c>
      <c r="AU5" s="1">
        <v>21.6</v>
      </c>
      <c r="AV5" s="1">
        <v>26.5</v>
      </c>
      <c r="AW5" s="1">
        <v>27.3</v>
      </c>
      <c r="AX5" s="1">
        <v>24.5</v>
      </c>
      <c r="AY5" s="1">
        <v>20.5</v>
      </c>
      <c r="AZ5" s="1">
        <v>21</v>
      </c>
      <c r="BA5" s="1">
        <v>20.7</v>
      </c>
    </row>
    <row r="6" spans="3:53">
      <c r="C6" s="1">
        <v>26</v>
      </c>
      <c r="D6" s="1">
        <v>19.3</v>
      </c>
      <c r="E6" s="1">
        <v>22.9</v>
      </c>
      <c r="F6" s="1">
        <v>22.5</v>
      </c>
      <c r="G6" s="1">
        <v>22.5</v>
      </c>
      <c r="H6" s="1">
        <v>19.5</v>
      </c>
      <c r="I6" s="1">
        <v>21.3</v>
      </c>
      <c r="J6" s="1">
        <v>19.7</v>
      </c>
      <c r="K6" s="1">
        <v>20.5</v>
      </c>
      <c r="L6" s="1">
        <v>20.6</v>
      </c>
      <c r="M6" s="1">
        <v>21.4</v>
      </c>
      <c r="N6" s="1">
        <v>19.600000000000001</v>
      </c>
      <c r="O6" s="1">
        <v>21.2</v>
      </c>
      <c r="P6" s="1">
        <v>21.6</v>
      </c>
      <c r="Q6" s="1">
        <v>23.9</v>
      </c>
      <c r="R6" s="1">
        <v>23.7</v>
      </c>
      <c r="S6" s="1">
        <v>21.9</v>
      </c>
      <c r="T6" s="1">
        <v>20.3</v>
      </c>
      <c r="U6" s="1">
        <v>21.6</v>
      </c>
      <c r="V6" s="1">
        <v>19.600000000000001</v>
      </c>
      <c r="W6" s="1">
        <v>21</v>
      </c>
      <c r="X6" s="1">
        <v>22</v>
      </c>
      <c r="Y6" s="1">
        <v>19.5</v>
      </c>
      <c r="Z6" s="1">
        <v>22</v>
      </c>
      <c r="AA6" s="1">
        <v>22.5</v>
      </c>
      <c r="AB6" s="1">
        <v>20.5</v>
      </c>
      <c r="AC6" s="1">
        <v>19.3</v>
      </c>
      <c r="AD6" s="1">
        <v>23.9</v>
      </c>
      <c r="AE6" s="1">
        <v>20.7</v>
      </c>
      <c r="AF6" s="1">
        <v>19.3</v>
      </c>
      <c r="AG6" s="1">
        <v>24.9</v>
      </c>
      <c r="AH6" s="1">
        <v>19.899999999999999</v>
      </c>
      <c r="AI6" s="1">
        <v>18.600000000000001</v>
      </c>
      <c r="AJ6" s="1">
        <v>21.7</v>
      </c>
      <c r="AK6" s="1">
        <v>19.600000000000001</v>
      </c>
      <c r="AL6" s="1">
        <v>20.6</v>
      </c>
      <c r="AM6" s="1">
        <v>19.399999999999999</v>
      </c>
      <c r="AN6" s="1">
        <v>23.3</v>
      </c>
      <c r="AO6" s="1">
        <v>19.2</v>
      </c>
      <c r="AP6" s="1">
        <v>24</v>
      </c>
      <c r="AQ6" s="1">
        <v>18.899999999999999</v>
      </c>
      <c r="AR6" s="1">
        <v>20</v>
      </c>
      <c r="AS6" s="1">
        <v>25.9</v>
      </c>
      <c r="AT6" s="1">
        <v>20.2</v>
      </c>
      <c r="AU6" s="1">
        <v>21.6</v>
      </c>
      <c r="AV6" s="1">
        <v>23.8</v>
      </c>
      <c r="AW6" s="1">
        <v>25.3</v>
      </c>
      <c r="AX6" s="1">
        <v>24.3</v>
      </c>
      <c r="AY6" s="1">
        <v>20.3</v>
      </c>
      <c r="AZ6" s="1">
        <v>20.7</v>
      </c>
      <c r="BA6" s="1">
        <v>20.399999999999999</v>
      </c>
    </row>
    <row r="7" spans="3:53">
      <c r="C7" s="1">
        <v>31</v>
      </c>
      <c r="D7" s="1">
        <v>19.5</v>
      </c>
      <c r="E7" s="1">
        <v>23</v>
      </c>
      <c r="F7" s="1">
        <v>22.6</v>
      </c>
      <c r="G7" s="1">
        <v>22.7</v>
      </c>
      <c r="H7" s="1">
        <v>20.100000000000001</v>
      </c>
      <c r="I7" s="1">
        <v>21.4</v>
      </c>
      <c r="J7" s="1">
        <v>19.600000000000001</v>
      </c>
      <c r="K7" s="1">
        <v>20.399999999999999</v>
      </c>
      <c r="L7" s="1">
        <v>20.7</v>
      </c>
      <c r="M7" s="1">
        <v>21.6</v>
      </c>
      <c r="N7" s="1">
        <v>19.7</v>
      </c>
      <c r="O7" s="1">
        <v>21.3</v>
      </c>
      <c r="P7" s="1">
        <v>21.5</v>
      </c>
      <c r="Q7" s="1">
        <v>24</v>
      </c>
      <c r="R7" s="1">
        <v>23.8</v>
      </c>
      <c r="S7" s="1">
        <v>22.3</v>
      </c>
      <c r="T7" s="1">
        <v>20.6</v>
      </c>
      <c r="U7" s="1">
        <v>21.7</v>
      </c>
      <c r="V7" s="1">
        <v>18.899999999999999</v>
      </c>
      <c r="W7" s="1">
        <v>21.2</v>
      </c>
      <c r="X7" s="1">
        <v>22.1</v>
      </c>
      <c r="Y7" s="1">
        <v>19.600000000000001</v>
      </c>
      <c r="Z7" s="1">
        <v>22.1</v>
      </c>
      <c r="AA7" s="1">
        <v>23.8</v>
      </c>
      <c r="AB7" s="1">
        <v>20.8</v>
      </c>
      <c r="AC7" s="1">
        <v>20.8</v>
      </c>
      <c r="AD7" s="1">
        <v>23.9</v>
      </c>
      <c r="AE7" s="1">
        <v>20.9</v>
      </c>
      <c r="AF7" s="1">
        <v>19.399999999999999</v>
      </c>
      <c r="AG7" s="1">
        <v>25</v>
      </c>
      <c r="AH7" s="1">
        <v>20</v>
      </c>
      <c r="AI7" s="1">
        <v>19.2</v>
      </c>
      <c r="AJ7" s="1">
        <v>21.8</v>
      </c>
      <c r="AK7" s="1">
        <v>19.7</v>
      </c>
      <c r="AL7" s="1">
        <v>20.5</v>
      </c>
      <c r="AM7" s="1">
        <v>19.600000000000001</v>
      </c>
      <c r="AN7" s="1">
        <v>23.4</v>
      </c>
      <c r="AO7" s="1">
        <v>19.3</v>
      </c>
      <c r="AP7" s="1">
        <v>24.1</v>
      </c>
      <c r="AQ7" s="1">
        <v>19</v>
      </c>
      <c r="AR7" s="1">
        <v>20.2</v>
      </c>
      <c r="AS7" s="1">
        <v>26.2</v>
      </c>
      <c r="AT7" s="1">
        <v>20.399999999999999</v>
      </c>
      <c r="AU7" s="1">
        <v>21.7</v>
      </c>
      <c r="AV7" s="1">
        <v>26.4</v>
      </c>
      <c r="AW7" s="1">
        <v>26</v>
      </c>
      <c r="AX7" s="1">
        <v>24.5</v>
      </c>
      <c r="AY7" s="1">
        <v>20.5</v>
      </c>
      <c r="AZ7" s="1">
        <v>20.9</v>
      </c>
      <c r="BA7" s="1">
        <v>20.6</v>
      </c>
    </row>
    <row r="8" spans="3:53">
      <c r="C8" s="1">
        <v>35</v>
      </c>
      <c r="D8" s="1">
        <v>20.3</v>
      </c>
      <c r="E8" s="1">
        <v>22.7</v>
      </c>
      <c r="F8" s="1">
        <v>22.5</v>
      </c>
      <c r="G8" s="1">
        <v>24.2</v>
      </c>
      <c r="H8" s="1">
        <v>19.899999999999999</v>
      </c>
      <c r="I8" s="1">
        <v>22</v>
      </c>
      <c r="J8" s="1">
        <v>20.3</v>
      </c>
      <c r="K8" s="1">
        <v>20.9</v>
      </c>
      <c r="L8" s="1">
        <v>20.77</v>
      </c>
      <c r="M8" s="1">
        <v>21.6</v>
      </c>
      <c r="N8" s="1">
        <v>20.6</v>
      </c>
      <c r="O8" s="1">
        <v>20.6</v>
      </c>
      <c r="P8" s="1">
        <v>22.3</v>
      </c>
      <c r="Q8" s="1">
        <v>22.5</v>
      </c>
      <c r="R8" s="1">
        <v>23.8</v>
      </c>
      <c r="S8" s="1">
        <v>22</v>
      </c>
      <c r="T8" s="1">
        <v>20.399999999999999</v>
      </c>
      <c r="U8" s="1">
        <v>21.8</v>
      </c>
      <c r="V8" s="1">
        <v>19.2</v>
      </c>
      <c r="W8" s="1">
        <v>20.8</v>
      </c>
      <c r="X8" s="1">
        <v>22.6</v>
      </c>
      <c r="Y8" s="1">
        <v>20</v>
      </c>
      <c r="Z8" s="1">
        <v>20.6</v>
      </c>
      <c r="AA8" s="1">
        <v>23.4</v>
      </c>
      <c r="AB8" s="1">
        <v>21.8</v>
      </c>
      <c r="AC8" s="1">
        <v>20.3</v>
      </c>
      <c r="AD8" s="1">
        <v>25.2</v>
      </c>
      <c r="AE8" s="1">
        <v>21.8</v>
      </c>
      <c r="AF8" s="1">
        <v>20.6</v>
      </c>
      <c r="AG8" s="1">
        <v>24.2</v>
      </c>
      <c r="AH8" s="1">
        <v>19.8</v>
      </c>
      <c r="AI8" s="1">
        <v>20.8</v>
      </c>
      <c r="AJ8" s="1">
        <v>20.2</v>
      </c>
      <c r="AK8" s="1">
        <v>20.7</v>
      </c>
      <c r="AL8" s="1">
        <v>21.4</v>
      </c>
      <c r="AM8" s="1">
        <v>20.399999999999999</v>
      </c>
      <c r="AN8" s="1">
        <v>24.4</v>
      </c>
      <c r="AO8" s="1">
        <v>26.5</v>
      </c>
      <c r="AP8" s="1">
        <v>24.5</v>
      </c>
      <c r="AQ8" s="1">
        <v>19.2</v>
      </c>
      <c r="AR8" s="1">
        <v>16.600000000000001</v>
      </c>
      <c r="AS8" s="1">
        <v>25.6</v>
      </c>
      <c r="AT8" s="1">
        <v>18.8</v>
      </c>
      <c r="AU8" s="1">
        <v>26.5</v>
      </c>
      <c r="AV8" s="1">
        <v>24.8</v>
      </c>
      <c r="AW8" s="1">
        <v>19.5</v>
      </c>
      <c r="AX8" s="1">
        <v>24.9</v>
      </c>
      <c r="AY8" s="1">
        <v>21.6</v>
      </c>
      <c r="AZ8" s="1">
        <v>21.6</v>
      </c>
      <c r="BA8" s="1">
        <v>22.1</v>
      </c>
    </row>
    <row r="9" spans="3:53">
      <c r="C9" s="1">
        <v>41</v>
      </c>
      <c r="D9" s="1">
        <v>20.9</v>
      </c>
      <c r="E9" s="1">
        <v>22</v>
      </c>
      <c r="F9" s="1">
        <v>22.3</v>
      </c>
      <c r="G9" s="1">
        <v>24.5</v>
      </c>
      <c r="H9" s="1">
        <v>20.100000000000001</v>
      </c>
      <c r="I9" s="1">
        <v>22.6</v>
      </c>
      <c r="J9" s="1">
        <v>22</v>
      </c>
      <c r="K9" s="1">
        <v>20.100000000000001</v>
      </c>
      <c r="L9" s="1">
        <v>20.100000000000001</v>
      </c>
      <c r="M9" s="1">
        <v>22</v>
      </c>
      <c r="N9" s="1">
        <v>20.8</v>
      </c>
      <c r="O9" s="1">
        <v>20.9</v>
      </c>
      <c r="P9" s="1">
        <v>21.3</v>
      </c>
      <c r="Q9" s="1">
        <v>20.100000000000001</v>
      </c>
      <c r="R9" s="1">
        <v>23.8</v>
      </c>
      <c r="S9" s="1">
        <v>22.3</v>
      </c>
      <c r="T9" s="1">
        <v>20.5</v>
      </c>
      <c r="U9" s="1">
        <v>21.4</v>
      </c>
      <c r="V9" s="1">
        <v>19.3</v>
      </c>
      <c r="W9" s="1">
        <v>20.7</v>
      </c>
      <c r="X9" s="1">
        <v>23</v>
      </c>
      <c r="Y9" s="1">
        <v>21.3</v>
      </c>
      <c r="Z9" s="1">
        <v>22</v>
      </c>
      <c r="AA9" s="1">
        <v>24.1</v>
      </c>
      <c r="AB9" s="1">
        <v>22.3</v>
      </c>
      <c r="AC9" s="1">
        <v>20.5</v>
      </c>
      <c r="AD9" s="1">
        <v>25.1</v>
      </c>
      <c r="AE9" s="1">
        <v>22</v>
      </c>
      <c r="AF9" s="1">
        <v>21.1</v>
      </c>
      <c r="AG9" s="1">
        <v>24.3</v>
      </c>
      <c r="AH9" s="1">
        <v>19.5</v>
      </c>
      <c r="AI9" s="1">
        <v>21</v>
      </c>
      <c r="AJ9" s="1">
        <v>20</v>
      </c>
      <c r="AK9" s="1">
        <v>19.8</v>
      </c>
      <c r="AL9" s="1">
        <v>21.2</v>
      </c>
      <c r="AM9" s="1">
        <v>23</v>
      </c>
      <c r="AN9" s="1">
        <v>24.1</v>
      </c>
      <c r="AO9" s="1">
        <v>25.4</v>
      </c>
      <c r="AP9" s="1">
        <v>23.1</v>
      </c>
      <c r="AQ9" s="1">
        <v>19.5</v>
      </c>
      <c r="AR9" s="1">
        <v>19.5</v>
      </c>
      <c r="AS9" s="1">
        <v>26.3</v>
      </c>
      <c r="AT9" s="1">
        <v>19.899999999999999</v>
      </c>
      <c r="AU9" s="1">
        <v>25.4</v>
      </c>
      <c r="AV9" s="1">
        <v>24.4</v>
      </c>
      <c r="AW9" s="1">
        <v>20.100000000000001</v>
      </c>
      <c r="AX9" s="1">
        <v>24.5</v>
      </c>
      <c r="AY9" s="1">
        <v>21</v>
      </c>
      <c r="AZ9" s="1">
        <v>22</v>
      </c>
      <c r="BA9" s="1">
        <v>21.8</v>
      </c>
    </row>
    <row r="10" spans="3:53">
      <c r="C10" s="1">
        <v>48</v>
      </c>
      <c r="D10" s="1">
        <v>21.6</v>
      </c>
      <c r="E10" s="1">
        <v>20.8</v>
      </c>
      <c r="F10" s="1">
        <v>22.2</v>
      </c>
      <c r="G10" s="1">
        <v>24.9</v>
      </c>
      <c r="H10" s="1">
        <v>20.9</v>
      </c>
      <c r="I10" s="1">
        <v>23.1</v>
      </c>
      <c r="J10" s="1">
        <v>22.1</v>
      </c>
      <c r="K10" s="1">
        <v>20.7</v>
      </c>
      <c r="L10" s="1">
        <v>19.899999999999999</v>
      </c>
      <c r="M10" s="1">
        <v>22.5</v>
      </c>
      <c r="N10" s="1">
        <v>20.9</v>
      </c>
      <c r="O10" s="1">
        <v>21.6</v>
      </c>
      <c r="P10" s="1">
        <v>21.3</v>
      </c>
      <c r="Q10" s="1">
        <v>19.899999999999999</v>
      </c>
      <c r="R10" s="1">
        <v>23.6</v>
      </c>
      <c r="S10" s="1">
        <v>22.5</v>
      </c>
      <c r="T10" s="1">
        <v>20.7</v>
      </c>
      <c r="U10" s="1">
        <v>21.6</v>
      </c>
      <c r="V10" s="1">
        <v>19.399999999999999</v>
      </c>
      <c r="W10" s="1">
        <v>20.8</v>
      </c>
      <c r="X10" s="1">
        <v>23</v>
      </c>
      <c r="Y10" s="1">
        <v>22.5</v>
      </c>
      <c r="Z10" s="1">
        <v>22.7</v>
      </c>
      <c r="AA10" s="1">
        <v>25.4</v>
      </c>
      <c r="AB10" s="1">
        <v>23.5</v>
      </c>
      <c r="AC10" s="1">
        <v>20.6</v>
      </c>
      <c r="AD10" s="1">
        <v>25.1</v>
      </c>
      <c r="AE10" s="1">
        <v>22</v>
      </c>
      <c r="AF10" s="1">
        <v>21.2</v>
      </c>
      <c r="AG10" s="1">
        <v>24.5</v>
      </c>
      <c r="AH10" s="1">
        <v>19.5</v>
      </c>
      <c r="AI10" s="1">
        <v>21.6</v>
      </c>
      <c r="AJ10" s="1">
        <v>19.399999999999999</v>
      </c>
      <c r="AK10" s="1">
        <v>19.5</v>
      </c>
      <c r="AL10" s="1">
        <v>21</v>
      </c>
      <c r="AM10" s="1">
        <v>25.2</v>
      </c>
      <c r="AN10" s="1">
        <v>24.1</v>
      </c>
      <c r="AO10" s="1">
        <v>19.100000000000001</v>
      </c>
      <c r="AP10" s="1">
        <v>21.3</v>
      </c>
      <c r="AQ10" s="1">
        <v>19.3</v>
      </c>
      <c r="AR10" s="1">
        <v>19.899999999999999</v>
      </c>
      <c r="AS10" s="1">
        <v>25.2</v>
      </c>
      <c r="AT10" s="1">
        <v>21</v>
      </c>
      <c r="AU10" s="1">
        <v>24.6</v>
      </c>
      <c r="AV10" s="1">
        <v>23.7</v>
      </c>
      <c r="AW10" s="1">
        <v>22</v>
      </c>
      <c r="AX10" s="1">
        <v>24.3</v>
      </c>
      <c r="AY10" s="1">
        <v>20.6</v>
      </c>
      <c r="AZ10" s="1">
        <v>22.2</v>
      </c>
      <c r="BA10" s="1">
        <v>20.7</v>
      </c>
    </row>
  </sheetData>
  <mergeCells count="10">
    <mergeCell ref="AH4:AL4"/>
    <mergeCell ref="AM4:AQ4"/>
    <mergeCell ref="AR4:AV4"/>
    <mergeCell ref="AW4:BA4"/>
    <mergeCell ref="D4:H4"/>
    <mergeCell ref="I4:M4"/>
    <mergeCell ref="N4:R4"/>
    <mergeCell ref="S4:W4"/>
    <mergeCell ref="X4:AB4"/>
    <mergeCell ref="AC4:AG4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7866-6A09-41D7-8D91-6CF960A7BB93}">
  <dimension ref="D5:P29"/>
  <sheetViews>
    <sheetView workbookViewId="0">
      <selection activeCell="R47" sqref="R47"/>
    </sheetView>
  </sheetViews>
  <sheetFormatPr defaultRowHeight="14.4"/>
  <sheetData>
    <row r="5" spans="4:16">
      <c r="E5" t="s">
        <v>264</v>
      </c>
      <c r="F5" t="s">
        <v>185</v>
      </c>
      <c r="G5" t="s">
        <v>265</v>
      </c>
      <c r="H5" t="s">
        <v>266</v>
      </c>
      <c r="I5" t="s">
        <v>267</v>
      </c>
      <c r="J5" t="s">
        <v>266</v>
      </c>
      <c r="M5" t="s">
        <v>268</v>
      </c>
      <c r="O5" t="s">
        <v>269</v>
      </c>
      <c r="P5" t="s">
        <v>266</v>
      </c>
    </row>
    <row r="6" spans="4:16">
      <c r="D6" t="s">
        <v>22</v>
      </c>
      <c r="E6">
        <v>79.09</v>
      </c>
      <c r="F6">
        <v>0.22</v>
      </c>
      <c r="M6">
        <v>-1.44</v>
      </c>
    </row>
    <row r="7" spans="4:16">
      <c r="E7">
        <v>80.66</v>
      </c>
      <c r="F7">
        <v>0.191</v>
      </c>
      <c r="G7">
        <v>81.296666666666667</v>
      </c>
      <c r="H7">
        <v>2.5844986618942811</v>
      </c>
      <c r="I7">
        <v>0.21966666666666668</v>
      </c>
      <c r="J7">
        <v>2.8501461950807324E-2</v>
      </c>
      <c r="M7">
        <v>-5.45</v>
      </c>
      <c r="O7">
        <v>-4.706666666666667</v>
      </c>
      <c r="P7">
        <v>2.9657095834442941</v>
      </c>
    </row>
    <row r="8" spans="4:16">
      <c r="E8">
        <v>84.14</v>
      </c>
      <c r="F8">
        <v>0.248</v>
      </c>
      <c r="M8">
        <v>-7.23</v>
      </c>
    </row>
    <row r="10" spans="4:16">
      <c r="D10" t="s">
        <v>270</v>
      </c>
      <c r="E10">
        <v>87.69</v>
      </c>
      <c r="F10">
        <v>0.252</v>
      </c>
      <c r="M10">
        <v>-7.38</v>
      </c>
    </row>
    <row r="11" spans="4:16">
      <c r="E11">
        <v>81.8</v>
      </c>
      <c r="F11">
        <v>0.23200000000000001</v>
      </c>
      <c r="G11">
        <v>83.663333333333341</v>
      </c>
      <c r="H11">
        <v>3.4904202230295036</v>
      </c>
      <c r="I11">
        <v>0.23133333333333331</v>
      </c>
      <c r="J11">
        <v>2.1007935008784978E-2</v>
      </c>
      <c r="M11">
        <v>-8.81</v>
      </c>
      <c r="O11">
        <v>-8.7800000000000011</v>
      </c>
      <c r="P11">
        <v>1.385243660877024</v>
      </c>
    </row>
    <row r="12" spans="4:16">
      <c r="E12">
        <v>81.5</v>
      </c>
      <c r="F12">
        <v>0.21</v>
      </c>
      <c r="M12">
        <v>-10.15</v>
      </c>
    </row>
    <row r="14" spans="4:16">
      <c r="D14" t="s">
        <v>271</v>
      </c>
      <c r="E14">
        <v>80.150000000000006</v>
      </c>
      <c r="F14">
        <v>0.216</v>
      </c>
      <c r="M14">
        <v>-10.1</v>
      </c>
    </row>
    <row r="15" spans="4:16">
      <c r="E15">
        <v>88.32</v>
      </c>
      <c r="F15">
        <v>0.29499999999999998</v>
      </c>
      <c r="G15">
        <v>82.393333333333331</v>
      </c>
      <c r="H15">
        <v>5.1828981596528889</v>
      </c>
      <c r="I15">
        <v>0.26</v>
      </c>
      <c r="J15">
        <v>4.0261644278394758E-2</v>
      </c>
      <c r="M15">
        <v>-14.1</v>
      </c>
      <c r="O15">
        <v>-11.733333333333334</v>
      </c>
      <c r="P15">
        <v>2.0984120980716128</v>
      </c>
    </row>
    <row r="16" spans="4:16">
      <c r="E16">
        <v>78.709999999999994</v>
      </c>
      <c r="F16">
        <v>0.26900000000000002</v>
      </c>
      <c r="M16">
        <v>-11</v>
      </c>
    </row>
    <row r="18" spans="4:16">
      <c r="D18" t="s">
        <v>272</v>
      </c>
      <c r="E18">
        <v>91.49</v>
      </c>
      <c r="F18">
        <v>0.224</v>
      </c>
      <c r="M18">
        <v>-11.7</v>
      </c>
    </row>
    <row r="19" spans="4:16">
      <c r="E19">
        <v>84.22</v>
      </c>
      <c r="F19">
        <v>0.247</v>
      </c>
      <c r="G19">
        <v>86.446666666666658</v>
      </c>
      <c r="H19">
        <v>4.3776058905905773</v>
      </c>
      <c r="I19">
        <v>0.23266666666666666</v>
      </c>
      <c r="J19">
        <v>1.2503332889007363E-2</v>
      </c>
      <c r="M19">
        <v>-12.8</v>
      </c>
      <c r="O19">
        <v>-12.633333333333333</v>
      </c>
      <c r="P19">
        <v>0.86216781042517143</v>
      </c>
    </row>
    <row r="20" spans="4:16">
      <c r="E20">
        <v>83.63</v>
      </c>
      <c r="F20">
        <v>0.22700000000000001</v>
      </c>
      <c r="M20">
        <v>-13.4</v>
      </c>
    </row>
    <row r="23" spans="4:16">
      <c r="D23" t="s">
        <v>273</v>
      </c>
      <c r="E23">
        <v>97.72</v>
      </c>
      <c r="F23">
        <v>0.25900000000000001</v>
      </c>
      <c r="M23">
        <v>-13.8</v>
      </c>
    </row>
    <row r="24" spans="4:16">
      <c r="E24">
        <v>80.650000000000006</v>
      </c>
      <c r="F24">
        <v>0.221</v>
      </c>
      <c r="G24">
        <v>87.320000000000007</v>
      </c>
      <c r="H24">
        <v>9.1258369479188008</v>
      </c>
      <c r="I24">
        <v>0.246</v>
      </c>
      <c r="J24">
        <v>2.1656407827707717E-2</v>
      </c>
      <c r="M24">
        <v>-14.5</v>
      </c>
      <c r="O24">
        <v>-14.800000000000002</v>
      </c>
      <c r="P24">
        <v>1.1789826122551601</v>
      </c>
    </row>
    <row r="25" spans="4:16">
      <c r="E25">
        <v>83.59</v>
      </c>
      <c r="F25">
        <v>0.25800000000000001</v>
      </c>
      <c r="M25">
        <v>-16.100000000000001</v>
      </c>
    </row>
    <row r="27" spans="4:16">
      <c r="D27" t="s">
        <v>274</v>
      </c>
      <c r="E27">
        <v>83.06</v>
      </c>
      <c r="F27">
        <v>0.16500000000000001</v>
      </c>
      <c r="M27">
        <v>-10.6</v>
      </c>
    </row>
    <row r="28" spans="4:16">
      <c r="E28">
        <v>85.75</v>
      </c>
      <c r="F28">
        <v>0.222</v>
      </c>
      <c r="G28">
        <v>84.266666666666666</v>
      </c>
      <c r="H28">
        <v>1.3661747082029194</v>
      </c>
      <c r="I28">
        <v>0.20066666666666666</v>
      </c>
      <c r="J28">
        <v>3.1085902485424914E-2</v>
      </c>
      <c r="M28">
        <v>-6.96</v>
      </c>
      <c r="O28">
        <v>-7.7133333333333338</v>
      </c>
      <c r="P28">
        <v>2.5934018842696438</v>
      </c>
    </row>
    <row r="29" spans="4:16">
      <c r="E29">
        <v>83.99</v>
      </c>
      <c r="F29">
        <v>0.215</v>
      </c>
      <c r="M29">
        <v>-5.58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55AA4-0253-46C9-A1B5-C7D25902BE51}">
  <dimension ref="B3:M16"/>
  <sheetViews>
    <sheetView workbookViewId="0">
      <selection activeCell="O24" sqref="O24"/>
    </sheetView>
  </sheetViews>
  <sheetFormatPr defaultRowHeight="14.4"/>
  <cols>
    <col min="2" max="2" width="16.5234375" customWidth="1"/>
  </cols>
  <sheetData>
    <row r="3" spans="2:13">
      <c r="B3" s="2"/>
      <c r="C3" s="39"/>
      <c r="D3" s="39"/>
      <c r="E3" s="39"/>
      <c r="F3" s="39"/>
      <c r="G3" s="39"/>
      <c r="H3" s="39"/>
      <c r="I3" s="39"/>
      <c r="J3" s="39"/>
      <c r="K3" s="39"/>
      <c r="L3" s="29"/>
      <c r="M3" s="29"/>
    </row>
    <row r="4" spans="2:13">
      <c r="B4" s="3"/>
      <c r="C4" s="1" t="s">
        <v>264</v>
      </c>
      <c r="D4" s="1" t="s">
        <v>266</v>
      </c>
      <c r="E4" s="1" t="s">
        <v>275</v>
      </c>
      <c r="F4" s="1" t="s">
        <v>276</v>
      </c>
      <c r="G4" s="1"/>
      <c r="H4" s="1"/>
      <c r="I4" s="1"/>
      <c r="J4" s="1" t="s">
        <v>277</v>
      </c>
      <c r="K4" s="1"/>
      <c r="L4" s="1" t="s">
        <v>278</v>
      </c>
      <c r="M4" s="1" t="s">
        <v>276</v>
      </c>
    </row>
    <row r="5" spans="2:13">
      <c r="B5" s="3"/>
      <c r="C5" s="1"/>
      <c r="D5" s="1"/>
      <c r="E5" s="1"/>
      <c r="F5" s="1"/>
      <c r="G5" s="1"/>
      <c r="H5" s="1"/>
      <c r="I5" s="1"/>
      <c r="J5" s="1"/>
      <c r="K5" s="1"/>
      <c r="L5" s="29"/>
      <c r="M5" s="29"/>
    </row>
    <row r="6" spans="2:13" ht="15.6">
      <c r="B6" s="3" t="s">
        <v>279</v>
      </c>
      <c r="C6" s="30">
        <v>102.7</v>
      </c>
      <c r="D6" s="30">
        <v>0.20499999999999999</v>
      </c>
      <c r="E6" s="30"/>
      <c r="F6" s="30"/>
      <c r="G6" s="1"/>
      <c r="H6" s="1"/>
      <c r="I6" s="1"/>
      <c r="J6" s="31">
        <v>-7.24</v>
      </c>
      <c r="K6" s="30"/>
      <c r="L6" s="30">
        <f>AVERAGE(J6:J8)</f>
        <v>-6.8900000000000006</v>
      </c>
      <c r="M6" s="30">
        <f>STDEV(J6:J8)</f>
        <v>1.0114840582035809</v>
      </c>
    </row>
    <row r="7" spans="2:13" ht="15.6">
      <c r="B7" s="29"/>
      <c r="C7" s="30">
        <v>115.4</v>
      </c>
      <c r="D7" s="30">
        <v>0.251</v>
      </c>
      <c r="E7" s="31">
        <f>AVERAGE(C6:C8)</f>
        <v>110.16666666666667</v>
      </c>
      <c r="F7" s="30">
        <f>AVERAGE(D6:D8)</f>
        <v>0.22099999999999997</v>
      </c>
      <c r="G7" s="29"/>
      <c r="H7" s="29"/>
      <c r="I7" s="29"/>
      <c r="J7" s="31">
        <v>-5.75</v>
      </c>
      <c r="K7" s="30"/>
      <c r="L7" s="30"/>
      <c r="M7" s="30"/>
    </row>
    <row r="8" spans="2:13" ht="15.6">
      <c r="B8" s="29"/>
      <c r="C8" s="30">
        <v>112.4</v>
      </c>
      <c r="D8" s="30">
        <v>0.20699999999999999</v>
      </c>
      <c r="E8" s="30">
        <f>STDEV(C6:C8)</f>
        <v>6.6380217936771908</v>
      </c>
      <c r="F8" s="30">
        <f>STDEV(D6:D8)</f>
        <v>2.6000000000000006E-2</v>
      </c>
      <c r="G8" s="29"/>
      <c r="H8" s="29"/>
      <c r="I8" s="29"/>
      <c r="J8" s="31">
        <v>-7.68</v>
      </c>
      <c r="K8" s="30"/>
      <c r="L8" s="30"/>
      <c r="M8" s="30"/>
    </row>
    <row r="9" spans="2:13"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</row>
    <row r="10" spans="2:13" ht="15.6">
      <c r="B10" s="3" t="s">
        <v>279</v>
      </c>
      <c r="C10" s="31">
        <v>102</v>
      </c>
      <c r="D10" s="30">
        <v>0.192</v>
      </c>
      <c r="E10" s="30"/>
      <c r="F10" s="30"/>
      <c r="G10" s="29"/>
      <c r="H10" s="29"/>
      <c r="I10" s="29"/>
      <c r="J10" s="31">
        <v>-9.09</v>
      </c>
      <c r="K10" s="30"/>
      <c r="L10" s="30">
        <f>AVERAGE(J10:J12)</f>
        <v>-5.4533333333333331</v>
      </c>
      <c r="M10" s="30">
        <f>STDEV(J10:J12)</f>
        <v>3.2768938544501776</v>
      </c>
    </row>
    <row r="11" spans="2:13" ht="15.6">
      <c r="B11" s="29"/>
      <c r="C11" s="31">
        <v>106.5</v>
      </c>
      <c r="D11" s="30">
        <v>0.223</v>
      </c>
      <c r="E11" s="31">
        <f>AVERAGE(C10:C12)</f>
        <v>106.83333333333333</v>
      </c>
      <c r="F11" s="30">
        <f>AVERAGE(D10:D12)</f>
        <v>0.20066666666666669</v>
      </c>
      <c r="G11" s="29"/>
      <c r="H11" s="29"/>
      <c r="I11" s="29"/>
      <c r="J11" s="31">
        <v>-2.73</v>
      </c>
      <c r="K11" s="30"/>
      <c r="L11" s="30"/>
      <c r="M11" s="30"/>
    </row>
    <row r="12" spans="2:13" ht="15.6">
      <c r="B12" s="29"/>
      <c r="C12" s="31">
        <v>112</v>
      </c>
      <c r="D12" s="30">
        <v>0.187</v>
      </c>
      <c r="E12" s="30">
        <f>STDEV(C10:C12)</f>
        <v>5.0083264004389063</v>
      </c>
      <c r="F12" s="30">
        <f>STDEV(D10:D12)</f>
        <v>1.9502136635080099E-2</v>
      </c>
      <c r="G12" s="29"/>
      <c r="H12" s="29"/>
      <c r="I12" s="29"/>
      <c r="J12" s="31">
        <v>-4.54</v>
      </c>
      <c r="K12" s="30"/>
      <c r="L12" s="30"/>
      <c r="M12" s="30"/>
    </row>
    <row r="13" spans="2:13"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</row>
    <row r="14" spans="2:13" ht="15.6">
      <c r="B14" s="3" t="s">
        <v>279</v>
      </c>
      <c r="C14" s="30">
        <v>140.9</v>
      </c>
      <c r="D14" s="30">
        <v>0.16500000000000001</v>
      </c>
      <c r="E14" s="30"/>
      <c r="F14" s="30"/>
      <c r="G14" s="1"/>
      <c r="H14" s="1"/>
      <c r="I14" s="1"/>
      <c r="J14" s="31">
        <v>-7.66</v>
      </c>
      <c r="K14" s="30"/>
      <c r="L14" s="30">
        <f>AVERAGE(J14:J16)</f>
        <v>-10.620000000000001</v>
      </c>
      <c r="M14" s="30">
        <f>STDEV(J14:J16)</f>
        <v>2.8304063312535135</v>
      </c>
    </row>
    <row r="15" spans="2:13" ht="15.6">
      <c r="B15" s="29"/>
      <c r="C15" s="30">
        <v>149.19999999999999</v>
      </c>
      <c r="D15" s="30">
        <v>0.20799999999999999</v>
      </c>
      <c r="E15" s="31">
        <f>AVERAGE(C14:C16)</f>
        <v>149.16666666666666</v>
      </c>
      <c r="F15" s="30">
        <f>AVERAGE(D14:D16)</f>
        <v>0.18666666666666668</v>
      </c>
      <c r="G15" s="29"/>
      <c r="H15" s="29"/>
      <c r="I15" s="29"/>
      <c r="J15" s="31">
        <v>-10.9</v>
      </c>
      <c r="K15" s="30"/>
      <c r="L15" s="30"/>
      <c r="M15" s="30"/>
    </row>
    <row r="16" spans="2:13" ht="15.6">
      <c r="B16" s="29"/>
      <c r="C16" s="30">
        <v>157.4</v>
      </c>
      <c r="D16" s="30">
        <v>0.187</v>
      </c>
      <c r="E16" s="30">
        <f>STDEV(C14:C16)</f>
        <v>8.2500505048959152</v>
      </c>
      <c r="F16" s="30">
        <f>STDEV(D13:D15)</f>
        <v>3.0405591591021457E-2</v>
      </c>
      <c r="G16" s="29"/>
      <c r="H16" s="29"/>
      <c r="I16" s="29"/>
      <c r="J16" s="31">
        <v>-13.3</v>
      </c>
      <c r="K16" s="30"/>
      <c r="L16" s="30"/>
      <c r="M16" s="30"/>
    </row>
  </sheetData>
  <mergeCells count="3">
    <mergeCell ref="C3:E3"/>
    <mergeCell ref="F3:H3"/>
    <mergeCell ref="I3:K3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F512C-644A-4D3F-BEDE-0FA610EFCADA}">
  <dimension ref="B2:Y22"/>
  <sheetViews>
    <sheetView topLeftCell="A12" workbookViewId="0">
      <selection activeCell="N32" sqref="N32"/>
    </sheetView>
  </sheetViews>
  <sheetFormatPr defaultRowHeight="14.4"/>
  <cols>
    <col min="2" max="2" width="18.83984375" customWidth="1"/>
    <col min="3" max="3" width="16.68359375" customWidth="1"/>
    <col min="4" max="4" width="12.9453125" customWidth="1"/>
    <col min="5" max="5" width="15.68359375" customWidth="1"/>
    <col min="6" max="6" width="15.41796875" customWidth="1"/>
    <col min="7" max="7" width="13.3125" customWidth="1"/>
    <col min="8" max="8" width="15.47265625" customWidth="1"/>
    <col min="12" max="12" width="14.68359375" customWidth="1"/>
    <col min="16" max="16" width="12.3671875" customWidth="1"/>
  </cols>
  <sheetData>
    <row r="2" spans="2:25" ht="14.7" thickBot="1"/>
    <row r="3" spans="2:25" ht="45">
      <c r="B3" s="20"/>
      <c r="C3" s="10" t="s">
        <v>178</v>
      </c>
      <c r="D3" s="10" t="s">
        <v>179</v>
      </c>
      <c r="E3" s="10" t="s">
        <v>180</v>
      </c>
      <c r="F3" s="10" t="s">
        <v>181</v>
      </c>
      <c r="G3" s="10" t="s">
        <v>182</v>
      </c>
      <c r="H3" s="10" t="s">
        <v>183</v>
      </c>
      <c r="I3" s="10"/>
      <c r="J3" s="10"/>
      <c r="K3" s="10"/>
      <c r="L3" s="10"/>
      <c r="M3" s="10"/>
      <c r="N3" s="10" t="s">
        <v>184</v>
      </c>
      <c r="O3" s="11"/>
      <c r="P3" s="11"/>
      <c r="Q3" s="11"/>
      <c r="R3" s="11"/>
      <c r="S3" s="11"/>
      <c r="T3" s="11" t="s">
        <v>185</v>
      </c>
      <c r="U3" s="11"/>
      <c r="V3" s="11"/>
      <c r="W3" s="11"/>
      <c r="X3" s="11"/>
      <c r="Y3" s="11"/>
    </row>
    <row r="4" spans="2:25" ht="30.3" thickBot="1">
      <c r="B4" s="21"/>
      <c r="C4" s="12" t="s">
        <v>186</v>
      </c>
      <c r="D4" s="12" t="s">
        <v>186</v>
      </c>
      <c r="E4" s="12" t="s">
        <v>186</v>
      </c>
      <c r="F4" s="12" t="s">
        <v>186</v>
      </c>
      <c r="G4" s="12" t="s">
        <v>187</v>
      </c>
      <c r="H4" s="12" t="s">
        <v>188</v>
      </c>
      <c r="I4" s="12"/>
      <c r="J4" s="12"/>
      <c r="K4" s="12"/>
      <c r="L4" s="12"/>
      <c r="M4" s="12"/>
      <c r="N4" s="12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2:25" ht="45.3" thickBot="1">
      <c r="B5" s="22" t="s">
        <v>15</v>
      </c>
      <c r="C5" s="25">
        <v>71.19</v>
      </c>
      <c r="D5" s="25">
        <v>21.73</v>
      </c>
      <c r="E5" s="25">
        <v>2</v>
      </c>
      <c r="F5" s="25">
        <v>5.08</v>
      </c>
      <c r="G5" s="25">
        <v>18.34</v>
      </c>
      <c r="H5" s="16" t="str">
        <f t="shared" ref="H5:H9" si="0">FIXED(AVERAGE(I5:K5),1)&amp;"±"&amp;FIXED(STDEV(I5:K5),1)</f>
        <v>101.7±6.4</v>
      </c>
      <c r="I5" s="25">
        <v>101.6</v>
      </c>
      <c r="J5" s="25">
        <v>108.2</v>
      </c>
      <c r="K5" s="25">
        <v>95.4</v>
      </c>
      <c r="L5" s="14">
        <f t="shared" ref="L5" si="1">AVERAGE(I5:K5)</f>
        <v>101.73333333333335</v>
      </c>
      <c r="M5" s="14">
        <f t="shared" ref="M5" si="2">STDEV(I5:K5)</f>
        <v>6.4010415819094098</v>
      </c>
      <c r="N5" s="16" t="str">
        <f t="shared" ref="N5" si="3">FIXED(AVERAGE(O5:Q5),1)&amp;"±"&amp;FIXED(STDEV(O5:Q5),1)</f>
        <v>-31.7±3.7</v>
      </c>
      <c r="O5" s="25">
        <v>-31.2</v>
      </c>
      <c r="P5" s="25">
        <v>-28.3</v>
      </c>
      <c r="Q5" s="25">
        <v>-35.6</v>
      </c>
      <c r="R5" s="14">
        <f t="shared" ref="R5" si="4">AVERAGE(O5:Q5)</f>
        <v>-31.7</v>
      </c>
      <c r="S5" s="14">
        <f t="shared" ref="S5" si="5">STDEV(O5:Q5)</f>
        <v>3.6755951898978214</v>
      </c>
      <c r="T5" s="16" t="str">
        <f t="shared" ref="T5" si="6">FIXED(AVERAGE(U5:W5),2)&amp;"±"&amp;FIXED(STDEV(U5:W5),2)</f>
        <v>0.17±0.02</v>
      </c>
      <c r="U5" s="25">
        <v>0.153</v>
      </c>
      <c r="V5" s="25">
        <v>0.186</v>
      </c>
      <c r="W5" s="25">
        <v>0.16700000000000001</v>
      </c>
      <c r="X5" s="14">
        <f t="shared" ref="X5" si="7">AVERAGE(U5:W5)</f>
        <v>0.16866666666666666</v>
      </c>
      <c r="Y5" s="14">
        <f t="shared" ref="Y5" si="8">STDEV(U5:W5)</f>
        <v>1.6563010998406461E-2</v>
      </c>
    </row>
    <row r="6" spans="2:25" ht="45.3" thickBot="1">
      <c r="B6" s="23"/>
      <c r="C6" s="14">
        <v>70.19</v>
      </c>
      <c r="D6" s="14">
        <v>21.73</v>
      </c>
      <c r="E6" s="14">
        <v>3</v>
      </c>
      <c r="F6" s="14">
        <v>5.08</v>
      </c>
      <c r="G6" s="14">
        <v>18.41</v>
      </c>
      <c r="H6" s="14" t="s">
        <v>189</v>
      </c>
      <c r="I6" s="14">
        <v>102.4</v>
      </c>
      <c r="J6" s="14">
        <v>109.9</v>
      </c>
      <c r="K6" s="14">
        <v>94.9</v>
      </c>
      <c r="L6" s="14">
        <f>AVERAGE(I6:K6)</f>
        <v>102.40000000000002</v>
      </c>
      <c r="M6" s="14">
        <f>STDEV(I6:K6)</f>
        <v>7.5</v>
      </c>
      <c r="N6" s="14" t="s">
        <v>190</v>
      </c>
      <c r="O6" s="15">
        <v>-30.7</v>
      </c>
      <c r="P6" s="15">
        <v>-41.8</v>
      </c>
      <c r="Q6" s="15">
        <v>-26.8</v>
      </c>
      <c r="R6" s="14">
        <f>AVERAGE(O6:Q6)</f>
        <v>-33.1</v>
      </c>
      <c r="S6" s="26">
        <f>STDEV(O6:Q6)</f>
        <v>7.7826730626436893</v>
      </c>
      <c r="T6" s="15" t="s">
        <v>191</v>
      </c>
      <c r="U6" s="15">
        <v>0.17199999999999999</v>
      </c>
      <c r="V6" s="15">
        <v>0.14899999999999999</v>
      </c>
      <c r="W6" s="15">
        <v>0.188</v>
      </c>
      <c r="X6" s="27">
        <f>AVERAGE(U6:W6)</f>
        <v>0.16966666666666663</v>
      </c>
      <c r="Y6" s="27">
        <f>STDEV(U6:W6)</f>
        <v>1.9604421270043484E-2</v>
      </c>
    </row>
    <row r="7" spans="2:25" ht="45.3" thickBot="1">
      <c r="B7" s="23"/>
      <c r="C7" s="14">
        <v>67.19</v>
      </c>
      <c r="D7" s="14">
        <v>21.73</v>
      </c>
      <c r="E7" s="14">
        <v>6</v>
      </c>
      <c r="F7" s="14">
        <v>5.08</v>
      </c>
      <c r="G7" s="14">
        <v>18.579999999999998</v>
      </c>
      <c r="H7" s="16" t="str">
        <f>FIXED(AVERAGE(I7:K7),1)&amp;"±"&amp;FIXED(STDEV(I7:K7),1)</f>
        <v>148.9±15.5</v>
      </c>
      <c r="I7" s="17">
        <v>165.4</v>
      </c>
      <c r="J7" s="17">
        <v>134.69999999999999</v>
      </c>
      <c r="K7" s="17">
        <v>146.69999999999999</v>
      </c>
      <c r="L7" s="14">
        <f t="shared" ref="L7:L21" si="9">AVERAGE(I7:K7)</f>
        <v>148.93333333333334</v>
      </c>
      <c r="M7" s="14">
        <f t="shared" ref="M7:M21" si="10">STDEV(I7:K7)</f>
        <v>15.471371410878017</v>
      </c>
      <c r="N7" s="16" t="str">
        <f t="shared" ref="N7:N9" si="11">FIXED(AVERAGE(O7:Q7),1)&amp;"±"&amp;FIXED(STDEV(O7:Q7),1)</f>
        <v>-25.6±3.1</v>
      </c>
      <c r="O7" s="17">
        <v>-22.6</v>
      </c>
      <c r="P7" s="17">
        <v>-25.4</v>
      </c>
      <c r="Q7" s="17">
        <v>-28.7</v>
      </c>
      <c r="R7" s="14">
        <f t="shared" ref="R7:R21" si="12">AVERAGE(O7:Q7)</f>
        <v>-25.566666666666666</v>
      </c>
      <c r="S7" s="26">
        <f t="shared" ref="S7:S22" si="13">STDEV(O7:Q7)</f>
        <v>3.0534133905079619</v>
      </c>
      <c r="T7" s="16" t="str">
        <f>FIXED(AVERAGE(U7:W7),2)&amp;"±"&amp;FIXED(STDEV(U7:W7),2)</f>
        <v>0.22±0.03</v>
      </c>
      <c r="U7" s="18">
        <v>0.214</v>
      </c>
      <c r="V7" s="18">
        <v>0.19800000000000001</v>
      </c>
      <c r="W7" s="18">
        <v>0.25600000000000001</v>
      </c>
      <c r="X7" s="27">
        <f t="shared" ref="X7:X22" si="14">AVERAGE(U7:W7)</f>
        <v>0.22266666666666668</v>
      </c>
      <c r="Y7" s="27">
        <f t="shared" ref="Y7:Y22" si="15">STDEV(U7:W7)</f>
        <v>2.9955522584881062E-2</v>
      </c>
    </row>
    <row r="8" spans="2:25" ht="45.3" thickBot="1">
      <c r="B8" s="23"/>
      <c r="C8" s="14">
        <v>63.19</v>
      </c>
      <c r="D8" s="14">
        <v>21.73</v>
      </c>
      <c r="E8" s="14">
        <v>10</v>
      </c>
      <c r="F8" s="14">
        <v>5.08</v>
      </c>
      <c r="G8" s="14">
        <v>18.829999999999998</v>
      </c>
      <c r="H8" s="16" t="str">
        <f t="shared" si="0"/>
        <v>185.1±10.4</v>
      </c>
      <c r="I8" s="17">
        <v>189.6</v>
      </c>
      <c r="J8" s="17">
        <v>173.2</v>
      </c>
      <c r="K8" s="17">
        <v>192.4</v>
      </c>
      <c r="L8" s="14">
        <f t="shared" si="9"/>
        <v>185.06666666666663</v>
      </c>
      <c r="M8" s="14">
        <f t="shared" si="10"/>
        <v>10.371756521117023</v>
      </c>
      <c r="N8" s="16" t="str">
        <f t="shared" si="11"/>
        <v>-23.8±3.4</v>
      </c>
      <c r="O8" s="17">
        <v>-24.6</v>
      </c>
      <c r="P8" s="17">
        <v>-20.100000000000001</v>
      </c>
      <c r="Q8" s="17">
        <v>-26.8</v>
      </c>
      <c r="R8" s="14">
        <f t="shared" si="12"/>
        <v>-23.833333333333332</v>
      </c>
      <c r="S8" s="26">
        <f t="shared" si="13"/>
        <v>3.4151622704248492</v>
      </c>
      <c r="T8" s="16" t="str">
        <f t="shared" ref="T8:T11" si="16">FIXED(AVERAGE(U8:W8),2)&amp;"±"&amp;FIXED(STDEV(U8:W8),2)</f>
        <v>0.23±0.01</v>
      </c>
      <c r="U8" s="18">
        <v>0.23100000000000001</v>
      </c>
      <c r="V8" s="18">
        <v>0.247</v>
      </c>
      <c r="W8" s="18">
        <v>0.218</v>
      </c>
      <c r="X8" s="27">
        <f t="shared" si="14"/>
        <v>0.23199999999999998</v>
      </c>
      <c r="Y8" s="27">
        <f t="shared" si="15"/>
        <v>1.4525839046333948E-2</v>
      </c>
    </row>
    <row r="9" spans="2:25" ht="45.3" thickBot="1">
      <c r="B9" s="23"/>
      <c r="C9" s="14">
        <v>53.19</v>
      </c>
      <c r="D9" s="14">
        <v>21.73</v>
      </c>
      <c r="E9" s="14">
        <v>20</v>
      </c>
      <c r="F9" s="14">
        <v>5.08</v>
      </c>
      <c r="G9" s="14">
        <v>19.47</v>
      </c>
      <c r="H9" s="16" t="str">
        <f t="shared" si="0"/>
        <v>206.8±6.8</v>
      </c>
      <c r="I9" s="17">
        <v>208.3</v>
      </c>
      <c r="J9" s="17">
        <v>212.7</v>
      </c>
      <c r="K9" s="17">
        <v>199.3</v>
      </c>
      <c r="L9" s="14">
        <f t="shared" si="9"/>
        <v>206.76666666666665</v>
      </c>
      <c r="M9" s="14">
        <f t="shared" si="10"/>
        <v>6.8303245408496664</v>
      </c>
      <c r="N9" s="16" t="str">
        <f t="shared" si="11"/>
        <v>-30.3±4.5</v>
      </c>
      <c r="O9" s="17">
        <v>-35.4</v>
      </c>
      <c r="P9" s="17">
        <v>-28.7</v>
      </c>
      <c r="Q9" s="17">
        <v>-26.9</v>
      </c>
      <c r="R9" s="14">
        <f t="shared" si="12"/>
        <v>-30.333333333333332</v>
      </c>
      <c r="S9" s="26">
        <f t="shared" si="13"/>
        <v>4.47921124008829</v>
      </c>
      <c r="T9" s="16" t="str">
        <f t="shared" si="16"/>
        <v>0.23±0.04</v>
      </c>
      <c r="U9" s="18">
        <v>0.27800000000000002</v>
      </c>
      <c r="V9" s="18">
        <v>0.19900000000000001</v>
      </c>
      <c r="W9" s="18">
        <v>0.22600000000000001</v>
      </c>
      <c r="X9" s="27">
        <f t="shared" si="14"/>
        <v>0.23433333333333337</v>
      </c>
      <c r="Y9" s="27">
        <f t="shared" si="15"/>
        <v>4.0153870714207951E-2</v>
      </c>
    </row>
    <row r="10" spans="2:25" ht="45.3" thickBot="1">
      <c r="B10" s="24"/>
      <c r="C10" s="14">
        <v>43.19</v>
      </c>
      <c r="D10" s="14">
        <v>21.73</v>
      </c>
      <c r="E10" s="14">
        <v>30</v>
      </c>
      <c r="F10" s="14">
        <v>5.08</v>
      </c>
      <c r="G10" s="14">
        <v>20.149999999999999</v>
      </c>
      <c r="H10" s="16" t="str">
        <f>FIXED(AVERAGE(I10:K10),1)&amp;"±"&amp;FIXED(STDEV(I10:K10),1)</f>
        <v>232.1±10.0</v>
      </c>
      <c r="I10" s="17">
        <v>223.5</v>
      </c>
      <c r="J10" s="17">
        <v>243.1</v>
      </c>
      <c r="K10" s="17">
        <v>229.8</v>
      </c>
      <c r="L10" s="14">
        <f>AVERAGE(H10:K10)</f>
        <v>232.13333333333335</v>
      </c>
      <c r="M10" s="14">
        <f>STDEV(H10:K10)</f>
        <v>10.006164766449393</v>
      </c>
      <c r="N10" s="16" t="str">
        <f>FIXED(AVERAGE(O10:Q10),1)&amp;"±"&amp;FIXED(STDEV(O10:Q10),1)</f>
        <v>-27.4±3.5</v>
      </c>
      <c r="O10" s="17">
        <v>-28.7</v>
      </c>
      <c r="P10" s="17">
        <v>-23.4</v>
      </c>
      <c r="Q10" s="17">
        <v>-30.1</v>
      </c>
      <c r="R10" s="14">
        <f t="shared" si="12"/>
        <v>-27.399999999999995</v>
      </c>
      <c r="S10" s="26">
        <f t="shared" si="13"/>
        <v>3.5341194094145241</v>
      </c>
      <c r="T10" s="16" t="str">
        <f t="shared" si="16"/>
        <v>0.27±0.05</v>
      </c>
      <c r="U10" s="18">
        <v>0.29599999999999999</v>
      </c>
      <c r="V10" s="18">
        <v>0.30099999999999999</v>
      </c>
      <c r="W10" s="18">
        <v>0.217</v>
      </c>
      <c r="X10" s="27">
        <f t="shared" si="14"/>
        <v>0.27133333333333332</v>
      </c>
      <c r="Y10" s="27">
        <f t="shared" si="15"/>
        <v>4.7120413127786878E-2</v>
      </c>
    </row>
    <row r="11" spans="2:25" ht="45.3" thickBot="1">
      <c r="B11" s="22" t="s">
        <v>16</v>
      </c>
      <c r="C11" s="14">
        <v>71.19</v>
      </c>
      <c r="D11" s="14">
        <v>21.73</v>
      </c>
      <c r="E11" s="14">
        <v>2</v>
      </c>
      <c r="F11" s="14">
        <v>5.08</v>
      </c>
      <c r="G11" s="14">
        <v>17.649999999999999</v>
      </c>
      <c r="H11" s="16" t="str">
        <f t="shared" ref="H11" si="17">FIXED(AVERAGE(I11:K11),1)&amp;"±"&amp;FIXED(STDEV(I11:K11),1)</f>
        <v>100.6±5.4</v>
      </c>
      <c r="I11" s="17">
        <v>99.8</v>
      </c>
      <c r="J11" s="17">
        <v>106.4</v>
      </c>
      <c r="K11" s="17">
        <v>95.7</v>
      </c>
      <c r="L11" s="14">
        <f t="shared" ref="L11" si="18">AVERAGE(I11:K11)</f>
        <v>100.63333333333333</v>
      </c>
      <c r="M11" s="14">
        <f t="shared" ref="M11" si="19">STDEV(I11:K11)</f>
        <v>5.3984565695514632</v>
      </c>
      <c r="N11" s="16" t="str">
        <f t="shared" ref="N11" si="20">FIXED(AVERAGE(O11:Q11),1)&amp;"±"&amp;FIXED(STDEV(O11:Q11),1)</f>
        <v>-29.6±1.6</v>
      </c>
      <c r="O11" s="17">
        <v>-31.2</v>
      </c>
      <c r="P11" s="17">
        <v>-28.1</v>
      </c>
      <c r="Q11" s="17">
        <v>-29.4</v>
      </c>
      <c r="R11" s="14">
        <f t="shared" si="12"/>
        <v>-29.566666666666663</v>
      </c>
      <c r="S11" s="26">
        <f t="shared" si="13"/>
        <v>1.556705923844748</v>
      </c>
      <c r="T11" s="16" t="str">
        <f t="shared" si="16"/>
        <v>0.19±0.02</v>
      </c>
      <c r="U11" s="18">
        <v>0.186</v>
      </c>
      <c r="V11" s="18">
        <v>0.17399999999999999</v>
      </c>
      <c r="W11" s="18">
        <v>0.20399999999999999</v>
      </c>
      <c r="X11" s="27">
        <f t="shared" si="14"/>
        <v>0.18799999999999997</v>
      </c>
      <c r="Y11" s="27">
        <f t="shared" si="15"/>
        <v>1.5099668870541498E-2</v>
      </c>
    </row>
    <row r="12" spans="2:25" ht="45.3" thickBot="1">
      <c r="B12" s="23"/>
      <c r="C12" s="14">
        <v>70.19</v>
      </c>
      <c r="D12" s="14">
        <v>21.73</v>
      </c>
      <c r="E12" s="14">
        <v>3</v>
      </c>
      <c r="F12" s="14">
        <v>5.08</v>
      </c>
      <c r="G12" s="14">
        <v>16.57</v>
      </c>
      <c r="H12" s="14" t="s">
        <v>192</v>
      </c>
      <c r="I12" s="14">
        <v>99.6</v>
      </c>
      <c r="J12" s="14">
        <v>104.3</v>
      </c>
      <c r="K12" s="14">
        <v>93.7</v>
      </c>
      <c r="L12" s="14">
        <f t="shared" si="9"/>
        <v>99.199999999999989</v>
      </c>
      <c r="M12" s="14">
        <f t="shared" si="10"/>
        <v>5.3113086899557969</v>
      </c>
      <c r="N12" s="14" t="s">
        <v>193</v>
      </c>
      <c r="O12" s="15">
        <v>-33.1</v>
      </c>
      <c r="P12" s="15">
        <v>-29.9</v>
      </c>
      <c r="Q12" s="15">
        <v>-35.700000000000003</v>
      </c>
      <c r="R12" s="14">
        <f t="shared" si="12"/>
        <v>-32.9</v>
      </c>
      <c r="S12" s="26">
        <f t="shared" si="13"/>
        <v>2.9051678092667919</v>
      </c>
      <c r="T12" s="15" t="s">
        <v>194</v>
      </c>
      <c r="U12" s="15">
        <v>0.14299999999999999</v>
      </c>
      <c r="V12" s="15">
        <v>0.17199999999999999</v>
      </c>
      <c r="W12" s="15">
        <v>0.112</v>
      </c>
      <c r="X12" s="27">
        <f t="shared" si="14"/>
        <v>0.14233333333333331</v>
      </c>
      <c r="Y12" s="27">
        <f t="shared" si="15"/>
        <v>3.0005555041247609E-2</v>
      </c>
    </row>
    <row r="13" spans="2:25" ht="45.3" thickBot="1">
      <c r="B13" s="23"/>
      <c r="C13" s="14">
        <v>67.19</v>
      </c>
      <c r="D13" s="14">
        <v>21.73</v>
      </c>
      <c r="E13" s="14">
        <v>6</v>
      </c>
      <c r="F13" s="14">
        <v>5.08</v>
      </c>
      <c r="G13" s="14">
        <v>17.87</v>
      </c>
      <c r="H13" s="16" t="str">
        <f t="shared" ref="H13:H15" si="21">FIXED(AVERAGE(I13:K13),1)&amp;"±"&amp;FIXED(STDEV(I13:K13),1)</f>
        <v>153.1±6.6</v>
      </c>
      <c r="I13" s="17">
        <v>145.69999999999999</v>
      </c>
      <c r="J13" s="17">
        <v>158.4</v>
      </c>
      <c r="K13" s="17">
        <v>155.19999999999999</v>
      </c>
      <c r="L13" s="14">
        <f>AVERAGE(I13:K13)</f>
        <v>153.1</v>
      </c>
      <c r="M13" s="14">
        <f>STDEV(I13:K13)</f>
        <v>6.6053009015487021</v>
      </c>
      <c r="N13" s="16" t="str">
        <f t="shared" ref="N13:N15" si="22">FIXED(AVERAGE(O13:Q13),1)&amp;"±"&amp;FIXED(STDEV(O13:Q13),1)</f>
        <v>-25.8±3.3</v>
      </c>
      <c r="O13" s="17">
        <v>-22.6</v>
      </c>
      <c r="P13" s="17">
        <v>-25.7</v>
      </c>
      <c r="Q13" s="17">
        <v>-29.1</v>
      </c>
      <c r="R13" s="14">
        <f t="shared" si="12"/>
        <v>-25.8</v>
      </c>
      <c r="S13" s="26">
        <f t="shared" si="13"/>
        <v>3.2511536414017446</v>
      </c>
      <c r="T13" s="16" t="str">
        <f>FIXED(AVERAGE(U13:W13),2)&amp;"±"&amp;FIXED(STDEV(U13:W13),2)</f>
        <v>0.24±0.04</v>
      </c>
      <c r="U13" s="18">
        <v>0.19900000000000001</v>
      </c>
      <c r="V13" s="18">
        <v>0.28499999999999998</v>
      </c>
      <c r="W13" s="18">
        <v>0.23799999999999999</v>
      </c>
      <c r="X13" s="27">
        <f t="shared" si="14"/>
        <v>0.24066666666666667</v>
      </c>
      <c r="Y13" s="27">
        <f t="shared" si="15"/>
        <v>4.3061970848224454E-2</v>
      </c>
    </row>
    <row r="14" spans="2:25" ht="45.3" thickBot="1">
      <c r="B14" s="23"/>
      <c r="C14" s="14">
        <v>63.19</v>
      </c>
      <c r="D14" s="14">
        <v>21.73</v>
      </c>
      <c r="E14" s="14">
        <v>10</v>
      </c>
      <c r="F14" s="14">
        <v>5.08</v>
      </c>
      <c r="G14" s="14">
        <v>18.100000000000001</v>
      </c>
      <c r="H14" s="16" t="str">
        <f t="shared" si="21"/>
        <v>178.0±5.8</v>
      </c>
      <c r="I14" s="17">
        <v>172.3</v>
      </c>
      <c r="J14" s="17">
        <v>177.9</v>
      </c>
      <c r="K14" s="17">
        <v>183.9</v>
      </c>
      <c r="L14" s="14">
        <f t="shared" si="9"/>
        <v>178.03333333333333</v>
      </c>
      <c r="M14" s="14">
        <f t="shared" si="10"/>
        <v>5.8011493114152213</v>
      </c>
      <c r="N14" s="16" t="str">
        <f t="shared" si="22"/>
        <v>-25.0±3.7</v>
      </c>
      <c r="O14" s="17">
        <v>-20.8</v>
      </c>
      <c r="P14" s="17">
        <v>-26.9</v>
      </c>
      <c r="Q14" s="17">
        <v>-27.4</v>
      </c>
      <c r="R14" s="14">
        <f t="shared" si="12"/>
        <v>-25.033333333333331</v>
      </c>
      <c r="S14" s="26">
        <f t="shared" si="13"/>
        <v>3.6746881953892809</v>
      </c>
      <c r="T14" s="16" t="str">
        <f t="shared" ref="T14:T17" si="23">FIXED(AVERAGE(U14:W14),2)&amp;"±"&amp;FIXED(STDEV(U14:W14),2)</f>
        <v>0.26±0.05</v>
      </c>
      <c r="U14" s="18">
        <v>0.20300000000000001</v>
      </c>
      <c r="V14" s="18">
        <v>0.28899999999999998</v>
      </c>
      <c r="W14" s="18">
        <v>0.27700000000000002</v>
      </c>
      <c r="X14" s="27">
        <f t="shared" si="14"/>
        <v>0.25633333333333336</v>
      </c>
      <c r="Y14" s="27">
        <f t="shared" si="15"/>
        <v>4.6576102599222798E-2</v>
      </c>
    </row>
    <row r="15" spans="2:25" ht="45.3" thickBot="1">
      <c r="B15" s="23"/>
      <c r="C15" s="14">
        <v>53.19</v>
      </c>
      <c r="D15" s="14">
        <v>21.73</v>
      </c>
      <c r="E15" s="14">
        <v>20</v>
      </c>
      <c r="F15" s="14">
        <v>5.08</v>
      </c>
      <c r="G15" s="14">
        <v>18.690000000000001</v>
      </c>
      <c r="H15" s="16" t="str">
        <f t="shared" si="21"/>
        <v>204.4±9.5</v>
      </c>
      <c r="I15" s="17">
        <v>203.4</v>
      </c>
      <c r="J15" s="17">
        <v>195.4</v>
      </c>
      <c r="K15" s="17">
        <v>214.3</v>
      </c>
      <c r="L15" s="14">
        <f t="shared" si="9"/>
        <v>204.36666666666667</v>
      </c>
      <c r="M15" s="14">
        <f t="shared" si="10"/>
        <v>9.4870086609707158</v>
      </c>
      <c r="N15" s="16" t="str">
        <f t="shared" si="22"/>
        <v>-23.8±4.3</v>
      </c>
      <c r="O15" s="17">
        <v>-18.899999999999999</v>
      </c>
      <c r="P15" s="17">
        <v>-26.7</v>
      </c>
      <c r="Q15" s="17">
        <v>-25.8</v>
      </c>
      <c r="R15" s="14">
        <f t="shared" si="12"/>
        <v>-23.799999999999997</v>
      </c>
      <c r="S15" s="26">
        <f t="shared" si="13"/>
        <v>4.267317658670378</v>
      </c>
      <c r="T15" s="16" t="str">
        <f t="shared" si="23"/>
        <v>0.23±0.02</v>
      </c>
      <c r="U15" s="18">
        <v>0.22700000000000001</v>
      </c>
      <c r="V15" s="18">
        <v>0.21299999999999999</v>
      </c>
      <c r="W15" s="18">
        <v>0.25900000000000001</v>
      </c>
      <c r="X15" s="27">
        <f t="shared" si="14"/>
        <v>0.23300000000000001</v>
      </c>
      <c r="Y15" s="27">
        <f t="shared" si="15"/>
        <v>2.3579652245103198E-2</v>
      </c>
    </row>
    <row r="16" spans="2:25" ht="45.3" thickBot="1">
      <c r="B16" s="24"/>
      <c r="C16" s="14">
        <v>43.19</v>
      </c>
      <c r="D16" s="14">
        <v>21.73</v>
      </c>
      <c r="E16" s="14">
        <v>30</v>
      </c>
      <c r="F16" s="14">
        <v>5.08</v>
      </c>
      <c r="G16" s="14">
        <v>19.32</v>
      </c>
      <c r="H16" s="16" t="str">
        <f>FIXED(AVERAGE(I16:K16),1)&amp;"±"&amp;FIXED(STDEV(I16:K16),1)</f>
        <v>240.7±15.3</v>
      </c>
      <c r="I16" s="17">
        <v>223.5</v>
      </c>
      <c r="J16" s="17">
        <v>245.8</v>
      </c>
      <c r="K16" s="17">
        <v>252.9</v>
      </c>
      <c r="L16" s="14">
        <f t="shared" si="9"/>
        <v>240.73333333333335</v>
      </c>
      <c r="M16" s="14">
        <f t="shared" si="10"/>
        <v>15.34090392816973</v>
      </c>
      <c r="N16" s="16" t="str">
        <f>FIXED(AVERAGE(O16:Q16),1)&amp;"±"&amp;FIXED(STDEV(O16:Q16),1)</f>
        <v>-23.9±3.5</v>
      </c>
      <c r="O16" s="17">
        <v>-20.399999999999999</v>
      </c>
      <c r="P16" s="17">
        <v>-23.8</v>
      </c>
      <c r="Q16" s="17">
        <v>-27.4</v>
      </c>
      <c r="R16" s="14">
        <f t="shared" si="12"/>
        <v>-23.866666666666664</v>
      </c>
      <c r="S16" s="26">
        <f t="shared" si="13"/>
        <v>3.5004761580866868</v>
      </c>
      <c r="T16" s="16" t="str">
        <f t="shared" si="23"/>
        <v>0.24±0.03</v>
      </c>
      <c r="U16" s="18">
        <v>0.19900000000000001</v>
      </c>
      <c r="V16" s="18">
        <v>0.25800000000000001</v>
      </c>
      <c r="W16" s="18">
        <v>0.249</v>
      </c>
      <c r="X16" s="27">
        <f t="shared" si="14"/>
        <v>0.23533333333333331</v>
      </c>
      <c r="Y16" s="27">
        <f t="shared" si="15"/>
        <v>3.1785741037977218E-2</v>
      </c>
    </row>
    <row r="17" spans="2:25" ht="45.3" thickBot="1">
      <c r="B17" s="22" t="s">
        <v>17</v>
      </c>
      <c r="C17" s="14">
        <v>71.19</v>
      </c>
      <c r="D17" s="14">
        <v>21.73</v>
      </c>
      <c r="E17" s="14">
        <v>2</v>
      </c>
      <c r="F17" s="14">
        <v>5.08</v>
      </c>
      <c r="G17" s="14">
        <v>17.5</v>
      </c>
      <c r="H17" s="16" t="str">
        <f>FIXED(AVERAGE(I17:K17),1)&amp;"±"&amp;FIXED(STDEV(I17:K17),1)</f>
        <v>133.6±7.4</v>
      </c>
      <c r="I17" s="19">
        <v>126.5</v>
      </c>
      <c r="J17" s="17">
        <v>133.1</v>
      </c>
      <c r="K17" s="17">
        <v>141.19999999999999</v>
      </c>
      <c r="L17" s="14">
        <f t="shared" si="9"/>
        <v>133.6</v>
      </c>
      <c r="M17" s="14">
        <f t="shared" si="10"/>
        <v>7.3627440536799806</v>
      </c>
      <c r="N17" s="16" t="str">
        <f t="shared" ref="N17" si="24">FIXED(AVERAGE(O17:Q17),1)&amp;"±"&amp;FIXED(STDEV(O17:Q17),1)</f>
        <v>-28.3±3.8</v>
      </c>
      <c r="O17" s="17">
        <v>-31.4</v>
      </c>
      <c r="P17" s="17">
        <v>-24.1</v>
      </c>
      <c r="Q17" s="17">
        <v>-29.5</v>
      </c>
      <c r="R17" s="14">
        <f t="shared" si="12"/>
        <v>-28.333333333333332</v>
      </c>
      <c r="S17" s="26">
        <f t="shared" si="13"/>
        <v>3.7872593432894517</v>
      </c>
      <c r="T17" s="16" t="str">
        <f t="shared" si="23"/>
        <v>0.18±0.03</v>
      </c>
      <c r="U17" s="18">
        <v>0.14299999999999999</v>
      </c>
      <c r="V17" s="18">
        <v>0.189</v>
      </c>
      <c r="W17" s="18">
        <v>0.20399999999999999</v>
      </c>
      <c r="X17" s="27">
        <f t="shared" si="14"/>
        <v>0.17866666666666664</v>
      </c>
      <c r="Y17" s="27">
        <f t="shared" si="15"/>
        <v>3.1785741037977003E-2</v>
      </c>
    </row>
    <row r="18" spans="2:25" ht="45.3" thickBot="1">
      <c r="B18" s="23"/>
      <c r="C18" s="14">
        <v>70.19</v>
      </c>
      <c r="D18" s="14">
        <v>21.73</v>
      </c>
      <c r="E18" s="14">
        <v>3</v>
      </c>
      <c r="F18" s="14">
        <v>5.08</v>
      </c>
      <c r="G18" s="14">
        <v>16.2</v>
      </c>
      <c r="H18" s="14" t="s">
        <v>195</v>
      </c>
      <c r="I18" s="14">
        <v>136.19999999999999</v>
      </c>
      <c r="J18" s="14">
        <v>128</v>
      </c>
      <c r="K18" s="14">
        <v>141.69999999999999</v>
      </c>
      <c r="L18" s="14">
        <f t="shared" si="9"/>
        <v>135.29999999999998</v>
      </c>
      <c r="M18" s="14">
        <f t="shared" si="10"/>
        <v>6.8942004612572676</v>
      </c>
      <c r="N18" s="14" t="s">
        <v>196</v>
      </c>
      <c r="O18" s="15">
        <v>-30.5</v>
      </c>
      <c r="P18" s="15">
        <v>-37.1</v>
      </c>
      <c r="Q18" s="15">
        <v>-24.5</v>
      </c>
      <c r="R18" s="14">
        <f t="shared" si="12"/>
        <v>-30.7</v>
      </c>
      <c r="S18" s="26">
        <f t="shared" si="13"/>
        <v>6.3023805026354944</v>
      </c>
      <c r="T18" s="15" t="s">
        <v>197</v>
      </c>
      <c r="U18" s="15">
        <v>7.0000000000000007E-2</v>
      </c>
      <c r="V18" s="15">
        <v>0.182</v>
      </c>
      <c r="W18" s="15">
        <v>0.06</v>
      </c>
      <c r="X18" s="27">
        <f t="shared" si="14"/>
        <v>0.104</v>
      </c>
      <c r="Y18" s="27">
        <f t="shared" si="15"/>
        <v>6.7734776887504414E-2</v>
      </c>
    </row>
    <row r="19" spans="2:25" ht="45.3" thickBot="1">
      <c r="B19" s="23"/>
      <c r="C19" s="14">
        <v>67.19</v>
      </c>
      <c r="D19" s="14">
        <v>21.73</v>
      </c>
      <c r="E19" s="14">
        <v>6</v>
      </c>
      <c r="F19" s="14">
        <v>5.08</v>
      </c>
      <c r="G19" s="14">
        <v>17.72</v>
      </c>
      <c r="H19" s="16" t="str">
        <f>FIXED(AVERAGE(I19:K19),1)&amp;"±"&amp;FIXED(STDEV(I19:K19),1)</f>
        <v>162.3±9.2</v>
      </c>
      <c r="I19" s="17">
        <v>153.19999999999999</v>
      </c>
      <c r="J19" s="17">
        <v>162.1</v>
      </c>
      <c r="K19" s="17">
        <v>171.5</v>
      </c>
      <c r="L19" s="14">
        <f>AVERAGE(I19:K19)</f>
        <v>162.26666666666665</v>
      </c>
      <c r="M19" s="14">
        <f>STDEV(I19:K19)</f>
        <v>9.1511383627029392</v>
      </c>
      <c r="N19" s="16" t="str">
        <f t="shared" ref="N19:N21" si="25">FIXED(AVERAGE(O19:Q19),1)&amp;"±"&amp;FIXED(STDEV(O19:Q19),1)</f>
        <v>-28.8±4.1</v>
      </c>
      <c r="O19" s="17">
        <v>-33.1</v>
      </c>
      <c r="P19" s="17">
        <v>-28.4</v>
      </c>
      <c r="Q19" s="17">
        <v>-24.9</v>
      </c>
      <c r="R19" s="14">
        <f t="shared" si="12"/>
        <v>-28.8</v>
      </c>
      <c r="S19" s="26">
        <f t="shared" si="13"/>
        <v>4.1146081222881765</v>
      </c>
      <c r="T19" s="16" t="str">
        <f>FIXED(AVERAGE(U19:W19),2)&amp;"±"&amp;FIXED(STDEV(U19:W19),2)</f>
        <v>0.22±0.04</v>
      </c>
      <c r="U19" s="18">
        <v>0.187</v>
      </c>
      <c r="V19" s="18">
        <v>0.221</v>
      </c>
      <c r="W19" s="18">
        <v>0.25900000000000001</v>
      </c>
      <c r="X19" s="27">
        <f t="shared" si="14"/>
        <v>0.22233333333333336</v>
      </c>
      <c r="Y19" s="27">
        <f t="shared" si="15"/>
        <v>3.6018513757973561E-2</v>
      </c>
    </row>
    <row r="20" spans="2:25" ht="45.3" thickBot="1">
      <c r="B20" s="23"/>
      <c r="C20" s="14">
        <v>63.19</v>
      </c>
      <c r="D20" s="14">
        <v>21.73</v>
      </c>
      <c r="E20" s="14">
        <v>10</v>
      </c>
      <c r="F20" s="14">
        <v>5.08</v>
      </c>
      <c r="G20" s="14">
        <v>17.940000000000001</v>
      </c>
      <c r="H20" s="16" t="str">
        <f t="shared" ref="H20:H21" si="26">FIXED(AVERAGE(I20:K20),1)&amp;"±"&amp;FIXED(STDEV(I20:K20),1)</f>
        <v>193.5±7.9</v>
      </c>
      <c r="I20" s="19">
        <v>185.6</v>
      </c>
      <c r="J20" s="17">
        <v>193.4</v>
      </c>
      <c r="K20" s="17">
        <v>201.4</v>
      </c>
      <c r="L20" s="14">
        <f t="shared" si="9"/>
        <v>193.46666666666667</v>
      </c>
      <c r="M20" s="14">
        <f t="shared" si="10"/>
        <v>7.9002109676472205</v>
      </c>
      <c r="N20" s="16" t="str">
        <f t="shared" si="25"/>
        <v>-29.5±2.9</v>
      </c>
      <c r="O20" s="17">
        <v>-32.700000000000003</v>
      </c>
      <c r="P20" s="17">
        <v>-27.3</v>
      </c>
      <c r="Q20" s="17">
        <v>-28.4</v>
      </c>
      <c r="R20" s="14">
        <f t="shared" si="12"/>
        <v>-29.466666666666669</v>
      </c>
      <c r="S20" s="26">
        <f t="shared" si="13"/>
        <v>2.8536526301099334</v>
      </c>
      <c r="T20" s="16" t="str">
        <f t="shared" ref="T20:T22" si="27">FIXED(AVERAGE(U20:W20),2)&amp;"±"&amp;FIXED(STDEV(U20:W20),2)</f>
        <v>0.28±0.03</v>
      </c>
      <c r="U20" s="18">
        <v>0.247</v>
      </c>
      <c r="V20" s="18">
        <v>0.28899999999999998</v>
      </c>
      <c r="W20" s="18">
        <v>0.30099999999999999</v>
      </c>
      <c r="X20" s="27">
        <f t="shared" si="14"/>
        <v>0.27899999999999997</v>
      </c>
      <c r="Y20" s="27">
        <f t="shared" si="15"/>
        <v>2.8354893757515647E-2</v>
      </c>
    </row>
    <row r="21" spans="2:25" ht="45.3" thickBot="1">
      <c r="B21" s="23"/>
      <c r="C21" s="14">
        <v>53.19</v>
      </c>
      <c r="D21" s="14">
        <v>21.73</v>
      </c>
      <c r="E21" s="14">
        <v>20</v>
      </c>
      <c r="F21" s="14">
        <v>5.08</v>
      </c>
      <c r="G21" s="14">
        <v>18.52</v>
      </c>
      <c r="H21" s="16" t="str">
        <f t="shared" si="26"/>
        <v>234.7±10.3</v>
      </c>
      <c r="I21" s="17">
        <v>222.8</v>
      </c>
      <c r="J21" s="17">
        <v>239.4</v>
      </c>
      <c r="K21" s="17">
        <v>241.8</v>
      </c>
      <c r="L21" s="14">
        <f t="shared" si="9"/>
        <v>234.66666666666666</v>
      </c>
      <c r="M21" s="14">
        <f t="shared" si="10"/>
        <v>10.346658075597807</v>
      </c>
      <c r="N21" s="16" t="str">
        <f t="shared" si="25"/>
        <v>-26.2±3.6</v>
      </c>
      <c r="O21" s="17">
        <v>-22.6</v>
      </c>
      <c r="P21" s="17">
        <v>-29.7</v>
      </c>
      <c r="Q21" s="17">
        <v>-26.4</v>
      </c>
      <c r="R21" s="14">
        <f t="shared" si="12"/>
        <v>-26.233333333333331</v>
      </c>
      <c r="S21" s="26">
        <f t="shared" si="13"/>
        <v>3.5529330606322542</v>
      </c>
      <c r="T21" s="16" t="str">
        <f t="shared" si="27"/>
        <v>0.27±0.05</v>
      </c>
      <c r="U21" s="18">
        <v>0.246</v>
      </c>
      <c r="V21" s="18">
        <v>0.32100000000000001</v>
      </c>
      <c r="W21" s="18">
        <v>0.22900000000000001</v>
      </c>
      <c r="X21" s="27">
        <f t="shared" si="14"/>
        <v>0.26533333333333331</v>
      </c>
      <c r="Y21" s="27">
        <f t="shared" si="15"/>
        <v>4.8952357791360521E-2</v>
      </c>
    </row>
    <row r="22" spans="2:25" ht="45.3" thickBot="1">
      <c r="B22" s="24"/>
      <c r="C22" s="14">
        <v>43.19</v>
      </c>
      <c r="D22" s="14">
        <v>21.73</v>
      </c>
      <c r="E22" s="14">
        <v>30</v>
      </c>
      <c r="F22" s="14">
        <v>5.08</v>
      </c>
      <c r="G22" s="14">
        <v>19.14</v>
      </c>
      <c r="H22" s="16" t="str">
        <f>FIXED(AVERAGE(I22:K22),1)&amp;"±"&amp;FIXED(STDEV(I22:K22),1)</f>
        <v>270.0±11.9</v>
      </c>
      <c r="I22" s="17">
        <v>256.3</v>
      </c>
      <c r="J22" s="17">
        <v>278.2</v>
      </c>
      <c r="K22" s="17">
        <v>275.39999999999998</v>
      </c>
      <c r="L22" s="14">
        <f>AVERAGE(I22:K22)</f>
        <v>269.96666666666664</v>
      </c>
      <c r="M22" s="14">
        <f>STDEV(I22:K22)</f>
        <v>11.918193375395996</v>
      </c>
      <c r="N22" s="16" t="str">
        <f>FIXED(AVERAGE(O22:Q22),1)&amp;"±"&amp;FIXED(STDEV(O22:Q22),1)</f>
        <v>-30.9±5.4</v>
      </c>
      <c r="O22" s="17">
        <v>-24.7</v>
      </c>
      <c r="P22" s="17">
        <v>-34.200000000000003</v>
      </c>
      <c r="Q22" s="17">
        <v>-33.799999999999997</v>
      </c>
      <c r="R22" s="14">
        <f>AVERAGE(O22:Q22)</f>
        <v>-30.900000000000002</v>
      </c>
      <c r="S22" s="26">
        <f t="shared" si="13"/>
        <v>5.3730810528038653</v>
      </c>
      <c r="T22" s="16" t="str">
        <f t="shared" si="27"/>
        <v>0.25±0.04</v>
      </c>
      <c r="U22" s="18">
        <v>0.29799999999999999</v>
      </c>
      <c r="V22" s="18">
        <v>0.224</v>
      </c>
      <c r="W22" s="18">
        <v>0.219</v>
      </c>
      <c r="X22" s="27">
        <f t="shared" si="14"/>
        <v>0.247</v>
      </c>
      <c r="Y22" s="27">
        <f t="shared" si="15"/>
        <v>4.4237992721189175E-2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89A7B-F6A2-4B88-8C01-6AC7E9E2BA90}">
  <dimension ref="C5:J14"/>
  <sheetViews>
    <sheetView workbookViewId="0">
      <selection activeCell="E21" sqref="E21"/>
    </sheetView>
  </sheetViews>
  <sheetFormatPr defaultRowHeight="14.4"/>
  <cols>
    <col min="3" max="3" width="20.41796875" customWidth="1"/>
    <col min="4" max="4" width="20" customWidth="1"/>
    <col min="5" max="5" width="20.7890625" customWidth="1"/>
    <col min="6" max="6" width="16.83984375" customWidth="1"/>
    <col min="7" max="7" width="23.9453125" customWidth="1"/>
    <col min="8" max="9" width="22.83984375" customWidth="1"/>
    <col min="10" max="10" width="25.26171875" customWidth="1"/>
  </cols>
  <sheetData>
    <row r="5" spans="3:10" ht="14.7" thickBot="1"/>
    <row r="6" spans="3:10" ht="28.5" thickBot="1">
      <c r="C6" s="32"/>
      <c r="D6" s="33" t="s">
        <v>13</v>
      </c>
      <c r="E6" s="33" t="s">
        <v>14</v>
      </c>
      <c r="F6" s="33" t="s">
        <v>289</v>
      </c>
      <c r="G6" s="33" t="s">
        <v>290</v>
      </c>
      <c r="H6" s="33" t="s">
        <v>291</v>
      </c>
      <c r="I6" s="33" t="s">
        <v>292</v>
      </c>
      <c r="J6" s="34" t="s">
        <v>21</v>
      </c>
    </row>
    <row r="7" spans="3:10" ht="16.8" thickBot="1">
      <c r="C7" s="35" t="s">
        <v>293</v>
      </c>
      <c r="D7" s="36" t="s">
        <v>294</v>
      </c>
      <c r="E7" s="36" t="s">
        <v>295</v>
      </c>
      <c r="F7" s="36" t="s">
        <v>296</v>
      </c>
      <c r="G7" s="36" t="s">
        <v>297</v>
      </c>
      <c r="H7" s="36" t="s">
        <v>298</v>
      </c>
      <c r="I7" s="36" t="s">
        <v>299</v>
      </c>
      <c r="J7" s="37" t="s">
        <v>300</v>
      </c>
    </row>
    <row r="8" spans="3:10" ht="14.7" thickBot="1">
      <c r="C8" s="35" t="s">
        <v>301</v>
      </c>
      <c r="D8" s="36" t="s">
        <v>302</v>
      </c>
      <c r="E8" s="36" t="s">
        <v>303</v>
      </c>
      <c r="F8" s="36" t="s">
        <v>304</v>
      </c>
      <c r="G8" s="36" t="s">
        <v>305</v>
      </c>
      <c r="H8" s="36" t="s">
        <v>306</v>
      </c>
      <c r="I8" s="36" t="s">
        <v>307</v>
      </c>
      <c r="J8" s="37" t="s">
        <v>308</v>
      </c>
    </row>
    <row r="9" spans="3:10" ht="14.7" thickBot="1">
      <c r="C9" s="35" t="s">
        <v>309</v>
      </c>
      <c r="D9" s="36" t="s">
        <v>310</v>
      </c>
      <c r="E9" s="36" t="s">
        <v>311</v>
      </c>
      <c r="F9" s="36" t="s">
        <v>312</v>
      </c>
      <c r="G9" s="36" t="s">
        <v>313</v>
      </c>
      <c r="H9" s="36" t="s">
        <v>314</v>
      </c>
      <c r="I9" s="36" t="s">
        <v>315</v>
      </c>
      <c r="J9" s="37" t="s">
        <v>316</v>
      </c>
    </row>
    <row r="10" spans="3:10" ht="16.8" thickBot="1">
      <c r="C10" s="35" t="s">
        <v>317</v>
      </c>
      <c r="D10" s="36" t="s">
        <v>318</v>
      </c>
      <c r="E10" s="36" t="s">
        <v>319</v>
      </c>
      <c r="F10" s="36" t="s">
        <v>320</v>
      </c>
      <c r="G10" s="36" t="s">
        <v>321</v>
      </c>
      <c r="H10" s="36" t="s">
        <v>322</v>
      </c>
      <c r="I10" s="36" t="s">
        <v>323</v>
      </c>
      <c r="J10" s="37" t="s">
        <v>324</v>
      </c>
    </row>
    <row r="11" spans="3:10" ht="16.8" thickBot="1">
      <c r="C11" s="35" t="s">
        <v>325</v>
      </c>
      <c r="D11" s="36" t="s">
        <v>318</v>
      </c>
      <c r="E11" s="36" t="s">
        <v>319</v>
      </c>
      <c r="F11" s="36" t="s">
        <v>320</v>
      </c>
      <c r="G11" s="36" t="s">
        <v>326</v>
      </c>
      <c r="H11" s="36" t="s">
        <v>327</v>
      </c>
      <c r="I11" s="36" t="s">
        <v>328</v>
      </c>
      <c r="J11" s="37" t="s">
        <v>329</v>
      </c>
    </row>
    <row r="12" spans="3:10" ht="14.7" thickBot="1">
      <c r="C12" s="35" t="s">
        <v>330</v>
      </c>
      <c r="D12" s="36" t="s">
        <v>331</v>
      </c>
      <c r="E12" s="36" t="s">
        <v>332</v>
      </c>
      <c r="F12" s="36" t="s">
        <v>333</v>
      </c>
      <c r="G12" s="36" t="s">
        <v>334</v>
      </c>
      <c r="H12" s="36" t="s">
        <v>335</v>
      </c>
      <c r="I12" s="36" t="s">
        <v>336</v>
      </c>
      <c r="J12" s="37" t="s">
        <v>337</v>
      </c>
    </row>
    <row r="13" spans="3:10" ht="14.7" thickBot="1">
      <c r="C13" s="35" t="s">
        <v>338</v>
      </c>
      <c r="D13" s="36" t="s">
        <v>339</v>
      </c>
      <c r="E13" s="36" t="s">
        <v>340</v>
      </c>
      <c r="F13" s="36" t="s">
        <v>341</v>
      </c>
      <c r="G13" s="36" t="s">
        <v>342</v>
      </c>
      <c r="H13" s="36" t="s">
        <v>343</v>
      </c>
      <c r="I13" s="36" t="s">
        <v>344</v>
      </c>
      <c r="J13" s="37" t="s">
        <v>345</v>
      </c>
    </row>
    <row r="14" spans="3:10" ht="16.8" thickBot="1">
      <c r="C14" s="35" t="s">
        <v>346</v>
      </c>
      <c r="D14" s="36" t="s">
        <v>302</v>
      </c>
      <c r="E14" s="36" t="s">
        <v>303</v>
      </c>
      <c r="F14" s="36" t="s">
        <v>304</v>
      </c>
      <c r="G14" s="36" t="s">
        <v>305</v>
      </c>
      <c r="H14" s="36" t="s">
        <v>306</v>
      </c>
      <c r="I14" s="36" t="s">
        <v>307</v>
      </c>
      <c r="J14" s="37" t="s">
        <v>308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6D9B-2120-42DC-AD40-71D3B362B3B5}">
  <dimension ref="E7:L16"/>
  <sheetViews>
    <sheetView workbookViewId="0">
      <selection activeCell="P14" sqref="P14"/>
    </sheetView>
  </sheetViews>
  <sheetFormatPr defaultRowHeight="14.4"/>
  <sheetData>
    <row r="7" spans="5:12" ht="14.7" thickBot="1">
      <c r="G7" s="40" t="s">
        <v>15</v>
      </c>
      <c r="H7" s="40"/>
      <c r="I7" s="40"/>
      <c r="J7" s="40" t="s">
        <v>17</v>
      </c>
      <c r="K7" s="40"/>
      <c r="L7" s="40"/>
    </row>
    <row r="8" spans="5:12">
      <c r="E8" s="4" t="s">
        <v>116</v>
      </c>
      <c r="F8" s="4" t="s">
        <v>117</v>
      </c>
      <c r="G8" s="4" t="s">
        <v>118</v>
      </c>
      <c r="H8" s="4" t="s">
        <v>118</v>
      </c>
      <c r="I8" s="4" t="s">
        <v>118</v>
      </c>
      <c r="J8" s="4" t="s">
        <v>118</v>
      </c>
      <c r="K8" s="4" t="s">
        <v>118</v>
      </c>
      <c r="L8" s="4" t="s">
        <v>118</v>
      </c>
    </row>
    <row r="9" spans="5:12">
      <c r="E9" s="5" t="s">
        <v>119</v>
      </c>
      <c r="F9" s="5" t="s">
        <v>37</v>
      </c>
      <c r="G9" s="5">
        <v>1.5489335155807766</v>
      </c>
      <c r="H9" s="5">
        <v>1.617916527088066</v>
      </c>
      <c r="I9" s="5">
        <v>1.667654119960982</v>
      </c>
      <c r="J9" s="5">
        <v>0.8877718047543155</v>
      </c>
      <c r="K9" s="5">
        <v>0.74266107832153128</v>
      </c>
      <c r="L9" s="5">
        <v>1.3387392821939557</v>
      </c>
    </row>
    <row r="10" spans="5:12">
      <c r="E10" s="5" t="s">
        <v>120</v>
      </c>
      <c r="F10" s="5" t="s">
        <v>121</v>
      </c>
      <c r="G10" s="5">
        <v>0.93831690473223883</v>
      </c>
      <c r="H10" s="5">
        <v>0.92621172244551231</v>
      </c>
      <c r="I10" s="5">
        <v>0.9286686281079114</v>
      </c>
      <c r="J10" s="5">
        <v>0.93960337882793554</v>
      </c>
      <c r="K10" s="5">
        <v>0.91052597951565639</v>
      </c>
      <c r="L10" s="5">
        <v>0.89932311505564888</v>
      </c>
    </row>
    <row r="11" spans="5:12">
      <c r="E11" s="5" t="s">
        <v>122</v>
      </c>
      <c r="F11" s="5" t="s">
        <v>123</v>
      </c>
      <c r="G11" s="5">
        <v>0.41989647098766542</v>
      </c>
      <c r="H11" s="5">
        <v>0.39680727235672292</v>
      </c>
      <c r="I11" s="5">
        <v>0.38599373427778405</v>
      </c>
      <c r="J11" s="5">
        <v>0.73361581139583465</v>
      </c>
      <c r="K11" s="5">
        <v>0.849820374260432</v>
      </c>
      <c r="L11" s="5">
        <v>0.46563456373045886</v>
      </c>
    </row>
    <row r="12" spans="5:12">
      <c r="E12" s="5" t="s">
        <v>124</v>
      </c>
      <c r="F12" s="5" t="s">
        <v>125</v>
      </c>
      <c r="G12" s="5">
        <v>3334.0829731832573</v>
      </c>
      <c r="H12" s="5">
        <v>3528.0403343413864</v>
      </c>
      <c r="I12" s="5">
        <v>3626.833115195564</v>
      </c>
      <c r="J12" s="5">
        <v>1908.3558015853071</v>
      </c>
      <c r="K12" s="5">
        <v>1647.4069605080554</v>
      </c>
      <c r="L12" s="5">
        <v>3006.6375920343444</v>
      </c>
    </row>
    <row r="13" spans="5:12">
      <c r="E13" s="5" t="s">
        <v>126</v>
      </c>
      <c r="F13" s="5" t="s">
        <v>125</v>
      </c>
      <c r="G13" s="5">
        <v>3334.1551947482917</v>
      </c>
      <c r="H13" s="5">
        <v>3528.1611440362517</v>
      </c>
      <c r="I13" s="5">
        <v>3627.0018802752811</v>
      </c>
      <c r="J13" s="5">
        <v>1908.3558154727484</v>
      </c>
      <c r="K13" s="5">
        <v>1647.4069608161249</v>
      </c>
      <c r="L13" s="5">
        <v>3006.6496541489901</v>
      </c>
    </row>
    <row r="14" spans="5:12">
      <c r="E14" s="5" t="s">
        <v>127</v>
      </c>
      <c r="F14" s="5" t="s">
        <v>128</v>
      </c>
      <c r="G14" s="5">
        <v>7450.6322353088617</v>
      </c>
      <c r="H14" s="5">
        <v>8235.2931459013889</v>
      </c>
      <c r="I14" s="5">
        <v>8726.2630482909426</v>
      </c>
      <c r="J14" s="5">
        <v>2444.1915569028524</v>
      </c>
      <c r="K14" s="5">
        <v>1765.0869314158472</v>
      </c>
      <c r="L14" s="5">
        <v>5807.0206627003954</v>
      </c>
    </row>
    <row r="15" spans="5:12">
      <c r="E15" s="5" t="s">
        <v>129</v>
      </c>
      <c r="F15" s="5" t="s">
        <v>37</v>
      </c>
      <c r="G15" s="5">
        <v>2.2346387015950944</v>
      </c>
      <c r="H15" s="5">
        <v>2.3341601502022469</v>
      </c>
      <c r="I15" s="5">
        <v>2.4059163287857572</v>
      </c>
      <c r="J15" s="5">
        <v>1.280783980160096</v>
      </c>
      <c r="K15" s="5">
        <v>1.0714334547557234</v>
      </c>
      <c r="L15" s="5">
        <v>1.9313925234644704</v>
      </c>
    </row>
    <row r="16" spans="5:12" ht="14.7" thickBot="1">
      <c r="E16" s="6" t="s">
        <v>130</v>
      </c>
      <c r="F16" s="6" t="s">
        <v>131</v>
      </c>
      <c r="G16" s="6">
        <v>0.93831690473223883</v>
      </c>
      <c r="H16" s="6">
        <v>0.9262117224455122</v>
      </c>
      <c r="I16" s="6">
        <v>0.92866862810791129</v>
      </c>
      <c r="J16" s="6">
        <v>0.93960337882793543</v>
      </c>
      <c r="K16" s="6">
        <v>0.9105259795156565</v>
      </c>
      <c r="L16" s="6">
        <v>0.89932311505564877</v>
      </c>
    </row>
  </sheetData>
  <mergeCells count="2">
    <mergeCell ref="G7:I7"/>
    <mergeCell ref="J7:L7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471FB-A6A1-4C6A-942D-D45F9ACE82E7}">
  <dimension ref="D3:J12"/>
  <sheetViews>
    <sheetView workbookViewId="0">
      <selection activeCell="M10" sqref="M10"/>
    </sheetView>
  </sheetViews>
  <sheetFormatPr defaultRowHeight="14.4"/>
  <sheetData>
    <row r="3" spans="4:10" ht="14.7" thickBot="1"/>
    <row r="4" spans="4:10">
      <c r="D4" s="4" t="s">
        <v>116</v>
      </c>
      <c r="E4" s="4" t="s">
        <v>117</v>
      </c>
      <c r="F4" s="4" t="s">
        <v>118</v>
      </c>
      <c r="G4" s="4" t="s">
        <v>118</v>
      </c>
      <c r="H4" s="4" t="s">
        <v>118</v>
      </c>
    </row>
    <row r="5" spans="4:10">
      <c r="D5" s="5" t="s">
        <v>119</v>
      </c>
      <c r="E5" s="5" t="s">
        <v>37</v>
      </c>
      <c r="F5" s="5">
        <v>0.92903640899722095</v>
      </c>
      <c r="G5" s="5">
        <v>1.5124718329237263</v>
      </c>
      <c r="H5" s="5">
        <v>0.96855156335344694</v>
      </c>
      <c r="J5">
        <f>AVERAGE(F5:H5)</f>
        <v>1.1366866017581314</v>
      </c>
    </row>
    <row r="6" spans="4:10">
      <c r="D6" s="5" t="s">
        <v>120</v>
      </c>
      <c r="E6" s="5" t="s">
        <v>121</v>
      </c>
      <c r="F6" s="5">
        <v>1.0686447666636421</v>
      </c>
      <c r="G6" s="5">
        <v>1.1288118843551329</v>
      </c>
      <c r="H6" s="5">
        <v>1.1331519832489838</v>
      </c>
      <c r="J6">
        <f t="shared" ref="J6:J12" si="0">AVERAGE(F6:H6)</f>
        <v>1.1102028780892528</v>
      </c>
    </row>
    <row r="7" spans="4:10">
      <c r="D7" s="5" t="s">
        <v>122</v>
      </c>
      <c r="E7" s="5" t="s">
        <v>123</v>
      </c>
      <c r="F7" s="5">
        <v>0.79730794171195918</v>
      </c>
      <c r="G7" s="5">
        <v>0.51732055962378864</v>
      </c>
      <c r="H7" s="5">
        <v>0.81094402410077759</v>
      </c>
      <c r="J7">
        <f t="shared" si="0"/>
        <v>0.70852417514550847</v>
      </c>
    </row>
    <row r="8" spans="4:10">
      <c r="D8" s="5" t="s">
        <v>124</v>
      </c>
      <c r="E8" s="5" t="s">
        <v>125</v>
      </c>
      <c r="F8" s="5">
        <v>1755.908731544426</v>
      </c>
      <c r="G8" s="5">
        <v>2706.2071397150557</v>
      </c>
      <c r="H8" s="5">
        <v>1726.3829682095627</v>
      </c>
      <c r="J8">
        <f t="shared" si="0"/>
        <v>2062.8329464896815</v>
      </c>
    </row>
    <row r="9" spans="4:10">
      <c r="D9" s="5" t="s">
        <v>126</v>
      </c>
      <c r="E9" s="5" t="s">
        <v>125</v>
      </c>
      <c r="F9" s="5">
        <v>1755.9087609160845</v>
      </c>
      <c r="G9" s="5">
        <v>2706.2523883027629</v>
      </c>
      <c r="H9" s="5">
        <v>1726.383028165726</v>
      </c>
      <c r="J9">
        <f t="shared" si="0"/>
        <v>2062.8480591281914</v>
      </c>
    </row>
    <row r="10" spans="4:10">
      <c r="D10" s="5" t="s">
        <v>127</v>
      </c>
      <c r="E10" s="5" t="s">
        <v>128</v>
      </c>
      <c r="F10" s="5">
        <v>2353.4729932110854</v>
      </c>
      <c r="G10" s="5">
        <v>5905.1390886188665</v>
      </c>
      <c r="H10" s="5">
        <v>2412.3173660260809</v>
      </c>
      <c r="J10">
        <f t="shared" si="0"/>
        <v>3556.9764826186779</v>
      </c>
    </row>
    <row r="11" spans="4:10">
      <c r="D11" s="5" t="s">
        <v>129</v>
      </c>
      <c r="E11" s="5" t="s">
        <v>37</v>
      </c>
      <c r="F11" s="5">
        <v>1.3403162200655816</v>
      </c>
      <c r="G11" s="5">
        <v>2.1820356128433009</v>
      </c>
      <c r="H11" s="5">
        <v>1.3973245372952703</v>
      </c>
      <c r="J11">
        <f t="shared" si="0"/>
        <v>1.6398921234013841</v>
      </c>
    </row>
    <row r="12" spans="4:10" ht="14.7" thickBot="1">
      <c r="D12" s="6" t="s">
        <v>130</v>
      </c>
      <c r="E12" s="6" t="s">
        <v>131</v>
      </c>
      <c r="F12" s="6">
        <v>1.0686447666636423</v>
      </c>
      <c r="G12" s="6">
        <v>1.1288118843551331</v>
      </c>
      <c r="H12" s="6">
        <v>1.1331519832489836</v>
      </c>
      <c r="J12">
        <f t="shared" si="0"/>
        <v>1.110202878089253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AF56-3A91-45A8-B204-984EA85886F6}">
  <dimension ref="E3:L12"/>
  <sheetViews>
    <sheetView workbookViewId="0">
      <selection activeCell="L24" sqref="L24"/>
    </sheetView>
  </sheetViews>
  <sheetFormatPr defaultRowHeight="14.4"/>
  <sheetData>
    <row r="3" spans="5:12" ht="14.7" thickBot="1">
      <c r="G3" s="41" t="s">
        <v>235</v>
      </c>
      <c r="H3" s="41"/>
      <c r="I3" s="41"/>
      <c r="J3" s="41" t="s">
        <v>236</v>
      </c>
      <c r="K3" s="41"/>
      <c r="L3" s="41"/>
    </row>
    <row r="4" spans="5:12">
      <c r="E4" s="4" t="s">
        <v>116</v>
      </c>
      <c r="F4" s="4" t="s">
        <v>117</v>
      </c>
      <c r="G4" s="4" t="s">
        <v>118</v>
      </c>
      <c r="H4" s="4" t="s">
        <v>118</v>
      </c>
      <c r="I4" s="4" t="s">
        <v>118</v>
      </c>
      <c r="J4" s="4" t="s">
        <v>118</v>
      </c>
      <c r="K4" s="4" t="s">
        <v>118</v>
      </c>
      <c r="L4" s="4" t="s">
        <v>118</v>
      </c>
    </row>
    <row r="5" spans="5:12">
      <c r="E5" s="5" t="s">
        <v>119</v>
      </c>
      <c r="F5" s="5" t="s">
        <v>37</v>
      </c>
      <c r="G5" s="5">
        <v>2.937656736688341</v>
      </c>
      <c r="H5" s="5">
        <v>2.0158573986390342</v>
      </c>
      <c r="I5" s="5">
        <v>2.4703337564151737</v>
      </c>
      <c r="J5" s="5">
        <v>2.381415781162056</v>
      </c>
      <c r="K5" s="5">
        <v>2.3633721161335353</v>
      </c>
      <c r="L5" s="5">
        <v>2.9765889961037382</v>
      </c>
    </row>
    <row r="6" spans="5:12">
      <c r="E6" s="5" t="s">
        <v>120</v>
      </c>
      <c r="F6" s="5" t="s">
        <v>121</v>
      </c>
      <c r="G6" s="5">
        <v>1.2486760177445324</v>
      </c>
      <c r="H6" s="5">
        <v>1.1691378135897423</v>
      </c>
      <c r="I6" s="5">
        <v>1.2100820652304995</v>
      </c>
      <c r="J6" s="5">
        <v>1.3268244197701426</v>
      </c>
      <c r="K6" s="5">
        <v>1.2106602791332044</v>
      </c>
      <c r="L6" s="5">
        <v>1.4213030248589633</v>
      </c>
    </row>
    <row r="7" spans="5:12">
      <c r="E7" s="5" t="s">
        <v>122</v>
      </c>
      <c r="F7" s="5" t="s">
        <v>123</v>
      </c>
      <c r="G7" s="5">
        <v>0.29462811305453973</v>
      </c>
      <c r="H7" s="5">
        <v>0.40200491350373474</v>
      </c>
      <c r="I7" s="5">
        <v>0.33953508087014556</v>
      </c>
      <c r="J7" s="5">
        <v>0.38619237049524485</v>
      </c>
      <c r="K7" s="5">
        <v>0.35507136323075855</v>
      </c>
      <c r="L7" s="5">
        <v>0.33097353571214294</v>
      </c>
    </row>
    <row r="8" spans="5:12">
      <c r="E8" s="5" t="s">
        <v>124</v>
      </c>
      <c r="F8" s="5" t="s">
        <v>125</v>
      </c>
      <c r="G8" s="5">
        <v>4735.25209528492</v>
      </c>
      <c r="H8" s="5">
        <v>3481.6367770207435</v>
      </c>
      <c r="I8" s="5">
        <v>4118.3801444468745</v>
      </c>
      <c r="J8" s="5">
        <v>3621.782585398465</v>
      </c>
      <c r="K8" s="5">
        <v>3939.4110979018692</v>
      </c>
      <c r="L8" s="5">
        <v>4214.1273612449822</v>
      </c>
    </row>
    <row r="9" spans="5:12">
      <c r="E9" s="5" t="s">
        <v>126</v>
      </c>
      <c r="F9" s="5" t="s">
        <v>125</v>
      </c>
      <c r="G9" s="5">
        <v>4751.7529318081088</v>
      </c>
      <c r="H9" s="5">
        <v>3482.5444987676592</v>
      </c>
      <c r="I9" s="5">
        <v>4123.2852770681066</v>
      </c>
      <c r="J9" s="5">
        <v>3625.1363490290341</v>
      </c>
      <c r="K9" s="5">
        <v>3942.8693636725338</v>
      </c>
      <c r="L9" s="5">
        <v>4229.9454456008825</v>
      </c>
    </row>
    <row r="10" spans="5:12">
      <c r="E10" s="5" t="s">
        <v>127</v>
      </c>
      <c r="F10" s="5" t="s">
        <v>128</v>
      </c>
      <c r="G10" s="5">
        <v>20138.607503139734</v>
      </c>
      <c r="H10" s="5">
        <v>10128.170886101321</v>
      </c>
      <c r="I10" s="5">
        <v>14695.134154686402</v>
      </c>
      <c r="J10" s="5">
        <v>12454.724122902697</v>
      </c>
      <c r="K10" s="5">
        <v>13443.706867758016</v>
      </c>
      <c r="L10" s="5">
        <v>18164.697802454411</v>
      </c>
    </row>
    <row r="11" spans="5:12">
      <c r="E11" s="5" t="s">
        <v>129</v>
      </c>
      <c r="F11" s="5" t="s">
        <v>37</v>
      </c>
      <c r="G11" s="5">
        <v>4.2381428058543253</v>
      </c>
      <c r="H11" s="5">
        <v>2.9082674721558615</v>
      </c>
      <c r="I11" s="5">
        <v>3.5639382597207754</v>
      </c>
      <c r="J11" s="5">
        <v>3.4356567377772156</v>
      </c>
      <c r="K11" s="5">
        <v>3.4096252317211064</v>
      </c>
      <c r="L11" s="5">
        <v>4.2943101834435211</v>
      </c>
    </row>
    <row r="12" spans="5:12" ht="14.7" thickBot="1">
      <c r="E12" s="6" t="s">
        <v>130</v>
      </c>
      <c r="F12" s="6" t="s">
        <v>131</v>
      </c>
      <c r="G12" s="6">
        <v>1.2486760177445324</v>
      </c>
      <c r="H12" s="6">
        <v>1.1691378135897423</v>
      </c>
      <c r="I12" s="6">
        <v>1.2100820652304993</v>
      </c>
      <c r="J12" s="6">
        <v>1.3268244197701426</v>
      </c>
      <c r="K12" s="6">
        <v>1.2106602791332042</v>
      </c>
      <c r="L12" s="6">
        <v>1.4213030248589633</v>
      </c>
    </row>
  </sheetData>
  <mergeCells count="2">
    <mergeCell ref="G3:I3"/>
    <mergeCell ref="J3:L3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2D6FE-31E8-46F5-8935-752487CF84E6}">
  <dimension ref="C7:S16"/>
  <sheetViews>
    <sheetView workbookViewId="0">
      <selection activeCell="N24" sqref="N24"/>
    </sheetView>
  </sheetViews>
  <sheetFormatPr defaultRowHeight="14.4"/>
  <sheetData>
    <row r="7" spans="3:19" ht="14.7" thickBot="1">
      <c r="E7" s="41" t="s">
        <v>244</v>
      </c>
      <c r="F7" s="41"/>
      <c r="G7" s="41"/>
      <c r="H7" s="41" t="s">
        <v>240</v>
      </c>
      <c r="I7" s="41"/>
      <c r="J7" s="41"/>
      <c r="K7" s="42" t="s">
        <v>245</v>
      </c>
      <c r="L7" s="42"/>
      <c r="M7" s="42"/>
      <c r="N7" s="42" t="s">
        <v>246</v>
      </c>
      <c r="O7" s="42"/>
      <c r="P7" s="42"/>
      <c r="Q7" s="41" t="s">
        <v>247</v>
      </c>
      <c r="R7" s="41"/>
      <c r="S7" s="41"/>
    </row>
    <row r="8" spans="3:19">
      <c r="C8" s="4" t="s">
        <v>116</v>
      </c>
      <c r="D8" s="4" t="s">
        <v>117</v>
      </c>
      <c r="E8" s="4" t="s">
        <v>118</v>
      </c>
      <c r="F8" s="4" t="s">
        <v>118</v>
      </c>
      <c r="G8" s="4" t="s">
        <v>118</v>
      </c>
      <c r="H8" s="4" t="s">
        <v>118</v>
      </c>
      <c r="I8" s="4" t="s">
        <v>118</v>
      </c>
      <c r="J8" s="4" t="s">
        <v>118</v>
      </c>
      <c r="K8" s="4" t="s">
        <v>118</v>
      </c>
      <c r="L8" s="4" t="s">
        <v>118</v>
      </c>
      <c r="M8" s="4" t="s">
        <v>118</v>
      </c>
      <c r="N8" s="4" t="s">
        <v>118</v>
      </c>
      <c r="O8" s="4" t="s">
        <v>118</v>
      </c>
      <c r="P8" s="4" t="s">
        <v>118</v>
      </c>
      <c r="Q8" s="4" t="s">
        <v>118</v>
      </c>
      <c r="R8" s="4" t="s">
        <v>118</v>
      </c>
      <c r="S8" s="4" t="s">
        <v>118</v>
      </c>
    </row>
    <row r="9" spans="3:19">
      <c r="C9" s="5" t="s">
        <v>119</v>
      </c>
      <c r="D9" s="5" t="s">
        <v>37</v>
      </c>
      <c r="E9" s="5">
        <v>9.7696185005926611E-2</v>
      </c>
      <c r="F9" s="5">
        <v>9.5336382999009248E-2</v>
      </c>
      <c r="G9" s="5">
        <v>8.1986979044279637E-2</v>
      </c>
      <c r="H9" s="5">
        <v>2.2895079472658439</v>
      </c>
      <c r="I9" s="5">
        <v>2.5121330425306576</v>
      </c>
      <c r="J9" s="5">
        <v>3.0333608729261439</v>
      </c>
      <c r="K9" s="5">
        <v>3.6979508191738959</v>
      </c>
      <c r="L9" s="5">
        <v>3.9959119788528747</v>
      </c>
      <c r="M9" s="5">
        <v>3.6816881463768221</v>
      </c>
      <c r="N9" s="5">
        <v>4.3355608509626595</v>
      </c>
      <c r="O9" s="5">
        <v>3.8575226222513748</v>
      </c>
      <c r="P9" s="5">
        <v>4.3116648749629292</v>
      </c>
      <c r="Q9" s="5">
        <v>6.5604728757623558</v>
      </c>
      <c r="R9" s="5">
        <v>6.3591497343071186</v>
      </c>
      <c r="S9" s="5">
        <v>7.1695164797210449</v>
      </c>
    </row>
    <row r="10" spans="3:19">
      <c r="C10" s="5" t="s">
        <v>120</v>
      </c>
      <c r="D10" s="5" t="s">
        <v>121</v>
      </c>
      <c r="E10" s="5">
        <v>2.8697721464792689</v>
      </c>
      <c r="F10" s="5">
        <v>2.7016037358850014</v>
      </c>
      <c r="G10" s="5">
        <v>2.1875269179192252</v>
      </c>
      <c r="H10" s="5">
        <v>1.151470365317645</v>
      </c>
      <c r="I10" s="5">
        <v>1.1253373821857029</v>
      </c>
      <c r="J10" s="5">
        <v>1.0445996945203662</v>
      </c>
      <c r="K10" s="5">
        <v>0.95873380726853241</v>
      </c>
      <c r="L10" s="5">
        <v>0.98674197503522254</v>
      </c>
      <c r="M10" s="5">
        <v>0.96941350047489083</v>
      </c>
      <c r="N10" s="5">
        <v>1.0347997250715619</v>
      </c>
      <c r="O10" s="5">
        <v>1.0402368632273049</v>
      </c>
      <c r="P10" s="5">
        <v>0.99065212723752427</v>
      </c>
      <c r="Q10" s="5">
        <v>0.99477078854683398</v>
      </c>
      <c r="R10" s="5">
        <v>1.00725324546724</v>
      </c>
      <c r="S10" s="5">
        <v>1.0146633210276874</v>
      </c>
    </row>
    <row r="11" spans="3:19">
      <c r="C11" s="5" t="s">
        <v>122</v>
      </c>
      <c r="D11" s="5" t="s">
        <v>123</v>
      </c>
      <c r="E11" s="5">
        <v>20.360820354048595</v>
      </c>
      <c r="F11" s="5">
        <v>19.642123537856101</v>
      </c>
      <c r="G11" s="5">
        <v>18.494133254205945</v>
      </c>
      <c r="H11" s="5">
        <v>0.34860697390083389</v>
      </c>
      <c r="I11" s="5">
        <v>0.3105028358111771</v>
      </c>
      <c r="J11" s="5">
        <v>0.2386993712265113</v>
      </c>
      <c r="K11" s="5">
        <v>0.17970591495431004</v>
      </c>
      <c r="L11" s="5">
        <v>0.17116428528842703</v>
      </c>
      <c r="M11" s="5">
        <v>0.18251036153406566</v>
      </c>
      <c r="N11" s="5">
        <v>0.1654384603362905</v>
      </c>
      <c r="O11" s="5">
        <v>0.18691717961713653</v>
      </c>
      <c r="P11" s="5">
        <v>0.15925814014390577</v>
      </c>
      <c r="Q11" s="5">
        <v>0.10510257117776832</v>
      </c>
      <c r="R11" s="5">
        <v>0.10979058150476839</v>
      </c>
      <c r="S11" s="5">
        <v>9.809741314874515E-2</v>
      </c>
    </row>
    <row r="12" spans="3:19">
      <c r="C12" s="5" t="s">
        <v>124</v>
      </c>
      <c r="D12" s="5" t="s">
        <v>125</v>
      </c>
      <c r="E12" s="5">
        <v>4.9113934635799561</v>
      </c>
      <c r="F12" s="5">
        <v>5.0910992290253567</v>
      </c>
      <c r="G12" s="5">
        <v>5.4071201188765068</v>
      </c>
      <c r="H12" s="5">
        <v>1926.3250062979894</v>
      </c>
      <c r="I12" s="5">
        <v>2161.3515692176288</v>
      </c>
      <c r="J12" s="5">
        <v>2803.5680467527873</v>
      </c>
      <c r="K12" s="5">
        <v>2201.0966795038935</v>
      </c>
      <c r="L12" s="5">
        <v>2300.5765193687294</v>
      </c>
      <c r="M12" s="5">
        <v>2167.7544271061201</v>
      </c>
      <c r="N12" s="5">
        <v>2365.6935544240214</v>
      </c>
      <c r="O12" s="5">
        <v>2111.3091398768424</v>
      </c>
      <c r="P12" s="5">
        <v>2458.6381570516969</v>
      </c>
      <c r="Q12" s="5">
        <v>3504.368883401869</v>
      </c>
      <c r="R12" s="5">
        <v>3376.9938771195921</v>
      </c>
      <c r="S12" s="5">
        <v>3676.9871003583371</v>
      </c>
    </row>
    <row r="13" spans="3:19">
      <c r="C13" s="5" t="s">
        <v>126</v>
      </c>
      <c r="D13" s="5" t="s">
        <v>125</v>
      </c>
      <c r="E13" s="5">
        <v>4.9113934635799561</v>
      </c>
      <c r="F13" s="5">
        <v>5.0910992290253567</v>
      </c>
      <c r="G13" s="5">
        <v>5.4071201188765068</v>
      </c>
      <c r="H13" s="5">
        <v>1927.6722794167615</v>
      </c>
      <c r="I13" s="5">
        <v>2164.2314417014099</v>
      </c>
      <c r="J13" s="5">
        <v>2815.2566826927773</v>
      </c>
      <c r="K13" s="5">
        <v>2225.8588433313362</v>
      </c>
      <c r="L13" s="5">
        <v>2336.9361156503205</v>
      </c>
      <c r="M13" s="5">
        <v>2191.6563894666319</v>
      </c>
      <c r="N13" s="5">
        <v>2417.8174723514167</v>
      </c>
      <c r="O13" s="5">
        <v>2139.9852106656122</v>
      </c>
      <c r="P13" s="5">
        <v>2511.6455563185636</v>
      </c>
      <c r="Q13" s="5">
        <v>3805.8060380221168</v>
      </c>
      <c r="R13" s="5">
        <v>3643.2997668623088</v>
      </c>
      <c r="S13" s="5">
        <v>4077.5794912499869</v>
      </c>
    </row>
    <row r="14" spans="3:19">
      <c r="C14" s="5" t="s">
        <v>127</v>
      </c>
      <c r="D14" s="5" t="s">
        <v>128</v>
      </c>
      <c r="E14" s="5">
        <v>0.6922402888044491</v>
      </c>
      <c r="F14" s="5">
        <v>0.70023654369080457</v>
      </c>
      <c r="G14" s="5">
        <v>0.63956610703964623</v>
      </c>
      <c r="H14" s="5">
        <v>6367.2205950306898</v>
      </c>
      <c r="I14" s="5">
        <v>7843.698234464191</v>
      </c>
      <c r="J14" s="5">
        <v>12320.16764697146</v>
      </c>
      <c r="K14" s="5">
        <v>11874.991003228535</v>
      </c>
      <c r="L14" s="5">
        <v>13472.161873034454</v>
      </c>
      <c r="M14" s="5">
        <v>11641.099576444853</v>
      </c>
      <c r="N14" s="5">
        <v>15123.187501725301</v>
      </c>
      <c r="O14" s="5">
        <v>11909.507234462528</v>
      </c>
      <c r="P14" s="5">
        <v>15623.484055416888</v>
      </c>
      <c r="Q14" s="5">
        <v>36021.047164451971</v>
      </c>
      <c r="R14" s="5">
        <v>33424.775277492423</v>
      </c>
      <c r="S14" s="5">
        <v>42176.141200304672</v>
      </c>
    </row>
    <row r="15" spans="3:19">
      <c r="C15" s="5" t="s">
        <v>129</v>
      </c>
      <c r="D15" s="5" t="s">
        <v>37</v>
      </c>
      <c r="E15" s="5">
        <v>0.14094580162182105</v>
      </c>
      <c r="F15" s="5">
        <v>0.13754132696896154</v>
      </c>
      <c r="G15" s="5">
        <v>0.11828220808464959</v>
      </c>
      <c r="H15" s="5">
        <v>3.3030617615963034</v>
      </c>
      <c r="I15" s="5">
        <v>3.6242418825122833</v>
      </c>
      <c r="J15" s="5">
        <v>4.3762146885971651</v>
      </c>
      <c r="K15" s="5">
        <v>5.3350153082734595</v>
      </c>
      <c r="L15" s="5">
        <v>5.7648823957198472</v>
      </c>
      <c r="M15" s="5">
        <v>5.3115532308775215</v>
      </c>
      <c r="N15" s="5">
        <v>6.2548921391561638</v>
      </c>
      <c r="O15" s="5">
        <v>5.5652287572390486</v>
      </c>
      <c r="P15" s="5">
        <v>6.2204175330841505</v>
      </c>
      <c r="Q15" s="5">
        <v>9.4647616837489075</v>
      </c>
      <c r="R15" s="5">
        <v>9.174313785955249</v>
      </c>
      <c r="S15" s="5">
        <v>10.343425870865248</v>
      </c>
    </row>
    <row r="16" spans="3:19" ht="14.7" thickBot="1">
      <c r="C16" s="6" t="s">
        <v>130</v>
      </c>
      <c r="D16" s="6" t="s">
        <v>131</v>
      </c>
      <c r="E16" s="6">
        <v>2.8697721464792694</v>
      </c>
      <c r="F16" s="6">
        <v>2.7016037358850018</v>
      </c>
      <c r="G16" s="6">
        <v>2.1875269179192252</v>
      </c>
      <c r="H16" s="6">
        <v>1.151470365317645</v>
      </c>
      <c r="I16" s="6">
        <v>1.1253373821857029</v>
      </c>
      <c r="J16" s="6">
        <v>1.0445996945203664</v>
      </c>
      <c r="K16" s="6">
        <v>0.95873380726853252</v>
      </c>
      <c r="L16" s="6">
        <v>0.98674197503522265</v>
      </c>
      <c r="M16" s="6">
        <v>0.96941350047489094</v>
      </c>
      <c r="N16" s="6">
        <v>1.0347997250715624</v>
      </c>
      <c r="O16" s="6">
        <v>1.0402368632273047</v>
      </c>
      <c r="P16" s="6">
        <v>0.99065212723752427</v>
      </c>
      <c r="Q16" s="6">
        <v>0.99477078854683387</v>
      </c>
      <c r="R16" s="6">
        <v>1.00725324546724</v>
      </c>
      <c r="S16" s="6">
        <v>1.0146633210276874</v>
      </c>
    </row>
  </sheetData>
  <mergeCells count="5">
    <mergeCell ref="E7:G7"/>
    <mergeCell ref="H7:J7"/>
    <mergeCell ref="K7:M7"/>
    <mergeCell ref="N7:P7"/>
    <mergeCell ref="Q7:S7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64454-811B-4BB2-8EBF-37BA9114EFF0}">
  <dimension ref="D4:N13"/>
  <sheetViews>
    <sheetView workbookViewId="0">
      <selection activeCell="O16" sqref="O16:P16"/>
    </sheetView>
  </sheetViews>
  <sheetFormatPr defaultRowHeight="14.4"/>
  <sheetData>
    <row r="4" spans="4:14" ht="14.7" thickBot="1">
      <c r="F4" s="40" t="s">
        <v>14</v>
      </c>
      <c r="G4" s="40"/>
      <c r="H4" s="40"/>
      <c r="I4" s="43" t="s">
        <v>26</v>
      </c>
      <c r="J4" s="43"/>
      <c r="K4" s="43"/>
      <c r="L4" s="40" t="s">
        <v>132</v>
      </c>
      <c r="M4" s="40"/>
      <c r="N4" s="40"/>
    </row>
    <row r="5" spans="4:14">
      <c r="D5" s="4" t="s">
        <v>116</v>
      </c>
      <c r="E5" s="4" t="s">
        <v>117</v>
      </c>
      <c r="F5" s="4" t="s">
        <v>118</v>
      </c>
      <c r="G5" s="4" t="s">
        <v>118</v>
      </c>
      <c r="H5" s="4" t="s">
        <v>118</v>
      </c>
      <c r="I5" s="4" t="s">
        <v>118</v>
      </c>
      <c r="J5" s="4" t="s">
        <v>118</v>
      </c>
      <c r="K5" s="4" t="s">
        <v>118</v>
      </c>
      <c r="L5" s="4" t="s">
        <v>118</v>
      </c>
      <c r="M5" s="4" t="s">
        <v>118</v>
      </c>
      <c r="N5" s="4" t="s">
        <v>118</v>
      </c>
    </row>
    <row r="6" spans="4:14">
      <c r="D6" s="5" t="s">
        <v>119</v>
      </c>
      <c r="E6" s="5" t="s">
        <v>37</v>
      </c>
      <c r="F6" s="5">
        <v>0.91310405238664472</v>
      </c>
      <c r="G6" s="5">
        <v>1.0551291232612301</v>
      </c>
      <c r="H6" s="5">
        <v>1.0427476484453975</v>
      </c>
      <c r="I6" s="5">
        <v>1.122956261349686</v>
      </c>
      <c r="J6" s="5">
        <v>1.1703641940860519</v>
      </c>
      <c r="K6" s="5">
        <v>0.90900878032227028</v>
      </c>
      <c r="L6" s="5">
        <v>5.5017375370123549</v>
      </c>
      <c r="M6" s="5">
        <v>5.033277588521651</v>
      </c>
      <c r="N6" s="5">
        <v>4.8066980965195913</v>
      </c>
    </row>
    <row r="7" spans="4:14">
      <c r="D7" s="5" t="s">
        <v>120</v>
      </c>
      <c r="E7" s="5" t="s">
        <v>121</v>
      </c>
      <c r="F7" s="5">
        <v>1.2863806513637315</v>
      </c>
      <c r="G7" s="5">
        <v>1.3129975784416799</v>
      </c>
      <c r="H7" s="5">
        <v>1.348702876183109</v>
      </c>
      <c r="I7" s="5">
        <v>1.2834538147157031</v>
      </c>
      <c r="J7" s="5">
        <v>1.181007682989017</v>
      </c>
      <c r="K7" s="5">
        <v>1.1051882054643773</v>
      </c>
      <c r="L7" s="5">
        <v>1.0292011343730165</v>
      </c>
      <c r="M7" s="5">
        <v>1.0316510424136798</v>
      </c>
      <c r="N7" s="5">
        <v>1.0597119762609883</v>
      </c>
    </row>
    <row r="8" spans="4:14">
      <c r="D8" s="5" t="s">
        <v>122</v>
      </c>
      <c r="E8" s="5" t="s">
        <v>123</v>
      </c>
      <c r="F8" s="5">
        <v>0.97650549166775091</v>
      </c>
      <c r="G8" s="5">
        <v>0.86254899946834496</v>
      </c>
      <c r="H8" s="5">
        <v>0.89652524983695869</v>
      </c>
      <c r="I8" s="5">
        <v>0.7922146424294878</v>
      </c>
      <c r="J8" s="5">
        <v>0.69945077764680974</v>
      </c>
      <c r="K8" s="5">
        <v>0.84274003198753322</v>
      </c>
      <c r="L8" s="5">
        <v>0.129665920942341</v>
      </c>
      <c r="M8" s="5">
        <v>0.14207164194589994</v>
      </c>
      <c r="N8" s="5">
        <v>0.15281516621207622</v>
      </c>
    </row>
    <row r="9" spans="4:14">
      <c r="D9" s="5" t="s">
        <v>124</v>
      </c>
      <c r="E9" s="5" t="s">
        <v>125</v>
      </c>
      <c r="F9" s="5">
        <v>1433.683675935858</v>
      </c>
      <c r="G9" s="5">
        <v>1623.0959653838183</v>
      </c>
      <c r="H9" s="5">
        <v>1561.5843895255077</v>
      </c>
      <c r="I9" s="5">
        <v>1767.1971827276432</v>
      </c>
      <c r="J9" s="5">
        <v>2001.5690951460881</v>
      </c>
      <c r="K9" s="5">
        <v>1661.247752660066</v>
      </c>
      <c r="L9" s="5">
        <v>10272.010746846259</v>
      </c>
      <c r="M9" s="5">
        <v>9492.5820380263631</v>
      </c>
      <c r="N9" s="5">
        <v>8873.714782388095</v>
      </c>
    </row>
    <row r="10" spans="4:14">
      <c r="D10" s="5" t="s">
        <v>126</v>
      </c>
      <c r="E10" s="5" t="s">
        <v>125</v>
      </c>
      <c r="F10" s="5">
        <v>1433.6836934823302</v>
      </c>
      <c r="G10" s="5">
        <v>1623.0961961151509</v>
      </c>
      <c r="H10" s="5">
        <v>1561.5845736130721</v>
      </c>
      <c r="I10" s="5">
        <v>1767.1978337923854</v>
      </c>
      <c r="J10" s="5">
        <v>2001.5704388950371</v>
      </c>
      <c r="K10" s="5">
        <v>1661.2477713894934</v>
      </c>
      <c r="L10" s="5">
        <v>10796.977261454404</v>
      </c>
      <c r="M10" s="5">
        <v>9854.1832896751621</v>
      </c>
      <c r="N10" s="5">
        <v>9161.3943478429755</v>
      </c>
    </row>
    <row r="11" spans="4:14">
      <c r="D11" s="5" t="s">
        <v>127</v>
      </c>
      <c r="E11" s="5" t="s">
        <v>128</v>
      </c>
      <c r="F11" s="5">
        <v>1888.6355265873481</v>
      </c>
      <c r="G11" s="5">
        <v>2470.7249981052305</v>
      </c>
      <c r="H11" s="5">
        <v>2349.1960836776661</v>
      </c>
      <c r="I11" s="5">
        <v>2863.0079269710559</v>
      </c>
      <c r="J11" s="5">
        <v>3379.6088901803787</v>
      </c>
      <c r="K11" s="5">
        <v>2178.5976381869687</v>
      </c>
      <c r="L11" s="5">
        <v>85699.165706229513</v>
      </c>
      <c r="M11" s="5">
        <v>71556.000364942855</v>
      </c>
      <c r="N11" s="5">
        <v>63530.600727061341</v>
      </c>
    </row>
    <row r="12" spans="4:14">
      <c r="D12" s="5" t="s">
        <v>129</v>
      </c>
      <c r="E12" s="5" t="s">
        <v>37</v>
      </c>
      <c r="F12" s="5">
        <v>1.3173306881938285</v>
      </c>
      <c r="G12" s="5">
        <v>1.5222295536264965</v>
      </c>
      <c r="H12" s="5">
        <v>1.5043668613108032</v>
      </c>
      <c r="I12" s="5">
        <v>1.6200834293844031</v>
      </c>
      <c r="J12" s="5">
        <v>1.6884786188419554</v>
      </c>
      <c r="K12" s="5">
        <v>1.3114224594954644</v>
      </c>
      <c r="L12" s="5">
        <v>7.9373294609203828</v>
      </c>
      <c r="M12" s="5">
        <v>7.2614846163777473</v>
      </c>
      <c r="N12" s="5">
        <v>6.9345995068992359</v>
      </c>
    </row>
    <row r="13" spans="4:14" ht="14.7" thickBot="1">
      <c r="D13" s="6" t="s">
        <v>130</v>
      </c>
      <c r="E13" s="6" t="s">
        <v>131</v>
      </c>
      <c r="F13" s="6">
        <v>1.2863806513637313</v>
      </c>
      <c r="G13" s="6">
        <v>1.3129975784416799</v>
      </c>
      <c r="H13" s="6">
        <v>1.3487028761831092</v>
      </c>
      <c r="I13" s="6">
        <v>1.2834538147157033</v>
      </c>
      <c r="J13" s="6">
        <v>1.181007682989017</v>
      </c>
      <c r="K13" s="6">
        <v>1.1051882054643771</v>
      </c>
      <c r="L13" s="6">
        <v>1.0292011343730165</v>
      </c>
      <c r="M13" s="6">
        <v>1.03165104241368</v>
      </c>
      <c r="N13" s="6">
        <v>1.0597119762609886</v>
      </c>
    </row>
  </sheetData>
  <mergeCells count="3">
    <mergeCell ref="F4:H4"/>
    <mergeCell ref="I4:K4"/>
    <mergeCell ref="L4:N4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D212F-BA30-4D9B-90AA-D8126EAF8ADE}">
  <dimension ref="D5:Q14"/>
  <sheetViews>
    <sheetView workbookViewId="0">
      <selection activeCell="Q24" sqref="Q24"/>
    </sheetView>
  </sheetViews>
  <sheetFormatPr defaultRowHeight="14.4"/>
  <sheetData>
    <row r="5" spans="4:17" ht="14.7" thickBot="1">
      <c r="F5" s="44" t="s">
        <v>77</v>
      </c>
      <c r="G5" s="44"/>
      <c r="H5" s="44"/>
      <c r="I5" s="44" t="s">
        <v>25</v>
      </c>
      <c r="J5" s="44"/>
      <c r="K5" s="44"/>
      <c r="L5" s="44" t="s">
        <v>26</v>
      </c>
      <c r="M5" s="44"/>
      <c r="N5" s="44"/>
      <c r="O5" s="44" t="s">
        <v>132</v>
      </c>
      <c r="P5" s="44"/>
      <c r="Q5" s="44"/>
    </row>
    <row r="6" spans="4:17">
      <c r="D6" s="4" t="s">
        <v>116</v>
      </c>
      <c r="E6" s="4" t="s">
        <v>117</v>
      </c>
      <c r="F6" s="4" t="s">
        <v>118</v>
      </c>
      <c r="G6" s="4" t="s">
        <v>118</v>
      </c>
      <c r="H6" s="4" t="s">
        <v>118</v>
      </c>
      <c r="I6" s="4" t="s">
        <v>118</v>
      </c>
      <c r="J6" s="4" t="s">
        <v>118</v>
      </c>
      <c r="K6" s="4" t="s">
        <v>118</v>
      </c>
      <c r="L6" s="4" t="s">
        <v>118</v>
      </c>
      <c r="M6" s="4" t="s">
        <v>118</v>
      </c>
      <c r="N6" s="4" t="s">
        <v>118</v>
      </c>
      <c r="O6" s="4" t="s">
        <v>118</v>
      </c>
      <c r="P6" s="4" t="s">
        <v>118</v>
      </c>
      <c r="Q6" s="4" t="s">
        <v>118</v>
      </c>
    </row>
    <row r="7" spans="4:17">
      <c r="D7" s="5" t="s">
        <v>119</v>
      </c>
      <c r="E7" s="5" t="s">
        <v>37</v>
      </c>
      <c r="F7" s="5">
        <v>0.45212594864860611</v>
      </c>
      <c r="G7" s="5">
        <v>0.34815238699995166</v>
      </c>
      <c r="H7" s="5">
        <v>0.36576776147740681</v>
      </c>
      <c r="I7" s="5">
        <v>1.1222935972888304</v>
      </c>
      <c r="J7" s="5">
        <v>0.98792372957184094</v>
      </c>
      <c r="K7" s="5">
        <v>1.0210310398075635</v>
      </c>
      <c r="L7" s="5">
        <v>0.93866276063804277</v>
      </c>
      <c r="M7" s="5">
        <v>1.0399657801757436</v>
      </c>
      <c r="N7" s="5">
        <v>0.94858858153926662</v>
      </c>
      <c r="O7" s="5">
        <v>4.5159800646159196</v>
      </c>
      <c r="P7" s="5">
        <v>3.6335246308738967</v>
      </c>
      <c r="Q7" s="5">
        <v>3.9976354731865316</v>
      </c>
    </row>
    <row r="8" spans="4:17">
      <c r="D8" s="5" t="s">
        <v>120</v>
      </c>
      <c r="E8" s="5" t="s">
        <v>121</v>
      </c>
      <c r="F8" s="5">
        <v>2.4553369071869247</v>
      </c>
      <c r="G8" s="5">
        <v>2.2400849247533263</v>
      </c>
      <c r="H8" s="5">
        <v>1.9874453949388999</v>
      </c>
      <c r="I8" s="5">
        <v>1.1429726919817216</v>
      </c>
      <c r="J8" s="5">
        <v>1.1063844246400119</v>
      </c>
      <c r="K8" s="5">
        <v>1.151795814331684</v>
      </c>
      <c r="L8" s="5">
        <v>1.0883315295494771</v>
      </c>
      <c r="M8" s="5">
        <v>1.0861676649915213</v>
      </c>
      <c r="N8" s="5">
        <v>1.0911081107174465</v>
      </c>
      <c r="O8" s="5">
        <v>1.0532914161159996</v>
      </c>
      <c r="P8" s="5">
        <v>1.0751208196035489</v>
      </c>
      <c r="Q8" s="5">
        <v>1.0393357799637852</v>
      </c>
    </row>
    <row r="9" spans="4:17">
      <c r="D9" s="5" t="s">
        <v>122</v>
      </c>
      <c r="E9" s="5" t="s">
        <v>123</v>
      </c>
      <c r="F9" s="5">
        <v>3.7642383933688421</v>
      </c>
      <c r="G9" s="5">
        <v>4.4598532360710799</v>
      </c>
      <c r="H9" s="5">
        <v>3.7663028760500485</v>
      </c>
      <c r="I9" s="5">
        <v>0.70591893317221732</v>
      </c>
      <c r="J9" s="5">
        <v>0.77626158943163048</v>
      </c>
      <c r="K9" s="5">
        <v>0.78191944236604494</v>
      </c>
      <c r="L9" s="5">
        <v>0.80366875395050053</v>
      </c>
      <c r="M9" s="5">
        <v>0.72394118052329004</v>
      </c>
      <c r="N9" s="5">
        <v>0.79728822942676314</v>
      </c>
      <c r="O9" s="5">
        <v>0.16166722725577187</v>
      </c>
      <c r="P9" s="5">
        <v>0.20509478827731681</v>
      </c>
      <c r="Q9" s="5">
        <v>0.18020969404764803</v>
      </c>
    </row>
    <row r="10" spans="4:17">
      <c r="D10" s="5" t="s">
        <v>124</v>
      </c>
      <c r="E10" s="5" t="s">
        <v>125</v>
      </c>
      <c r="F10" s="5">
        <v>66.414497137164588</v>
      </c>
      <c r="G10" s="5">
        <v>56.055656266446604</v>
      </c>
      <c r="H10" s="5">
        <v>66.378092316938208</v>
      </c>
      <c r="I10" s="5">
        <v>354.14818465709442</v>
      </c>
      <c r="J10" s="5">
        <v>322.05636765284351</v>
      </c>
      <c r="K10" s="5">
        <v>319.72600432147141</v>
      </c>
      <c r="L10" s="5">
        <v>311.07342888013204</v>
      </c>
      <c r="M10" s="5">
        <v>345.33188397881605</v>
      </c>
      <c r="N10" s="5">
        <v>313.56288068008706</v>
      </c>
      <c r="O10" s="5">
        <v>1507.5261178221481</v>
      </c>
      <c r="P10" s="5">
        <v>1206.4276896221927</v>
      </c>
      <c r="Q10" s="5">
        <v>1365.6498807289734</v>
      </c>
    </row>
    <row r="11" spans="4:17">
      <c r="D11" s="5" t="s">
        <v>126</v>
      </c>
      <c r="E11" s="5" t="s">
        <v>125</v>
      </c>
      <c r="F11" s="5">
        <v>66.414497137164588</v>
      </c>
      <c r="G11" s="5">
        <v>56.055656266446604</v>
      </c>
      <c r="H11" s="5">
        <v>66.378092316938208</v>
      </c>
      <c r="I11" s="5">
        <v>354.14831399487275</v>
      </c>
      <c r="J11" s="5">
        <v>322.0563833166691</v>
      </c>
      <c r="K11" s="5">
        <v>319.72603116698804</v>
      </c>
      <c r="L11" s="5">
        <v>311.07343513245257</v>
      </c>
      <c r="M11" s="5">
        <v>345.33192298757098</v>
      </c>
      <c r="N11" s="5">
        <v>313.56288826657556</v>
      </c>
      <c r="O11" s="5">
        <v>1546.386390387446</v>
      </c>
      <c r="P11" s="5">
        <v>1218.9485754360812</v>
      </c>
      <c r="Q11" s="5">
        <v>1387.2727619963619</v>
      </c>
    </row>
    <row r="12" spans="4:17">
      <c r="D12" s="5" t="s">
        <v>127</v>
      </c>
      <c r="E12" s="5" t="s">
        <v>128</v>
      </c>
      <c r="F12" s="5">
        <v>43.320839158435831</v>
      </c>
      <c r="G12" s="5">
        <v>28.155507345852062</v>
      </c>
      <c r="H12" s="5">
        <v>35.027144189339211</v>
      </c>
      <c r="I12" s="5">
        <v>573.41124141340526</v>
      </c>
      <c r="J12" s="5">
        <v>459.0181598684382</v>
      </c>
      <c r="K12" s="5">
        <v>470.96808760335557</v>
      </c>
      <c r="L12" s="5">
        <v>421.25692431830453</v>
      </c>
      <c r="M12" s="5">
        <v>518.11995025247052</v>
      </c>
      <c r="N12" s="5">
        <v>429.11835140678733</v>
      </c>
      <c r="O12" s="5">
        <v>10074.988843699306</v>
      </c>
      <c r="P12" s="5">
        <v>6389.8112793847113</v>
      </c>
      <c r="Q12" s="5">
        <v>8000.9137451327988</v>
      </c>
    </row>
    <row r="13" spans="4:17">
      <c r="D13" s="5" t="s">
        <v>129</v>
      </c>
      <c r="E13" s="5" t="s">
        <v>37</v>
      </c>
      <c r="F13" s="5">
        <v>0.6522798639725621</v>
      </c>
      <c r="G13" s="5">
        <v>0.50227772219848554</v>
      </c>
      <c r="H13" s="5">
        <v>0.52769133560051207</v>
      </c>
      <c r="I13" s="5">
        <v>1.6191274072300312</v>
      </c>
      <c r="J13" s="5">
        <v>1.4252726654298244</v>
      </c>
      <c r="K13" s="5">
        <v>1.4730364177240736</v>
      </c>
      <c r="L13" s="5">
        <v>1.3542041098396482</v>
      </c>
      <c r="M13" s="5">
        <v>1.5003534737537672</v>
      </c>
      <c r="N13" s="5">
        <v>1.3685240424305962</v>
      </c>
      <c r="O13" s="5">
        <v>6.515182043974808</v>
      </c>
      <c r="P13" s="5">
        <v>5.2420679659096727</v>
      </c>
      <c r="Q13" s="5">
        <v>5.7673688724480137</v>
      </c>
    </row>
    <row r="14" spans="4:17" ht="14.7" thickBot="1">
      <c r="D14" s="6" t="s">
        <v>130</v>
      </c>
      <c r="E14" s="6" t="s">
        <v>131</v>
      </c>
      <c r="F14" s="6">
        <v>2.4553369071869242</v>
      </c>
      <c r="G14" s="6">
        <v>2.2400849247533268</v>
      </c>
      <c r="H14" s="6">
        <v>1.9874453949388999</v>
      </c>
      <c r="I14" s="6">
        <v>1.142972691981722</v>
      </c>
      <c r="J14" s="6">
        <v>1.1063844246400121</v>
      </c>
      <c r="K14" s="6">
        <v>1.151795814331684</v>
      </c>
      <c r="L14" s="6">
        <v>1.0883315295494769</v>
      </c>
      <c r="M14" s="6">
        <v>1.0861676649915213</v>
      </c>
      <c r="N14" s="6">
        <v>1.0911081107174465</v>
      </c>
      <c r="O14" s="6">
        <v>1.0532914161159996</v>
      </c>
      <c r="P14" s="6">
        <v>1.0751208196035491</v>
      </c>
      <c r="Q14" s="6">
        <v>1.0393357799637852</v>
      </c>
    </row>
  </sheetData>
  <mergeCells count="4">
    <mergeCell ref="F5:H5"/>
    <mergeCell ref="I5:K5"/>
    <mergeCell ref="L5:N5"/>
    <mergeCell ref="O5:Q5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274BF-50B6-403B-8BD2-F4BC4BAC376E}">
  <dimension ref="C5:P14"/>
  <sheetViews>
    <sheetView workbookViewId="0">
      <selection activeCell="J22" sqref="J22"/>
    </sheetView>
  </sheetViews>
  <sheetFormatPr defaultRowHeight="14.4"/>
  <cols>
    <col min="16" max="16" width="9.9453125" customWidth="1"/>
  </cols>
  <sheetData>
    <row r="5" spans="3:16" ht="12.6" customHeight="1" thickBot="1">
      <c r="E5" s="45" t="s">
        <v>112</v>
      </c>
      <c r="F5" s="46"/>
      <c r="G5" s="46"/>
      <c r="H5" s="45" t="s">
        <v>30</v>
      </c>
      <c r="I5" s="46"/>
      <c r="J5" s="46"/>
      <c r="K5" s="41" t="s">
        <v>31</v>
      </c>
      <c r="L5" s="41"/>
      <c r="M5" s="41"/>
      <c r="N5" s="45" t="s">
        <v>34</v>
      </c>
      <c r="O5" s="46"/>
      <c r="P5" s="46"/>
    </row>
    <row r="6" spans="3:16">
      <c r="C6" s="4" t="s">
        <v>116</v>
      </c>
      <c r="D6" s="4" t="s">
        <v>117</v>
      </c>
      <c r="E6" s="4" t="s">
        <v>118</v>
      </c>
      <c r="F6" s="4" t="s">
        <v>118</v>
      </c>
      <c r="G6" s="4" t="s">
        <v>118</v>
      </c>
      <c r="H6" s="4" t="s">
        <v>118</v>
      </c>
      <c r="I6" s="4" t="s">
        <v>118</v>
      </c>
      <c r="J6" s="4" t="s">
        <v>118</v>
      </c>
      <c r="K6" s="4" t="s">
        <v>118</v>
      </c>
      <c r="L6" s="4" t="s">
        <v>118</v>
      </c>
      <c r="M6" s="4" t="s">
        <v>118</v>
      </c>
      <c r="N6" s="4" t="s">
        <v>118</v>
      </c>
      <c r="O6" s="4" t="s">
        <v>118</v>
      </c>
      <c r="P6" s="4" t="s">
        <v>118</v>
      </c>
    </row>
    <row r="7" spans="3:16">
      <c r="C7" s="5" t="s">
        <v>119</v>
      </c>
      <c r="D7" s="5" t="s">
        <v>37</v>
      </c>
      <c r="E7" s="5">
        <v>0.3294707869269306</v>
      </c>
      <c r="F7" s="5">
        <v>0.35343355791978437</v>
      </c>
      <c r="G7" s="5">
        <v>0.38889935159081329</v>
      </c>
      <c r="H7" s="5">
        <v>1.6500592687183562</v>
      </c>
      <c r="I7" s="5">
        <v>1.3919069154591901</v>
      </c>
      <c r="J7" s="5">
        <v>1.1572271008268715</v>
      </c>
      <c r="K7" s="5">
        <v>1.5560729672128655</v>
      </c>
      <c r="L7" s="5">
        <v>1.0109779155131136</v>
      </c>
      <c r="M7" s="5">
        <v>1.1670099338087738</v>
      </c>
      <c r="N7" s="5">
        <v>4.3945655767495815</v>
      </c>
      <c r="O7" s="5">
        <v>4.1847602981105929</v>
      </c>
      <c r="P7" s="5">
        <v>4.0832786195470963</v>
      </c>
    </row>
    <row r="8" spans="3:16">
      <c r="C8" s="5" t="s">
        <v>120</v>
      </c>
      <c r="D8" s="5" t="s">
        <v>121</v>
      </c>
      <c r="E8" s="5">
        <v>39.347148915401689</v>
      </c>
      <c r="F8" s="5">
        <v>39.666511816907729</v>
      </c>
      <c r="G8" s="5">
        <v>32.490427118511171</v>
      </c>
      <c r="H8" s="5">
        <v>1.1962066018051916</v>
      </c>
      <c r="I8" s="5">
        <v>1.12217479615986</v>
      </c>
      <c r="J8" s="5">
        <v>1.0452202478583144</v>
      </c>
      <c r="K8" s="5">
        <v>1.1026738385216184</v>
      </c>
      <c r="L8" s="5">
        <v>1.0518386673508711</v>
      </c>
      <c r="M8" s="5">
        <v>1.0718057166449444</v>
      </c>
      <c r="N8" s="5">
        <v>1.0791662573608105</v>
      </c>
      <c r="O8" s="5">
        <v>1.032445959887818</v>
      </c>
      <c r="P8" s="5">
        <v>1.0370308446632346</v>
      </c>
    </row>
    <row r="9" spans="3:16">
      <c r="C9" s="5" t="s">
        <v>122</v>
      </c>
      <c r="D9" s="5" t="s">
        <v>123</v>
      </c>
      <c r="E9" s="5">
        <v>82.779312813040463</v>
      </c>
      <c r="F9" s="5">
        <v>77.793209536649528</v>
      </c>
      <c r="G9" s="5">
        <v>57.908679611479194</v>
      </c>
      <c r="H9" s="5">
        <v>0.50249542493857313</v>
      </c>
      <c r="I9" s="5">
        <v>0.55882493823017709</v>
      </c>
      <c r="J9" s="5">
        <v>0.62605815863583558</v>
      </c>
      <c r="K9" s="5">
        <v>0.49118214785098602</v>
      </c>
      <c r="L9" s="5">
        <v>0.72116214952939739</v>
      </c>
      <c r="M9" s="5">
        <v>0.63660050277019276</v>
      </c>
      <c r="N9" s="5">
        <v>0.17021501570090217</v>
      </c>
      <c r="O9" s="5">
        <v>0.17101027423239878</v>
      </c>
      <c r="P9" s="5">
        <v>0.1760386868265551</v>
      </c>
    </row>
    <row r="10" spans="3:16">
      <c r="C10" s="5" t="s">
        <v>124</v>
      </c>
      <c r="D10" s="5" t="s">
        <v>125</v>
      </c>
      <c r="E10" s="5">
        <v>1.8362075600131704</v>
      </c>
      <c r="F10" s="5">
        <v>1.9538980446409087</v>
      </c>
      <c r="G10" s="5">
        <v>2.624822410384732</v>
      </c>
      <c r="H10" s="5">
        <v>302.47766157790892</v>
      </c>
      <c r="I10" s="5">
        <v>271.99756020203245</v>
      </c>
      <c r="J10" s="5">
        <v>242.78880654245287</v>
      </c>
      <c r="K10" s="5">
        <v>309.45045919835735</v>
      </c>
      <c r="L10" s="5">
        <v>210.77089146395713</v>
      </c>
      <c r="M10" s="5">
        <v>238.76811497749549</v>
      </c>
      <c r="N10" s="5">
        <v>872.71914637097746</v>
      </c>
      <c r="O10" s="5">
        <v>872.14820268397239</v>
      </c>
      <c r="P10" s="5">
        <v>848.76093748024402</v>
      </c>
    </row>
    <row r="11" spans="3:16">
      <c r="C11" s="5" t="s">
        <v>126</v>
      </c>
      <c r="D11" s="5" t="s">
        <v>125</v>
      </c>
      <c r="E11" s="5">
        <v>1.8362075600131704</v>
      </c>
      <c r="F11" s="5">
        <v>1.9538980446409087</v>
      </c>
      <c r="G11" s="5">
        <v>2.624822410384732</v>
      </c>
      <c r="H11" s="5">
        <v>302.49031624234397</v>
      </c>
      <c r="I11" s="5">
        <v>271.99931427790358</v>
      </c>
      <c r="J11" s="5">
        <v>242.78894524943823</v>
      </c>
      <c r="K11" s="5">
        <v>309.4575009800916</v>
      </c>
      <c r="L11" s="5">
        <v>210.77090651414434</v>
      </c>
      <c r="M11" s="5">
        <v>238.76826885710247</v>
      </c>
      <c r="N11" s="5">
        <v>892.98819715818047</v>
      </c>
      <c r="O11" s="5">
        <v>888.83548478166699</v>
      </c>
      <c r="P11" s="5">
        <v>863.446568138516</v>
      </c>
    </row>
    <row r="12" spans="3:16">
      <c r="C12" s="5" t="s">
        <v>127</v>
      </c>
      <c r="D12" s="5" t="s">
        <v>128</v>
      </c>
      <c r="E12" s="5">
        <v>0.87279695673002633</v>
      </c>
      <c r="F12" s="5">
        <v>0.99628644117412435</v>
      </c>
      <c r="G12" s="5">
        <v>1.4726911716138431</v>
      </c>
      <c r="H12" s="5">
        <v>720.08797555811532</v>
      </c>
      <c r="I12" s="5">
        <v>546.20106257624661</v>
      </c>
      <c r="J12" s="5">
        <v>405.3424079383139</v>
      </c>
      <c r="K12" s="5">
        <v>694.71313637511753</v>
      </c>
      <c r="L12" s="5">
        <v>307.41628573940483</v>
      </c>
      <c r="M12" s="5">
        <v>401.99967546497828</v>
      </c>
      <c r="N12" s="5">
        <v>5661.5612120139385</v>
      </c>
      <c r="O12" s="5">
        <v>5366.195741085502</v>
      </c>
      <c r="P12" s="5">
        <v>5086.4996781104355</v>
      </c>
    </row>
    <row r="13" spans="3:16">
      <c r="C13" s="5" t="s">
        <v>129</v>
      </c>
      <c r="D13" s="5" t="s">
        <v>37</v>
      </c>
      <c r="E13" s="5">
        <v>0.47532587041726704</v>
      </c>
      <c r="F13" s="5">
        <v>0.50989684129461521</v>
      </c>
      <c r="G13" s="5">
        <v>0.56106316594499972</v>
      </c>
      <c r="H13" s="5">
        <v>2.3805323241528424</v>
      </c>
      <c r="I13" s="5">
        <v>2.0080972043120271</v>
      </c>
      <c r="J13" s="5">
        <v>1.6695257995452402</v>
      </c>
      <c r="K13" s="5">
        <v>2.2449387530593761</v>
      </c>
      <c r="L13" s="5">
        <v>1.4585328251590304</v>
      </c>
      <c r="M13" s="5">
        <v>1.6836394441740758</v>
      </c>
      <c r="N13" s="5">
        <v>6.3400179644379682</v>
      </c>
      <c r="O13" s="5">
        <v>6.0373329293931723</v>
      </c>
      <c r="P13" s="5">
        <v>5.8909258149885284</v>
      </c>
    </row>
    <row r="14" spans="3:16" ht="14.7" thickBot="1">
      <c r="C14" s="6" t="s">
        <v>130</v>
      </c>
      <c r="D14" s="6" t="s">
        <v>131</v>
      </c>
      <c r="E14" s="6">
        <v>39.347148915401682</v>
      </c>
      <c r="F14" s="6">
        <v>39.666511816907729</v>
      </c>
      <c r="G14" s="6">
        <v>32.490427118511171</v>
      </c>
      <c r="H14" s="6">
        <v>1.1962066018051918</v>
      </c>
      <c r="I14" s="6">
        <v>1.1221747961598598</v>
      </c>
      <c r="J14" s="6">
        <v>1.0452202478583141</v>
      </c>
      <c r="K14" s="6">
        <v>1.1026738385216186</v>
      </c>
      <c r="L14" s="6">
        <v>1.0518386673508711</v>
      </c>
      <c r="M14" s="6">
        <v>1.0718057166449446</v>
      </c>
      <c r="N14" s="6">
        <v>1.0791662573608105</v>
      </c>
      <c r="O14" s="6">
        <v>1.032445959887818</v>
      </c>
      <c r="P14" s="6">
        <v>1.0370308446632344</v>
      </c>
    </row>
  </sheetData>
  <mergeCells count="4">
    <mergeCell ref="E5:G5"/>
    <mergeCell ref="H5:J5"/>
    <mergeCell ref="K5:M5"/>
    <mergeCell ref="N5:P5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710E3-3BC5-486E-8AFE-0CFAF9168AF4}">
  <dimension ref="D6:N15"/>
  <sheetViews>
    <sheetView workbookViewId="0">
      <selection activeCell="J24" sqref="J24"/>
    </sheetView>
  </sheetViews>
  <sheetFormatPr defaultRowHeight="14.4"/>
  <sheetData>
    <row r="6" spans="4:14" ht="14.7" thickBot="1">
      <c r="F6" s="41" t="s">
        <v>14</v>
      </c>
      <c r="G6" s="41"/>
      <c r="H6" s="41"/>
      <c r="I6" s="41" t="s">
        <v>31</v>
      </c>
      <c r="J6" s="41"/>
      <c r="K6" s="41"/>
      <c r="L6" s="45" t="s">
        <v>34</v>
      </c>
      <c r="M6" s="46"/>
      <c r="N6" s="46"/>
    </row>
    <row r="7" spans="4:14">
      <c r="D7" s="4" t="s">
        <v>116</v>
      </c>
      <c r="E7" s="4" t="s">
        <v>117</v>
      </c>
      <c r="F7" s="4" t="s">
        <v>118</v>
      </c>
      <c r="G7" s="4" t="s">
        <v>118</v>
      </c>
      <c r="H7" s="4" t="s">
        <v>118</v>
      </c>
      <c r="I7" s="4" t="s">
        <v>118</v>
      </c>
      <c r="J7" s="4" t="s">
        <v>118</v>
      </c>
      <c r="K7" s="4" t="s">
        <v>118</v>
      </c>
      <c r="L7" s="4" t="s">
        <v>118</v>
      </c>
      <c r="M7" s="4" t="s">
        <v>118</v>
      </c>
      <c r="N7" s="4" t="s">
        <v>118</v>
      </c>
    </row>
    <row r="8" spans="4:14">
      <c r="D8" s="5" t="s">
        <v>119</v>
      </c>
      <c r="E8" s="5" t="s">
        <v>37</v>
      </c>
      <c r="F8" s="5">
        <v>1.0878710921140298</v>
      </c>
      <c r="G8" s="5">
        <v>1.4925445819606824</v>
      </c>
      <c r="H8" s="5">
        <v>0.83447532802233215</v>
      </c>
      <c r="I8" s="5">
        <v>1.0352395265543877</v>
      </c>
      <c r="J8" s="5">
        <v>1.2208318382378938</v>
      </c>
      <c r="K8" s="5">
        <v>1.2276575067001851</v>
      </c>
      <c r="L8" s="5">
        <v>4.0051195242536419</v>
      </c>
      <c r="M8" s="5">
        <v>4.1394417878498801</v>
      </c>
      <c r="N8" s="5">
        <v>4.8188579179267137</v>
      </c>
    </row>
    <row r="9" spans="4:14">
      <c r="D9" s="5" t="s">
        <v>120</v>
      </c>
      <c r="E9" s="5" t="s">
        <v>121</v>
      </c>
      <c r="F9" s="5">
        <v>1.1885508708814174</v>
      </c>
      <c r="G9" s="5">
        <v>1.5540963646777235</v>
      </c>
      <c r="H9" s="5">
        <v>1.1762547697883556</v>
      </c>
      <c r="I9" s="5">
        <v>1.2560195637186042</v>
      </c>
      <c r="J9" s="5">
        <v>1.3116969977946684</v>
      </c>
      <c r="K9" s="5">
        <v>1.2581254322259352</v>
      </c>
      <c r="L9" s="5">
        <v>1.0857708501049441</v>
      </c>
      <c r="M9" s="5">
        <v>1.0158265934978623</v>
      </c>
      <c r="N9" s="5">
        <v>0.97968819822414888</v>
      </c>
    </row>
    <row r="10" spans="4:14">
      <c r="D10" s="5" t="s">
        <v>122</v>
      </c>
      <c r="E10" s="5" t="s">
        <v>123</v>
      </c>
      <c r="F10" s="5">
        <v>0.75729623764758314</v>
      </c>
      <c r="G10" s="5">
        <v>0.72173221926794096</v>
      </c>
      <c r="H10" s="5">
        <v>0.97704228024482309</v>
      </c>
      <c r="I10" s="5">
        <v>0.84097099945298948</v>
      </c>
      <c r="J10" s="5">
        <v>0.74473735636074623</v>
      </c>
      <c r="K10" s="5">
        <v>0.71034966297904356</v>
      </c>
      <c r="L10" s="5">
        <v>0.18790924938118159</v>
      </c>
      <c r="M10" s="5">
        <v>0.17009958716839246</v>
      </c>
      <c r="N10" s="5">
        <v>0.1409188907397973</v>
      </c>
    </row>
    <row r="11" spans="4:14">
      <c r="D11" s="5" t="s">
        <v>124</v>
      </c>
      <c r="E11" s="5" t="s">
        <v>125</v>
      </c>
      <c r="F11" s="5">
        <v>1848.6816790200644</v>
      </c>
      <c r="G11" s="5">
        <v>1939.7496073423272</v>
      </c>
      <c r="H11" s="5">
        <v>1432.8960222384314</v>
      </c>
      <c r="I11" s="5">
        <v>1664.7421301136826</v>
      </c>
      <c r="J11" s="5">
        <v>1879.8550879496902</v>
      </c>
      <c r="K11" s="5">
        <v>1970.8578019772012</v>
      </c>
      <c r="L11" s="5">
        <v>7333.3718580602654</v>
      </c>
      <c r="M11" s="5">
        <v>8082.5318302294199</v>
      </c>
      <c r="N11" s="5">
        <v>9620.091274848035</v>
      </c>
    </row>
    <row r="12" spans="4:14">
      <c r="D12" s="5" t="s">
        <v>126</v>
      </c>
      <c r="E12" s="5" t="s">
        <v>125</v>
      </c>
      <c r="F12" s="5">
        <v>1848.6821014044265</v>
      </c>
      <c r="G12" s="5">
        <v>1939.777610898446</v>
      </c>
      <c r="H12" s="5">
        <v>1432.8960253891919</v>
      </c>
      <c r="I12" s="5">
        <v>1664.7423049197077</v>
      </c>
      <c r="J12" s="5">
        <v>1879.8573591652203</v>
      </c>
      <c r="K12" s="5">
        <v>1970.8603705514845</v>
      </c>
      <c r="L12" s="5">
        <v>7450.4049407384027</v>
      </c>
      <c r="M12" s="5">
        <v>8230.4726502013818</v>
      </c>
      <c r="N12" s="5">
        <v>9934.7929340790797</v>
      </c>
    </row>
    <row r="13" spans="4:14">
      <c r="D13" s="5" t="s">
        <v>127</v>
      </c>
      <c r="E13" s="5" t="s">
        <v>128</v>
      </c>
      <c r="F13" s="5">
        <v>2901.4441276408902</v>
      </c>
      <c r="G13" s="5">
        <v>4176.897265911517</v>
      </c>
      <c r="H13" s="5">
        <v>1725.0540929021824</v>
      </c>
      <c r="I13" s="5">
        <v>2486.3507836646149</v>
      </c>
      <c r="J13" s="5">
        <v>3310.9702813199738</v>
      </c>
      <c r="K13" s="5">
        <v>3490.6605644862607</v>
      </c>
      <c r="L13" s="5">
        <v>43049.677079609137</v>
      </c>
      <c r="M13" s="5">
        <v>49151.988751475154</v>
      </c>
      <c r="N13" s="5">
        <v>69068.095400279912</v>
      </c>
    </row>
    <row r="14" spans="4:14">
      <c r="D14" s="5" t="s">
        <v>129</v>
      </c>
      <c r="E14" s="5" t="s">
        <v>37</v>
      </c>
      <c r="F14" s="5">
        <v>1.5694662297193716</v>
      </c>
      <c r="G14" s="5">
        <v>2.1532866667003674</v>
      </c>
      <c r="H14" s="5">
        <v>1.2038934174820095</v>
      </c>
      <c r="I14" s="5">
        <v>1.4935349310922534</v>
      </c>
      <c r="J14" s="5">
        <v>1.7612880387851668</v>
      </c>
      <c r="K14" s="5">
        <v>1.7711353968264667</v>
      </c>
      <c r="L14" s="5">
        <v>5.7781660758082936</v>
      </c>
      <c r="M14" s="5">
        <v>5.9719521393795665</v>
      </c>
      <c r="N14" s="5">
        <v>6.952142420941386</v>
      </c>
    </row>
    <row r="15" spans="4:14" ht="14.7" thickBot="1">
      <c r="D15" s="6" t="s">
        <v>130</v>
      </c>
      <c r="E15" s="6" t="s">
        <v>131</v>
      </c>
      <c r="F15" s="6">
        <v>1.1885508708814174</v>
      </c>
      <c r="G15" s="6">
        <v>1.5540963646777233</v>
      </c>
      <c r="H15" s="6">
        <v>1.1762547697883554</v>
      </c>
      <c r="I15" s="6">
        <v>1.2560195637186042</v>
      </c>
      <c r="J15" s="6">
        <v>1.3116969977946686</v>
      </c>
      <c r="K15" s="6">
        <v>1.2581254322259352</v>
      </c>
      <c r="L15" s="6">
        <v>1.0857708501049441</v>
      </c>
      <c r="M15" s="6">
        <v>1.0158265934978625</v>
      </c>
      <c r="N15" s="6">
        <v>0.9796881982241491</v>
      </c>
    </row>
  </sheetData>
  <mergeCells count="3">
    <mergeCell ref="F6:H6"/>
    <mergeCell ref="I6:K6"/>
    <mergeCell ref="L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132</vt:i4>
      </vt:variant>
    </vt:vector>
  </HeadingPairs>
  <TitlesOfParts>
    <vt:vector size="132" baseType="lpstr">
      <vt:lpstr>Fig. 1c</vt:lpstr>
      <vt:lpstr>Fig. 1d</vt:lpstr>
      <vt:lpstr>Fig. 1e</vt:lpstr>
      <vt:lpstr>Fig. 1g</vt:lpstr>
      <vt:lpstr>Fig. 1h</vt:lpstr>
      <vt:lpstr>Fig. 1i</vt:lpstr>
      <vt:lpstr>Fig. 1j</vt:lpstr>
      <vt:lpstr>Fig. 1k</vt:lpstr>
      <vt:lpstr>Fig. 1l</vt:lpstr>
      <vt:lpstr>Fig. 2a</vt:lpstr>
      <vt:lpstr>Fig. 2b</vt:lpstr>
      <vt:lpstr>Fig. 2c</vt:lpstr>
      <vt:lpstr>Fig. 2d</vt:lpstr>
      <vt:lpstr>Fig. 2e</vt:lpstr>
      <vt:lpstr>Fig. 2f</vt:lpstr>
      <vt:lpstr>Fig. 2g</vt:lpstr>
      <vt:lpstr>Fig. 2i</vt:lpstr>
      <vt:lpstr>Fig. 2j</vt:lpstr>
      <vt:lpstr>Fig. 2k</vt:lpstr>
      <vt:lpstr>Fig. 3b</vt:lpstr>
      <vt:lpstr>Fig. 3c</vt:lpstr>
      <vt:lpstr>Fig. 3d</vt:lpstr>
      <vt:lpstr>Fig. 3f</vt:lpstr>
      <vt:lpstr>Fig. 3h</vt:lpstr>
      <vt:lpstr>Fig. 4a</vt:lpstr>
      <vt:lpstr>Fig. 4b</vt:lpstr>
      <vt:lpstr>Fig. 4c</vt:lpstr>
      <vt:lpstr>Fig. 4n</vt:lpstr>
      <vt:lpstr>Fig. 4p</vt:lpstr>
      <vt:lpstr>Fig. 4q</vt:lpstr>
      <vt:lpstr>Fig. 4r</vt:lpstr>
      <vt:lpstr>Fig. 4s</vt:lpstr>
      <vt:lpstr>Fig. 4t</vt:lpstr>
      <vt:lpstr>Fig. 4u</vt:lpstr>
      <vt:lpstr>Fig. 5b</vt:lpstr>
      <vt:lpstr>Fig. 5c</vt:lpstr>
      <vt:lpstr>Fig. 5d</vt:lpstr>
      <vt:lpstr>Fig. 5e</vt:lpstr>
      <vt:lpstr>Fig. 5f</vt:lpstr>
      <vt:lpstr>Fig. 5g</vt:lpstr>
      <vt:lpstr>Fig. 5l</vt:lpstr>
      <vt:lpstr>Fig. 5m</vt:lpstr>
      <vt:lpstr>Fig. 5n</vt:lpstr>
      <vt:lpstr>Fig. 5o</vt:lpstr>
      <vt:lpstr>Fig. 6a</vt:lpstr>
      <vt:lpstr>Fig. 6b</vt:lpstr>
      <vt:lpstr>Fig. 6c</vt:lpstr>
      <vt:lpstr>Fig. 6d</vt:lpstr>
      <vt:lpstr>Fig. 6g</vt:lpstr>
      <vt:lpstr>Fig. 6h</vt:lpstr>
      <vt:lpstr>Fig. 7a</vt:lpstr>
      <vt:lpstr>Fig. 7d</vt:lpstr>
      <vt:lpstr>Fig. 7e</vt:lpstr>
      <vt:lpstr>Fig. 7f</vt:lpstr>
      <vt:lpstr>Fig. 7g</vt:lpstr>
      <vt:lpstr>Fig. 7h</vt:lpstr>
      <vt:lpstr>Fig. 7i</vt:lpstr>
      <vt:lpstr>Fig. 7j</vt:lpstr>
      <vt:lpstr>Fig. 7n</vt:lpstr>
      <vt:lpstr>Fig. 7o</vt:lpstr>
      <vt:lpstr>Fig. 7p</vt:lpstr>
      <vt:lpstr>Fig. 8a</vt:lpstr>
      <vt:lpstr>Fig. 8d</vt:lpstr>
      <vt:lpstr>Fig. 8e</vt:lpstr>
      <vt:lpstr>Fig. 8f</vt:lpstr>
      <vt:lpstr>Fig. 8g</vt:lpstr>
      <vt:lpstr>Fig. 8h</vt:lpstr>
      <vt:lpstr>Fig. 8i</vt:lpstr>
      <vt:lpstr>Fig. 8j</vt:lpstr>
      <vt:lpstr>Fig. 8m</vt:lpstr>
      <vt:lpstr>Fig. 8n</vt:lpstr>
      <vt:lpstr>Fig. 8o</vt:lpstr>
      <vt:lpstr>Fig. 8p</vt:lpstr>
      <vt:lpstr>Extended Data Fig. 1a</vt:lpstr>
      <vt:lpstr>Extended Data Fig. 1b</vt:lpstr>
      <vt:lpstr>Extended Data Fig. 1c</vt:lpstr>
      <vt:lpstr>Extended Data Fig. 1d</vt:lpstr>
      <vt:lpstr>Extended Data Fig. 1e</vt:lpstr>
      <vt:lpstr>Extended Data Fig. 1f</vt:lpstr>
      <vt:lpstr>Extended Data Fig. 1g</vt:lpstr>
      <vt:lpstr>Extended Data Fig. 1h</vt:lpstr>
      <vt:lpstr>Extended Data Fig. 1s</vt:lpstr>
      <vt:lpstr>Extended Data Fig. 1t</vt:lpstr>
      <vt:lpstr>Extended Data Fig. 1u</vt:lpstr>
      <vt:lpstr>Extended Data Fig. 1v</vt:lpstr>
      <vt:lpstr>Extended Data Fig. 2d</vt:lpstr>
      <vt:lpstr>Extended Data Fig.  3a</vt:lpstr>
      <vt:lpstr>Extended Data Fig.  3b</vt:lpstr>
      <vt:lpstr>Extended Data Fig.  3c</vt:lpstr>
      <vt:lpstr>Extended Data Fig.  3h</vt:lpstr>
      <vt:lpstr>Extended Data Fig.  3i</vt:lpstr>
      <vt:lpstr>Extended Data Fig. 3k</vt:lpstr>
      <vt:lpstr>Extended Data Fig. 3l</vt:lpstr>
      <vt:lpstr>Extended Data Fig. 4a</vt:lpstr>
      <vt:lpstr>Extended Data Fig. 4b</vt:lpstr>
      <vt:lpstr>Extended Data Fig. 4c</vt:lpstr>
      <vt:lpstr>Extended Data Fig. 4d</vt:lpstr>
      <vt:lpstr>Extended Data Fig. 4e</vt:lpstr>
      <vt:lpstr>Extended Data Fig. 5c</vt:lpstr>
      <vt:lpstr>Extended Data Fig. 5b</vt:lpstr>
      <vt:lpstr>Extended Data Fig. 6a</vt:lpstr>
      <vt:lpstr>Extended Data Fig. 6b</vt:lpstr>
      <vt:lpstr>Extended Data Fig. 6f</vt:lpstr>
      <vt:lpstr>Extended Data Fig. 6g</vt:lpstr>
      <vt:lpstr>Extended Data Fig. 7a</vt:lpstr>
      <vt:lpstr>Extended Data Fig. 7c</vt:lpstr>
      <vt:lpstr>Extended Data Fig. 7d</vt:lpstr>
      <vt:lpstr>Extended Data Fig. 7e</vt:lpstr>
      <vt:lpstr>Extended Data Fig. 7f</vt:lpstr>
      <vt:lpstr>Extended Data Fig. 7g</vt:lpstr>
      <vt:lpstr>Extended Data Fig. 7h</vt:lpstr>
      <vt:lpstr>Extended Data Fig. 9a</vt:lpstr>
      <vt:lpstr>Extended Data Fig. 9c</vt:lpstr>
      <vt:lpstr>Extended Data Fig. 9d</vt:lpstr>
      <vt:lpstr>Extended Data Fig. 9e</vt:lpstr>
      <vt:lpstr>Extended Data Fig. 9f</vt:lpstr>
      <vt:lpstr>Extended Data Fig. 9g</vt:lpstr>
      <vt:lpstr>Extended Data Fig. 9h</vt:lpstr>
      <vt:lpstr>Extended Data Fig. 10a</vt:lpstr>
      <vt:lpstr>Extended Data Fig. 10b</vt:lpstr>
      <vt:lpstr>Supplementary Table 2</vt:lpstr>
      <vt:lpstr>Supplementary Table 3</vt:lpstr>
      <vt:lpstr>Supplementary Table 4</vt:lpstr>
      <vt:lpstr>Supplementary Table 10</vt:lpstr>
      <vt:lpstr>Supplementary Table 11</vt:lpstr>
      <vt:lpstr>Supplementary Table 14</vt:lpstr>
      <vt:lpstr>Supplementary Table 16</vt:lpstr>
      <vt:lpstr>Supplementary Table 18</vt:lpstr>
      <vt:lpstr>Supplementary Table 22</vt:lpstr>
      <vt:lpstr>Supplementary Table 23</vt:lpstr>
      <vt:lpstr>Supplementary Table 27</vt:lpstr>
      <vt:lpstr>Supplementary Table 28</vt:lpstr>
    </vt:vector>
  </TitlesOfParts>
  <Company>Springer-SBM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Gillespie</dc:creator>
  <cp:lastModifiedBy>Wang Zhiren</cp:lastModifiedBy>
  <dcterms:created xsi:type="dcterms:W3CDTF">2017-11-15T12:34:53Z</dcterms:created>
  <dcterms:modified xsi:type="dcterms:W3CDTF">2025-06-11T09:03:32Z</dcterms:modified>
</cp:coreProperties>
</file>