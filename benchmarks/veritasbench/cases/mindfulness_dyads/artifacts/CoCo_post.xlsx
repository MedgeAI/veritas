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Co_Project\Manuscript CoCo\Submission Files\JMIR Formative Research\JFR_Correction_December2025\"/>
    </mc:Choice>
  </mc:AlternateContent>
  <xr:revisionPtr revIDLastSave="0" documentId="13_ncr:1_{992F9424-6C68-4EDC-9A1B-BCC72DF819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mographics 24 Dyads" sheetId="3" r:id="rId1"/>
    <sheet name="Training Feasibility Survey" sheetId="7" r:id="rId2"/>
    <sheet name="Behaviors" sheetId="2" r:id="rId3"/>
    <sheet name="Cognition" sheetId="4" r:id="rId4"/>
    <sheet name="Neural_Correcte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4" l="1"/>
  <c r="D26" i="4"/>
  <c r="E26" i="4"/>
  <c r="F26" i="4"/>
  <c r="G26" i="4"/>
  <c r="H26" i="4"/>
  <c r="I26" i="4"/>
  <c r="J26" i="4"/>
  <c r="K26" i="4"/>
  <c r="M26" i="4"/>
  <c r="N26" i="4"/>
  <c r="O26" i="4"/>
  <c r="P26" i="4"/>
  <c r="Q26" i="4"/>
  <c r="R26" i="4"/>
  <c r="S26" i="4"/>
  <c r="T26" i="4"/>
  <c r="U26" i="4"/>
  <c r="V26" i="4"/>
  <c r="C27" i="4"/>
  <c r="D27" i="4"/>
  <c r="E27" i="4"/>
  <c r="F27" i="4"/>
  <c r="G27" i="4"/>
  <c r="H27" i="4"/>
  <c r="I27" i="4"/>
  <c r="J27" i="4"/>
  <c r="K27" i="4"/>
  <c r="M27" i="4"/>
  <c r="N27" i="4"/>
  <c r="O27" i="4"/>
  <c r="P27" i="4"/>
  <c r="Q27" i="4"/>
  <c r="R27" i="4"/>
  <c r="S27" i="4"/>
  <c r="T27" i="4"/>
  <c r="U27" i="4"/>
  <c r="V27" i="4"/>
  <c r="B27" i="4"/>
  <c r="B26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" i="4"/>
  <c r="W27" i="4" s="1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" i="4"/>
  <c r="L26" i="4" s="1"/>
  <c r="W26" i="4" l="1"/>
  <c r="L27" i="4"/>
</calcChain>
</file>

<file path=xl/sharedStrings.xml><?xml version="1.0" encoding="utf-8"?>
<sst xmlns="http://schemas.openxmlformats.org/spreadsheetml/2006/main" count="329" uniqueCount="174">
  <si>
    <t>PJ1</t>
  </si>
  <si>
    <t>PJ10</t>
  </si>
  <si>
    <t>PJ12</t>
  </si>
  <si>
    <t>PJ13</t>
  </si>
  <si>
    <t>PJ14</t>
  </si>
  <si>
    <t>PJ16</t>
  </si>
  <si>
    <t>PJ17</t>
  </si>
  <si>
    <t>PJ18</t>
  </si>
  <si>
    <t>PJ19</t>
  </si>
  <si>
    <t>PJ2</t>
  </si>
  <si>
    <t>PJ20</t>
  </si>
  <si>
    <t>PJ21</t>
  </si>
  <si>
    <t>PJ22</t>
  </si>
  <si>
    <t>PJ23</t>
  </si>
  <si>
    <t>PJ24</t>
  </si>
  <si>
    <t>PJ3</t>
  </si>
  <si>
    <t>PJ4</t>
  </si>
  <si>
    <t>PJ5</t>
  </si>
  <si>
    <t>PJ8</t>
  </si>
  <si>
    <t>PJ9</t>
  </si>
  <si>
    <t>PJ92</t>
  </si>
  <si>
    <t>PJ95</t>
  </si>
  <si>
    <t>PJ96</t>
  </si>
  <si>
    <t>PJ66</t>
  </si>
  <si>
    <t>Child_gender</t>
  </si>
  <si>
    <t>Child_race</t>
  </si>
  <si>
    <t>Parent_gender</t>
  </si>
  <si>
    <t>Parent_race</t>
  </si>
  <si>
    <t>Gender:</t>
  </si>
  <si>
    <t>Ethnicity</t>
  </si>
  <si>
    <t>1: Male</t>
  </si>
  <si>
    <t>1: Caucasian</t>
  </si>
  <si>
    <t>2: Female</t>
  </si>
  <si>
    <t>2: Black/African American</t>
  </si>
  <si>
    <t>3: Native Hawaiian or Other Pacific Islander</t>
  </si>
  <si>
    <t>4: Asian</t>
  </si>
  <si>
    <t>5: Native American</t>
  </si>
  <si>
    <t>6: More than one ethnicity</t>
  </si>
  <si>
    <t>7: Other</t>
  </si>
  <si>
    <t>Total Sessions</t>
  </si>
  <si>
    <t>Final Breathe Level</t>
  </si>
  <si>
    <t>Pre_Tscore_cdi_Child</t>
  </si>
  <si>
    <t>Pre_GAD7_Anxiety_Parent</t>
  </si>
  <si>
    <t>Pre_Depression_phq9_Parent</t>
  </si>
  <si>
    <t>Pre_Stress_DASS_Parent</t>
  </si>
  <si>
    <t>Pre_Mindfulness_Parent</t>
  </si>
  <si>
    <t>Post_Tscore_cdi_Child</t>
  </si>
  <si>
    <t>Post_GAD7_Anxiety_Parent</t>
  </si>
  <si>
    <t>Post_Stress_DASS_Parent</t>
  </si>
  <si>
    <t>Post_Mindfulness_Parent</t>
  </si>
  <si>
    <t>Post_Depression_phq9_Parent</t>
  </si>
  <si>
    <t>Pre_Child_speed_neutral</t>
  </si>
  <si>
    <t>Post_Child_speed_neutral</t>
  </si>
  <si>
    <t>Pre_Child_speed_happy</t>
  </si>
  <si>
    <t>Pre_Child_speed_angry</t>
  </si>
  <si>
    <t>Pre_Child_speed_sad</t>
  </si>
  <si>
    <t>Pre_Child_speed_all</t>
  </si>
  <si>
    <t>Post_Child_speed_happy</t>
  </si>
  <si>
    <t>Post_Child_speed_angry</t>
  </si>
  <si>
    <t>Post_Child_speed_sad</t>
  </si>
  <si>
    <t>Post_Child_speed_all</t>
  </si>
  <si>
    <t>Diff_Child_Speed_PostPre</t>
  </si>
  <si>
    <t>Pre_Parent_speed_neutral</t>
  </si>
  <si>
    <t>Pre_Parent_speed_happy</t>
  </si>
  <si>
    <t>Pre_Parent_speed_angry</t>
  </si>
  <si>
    <t>Pre_Parent_speed_sad</t>
  </si>
  <si>
    <t>Pre_Parent_speed_all</t>
  </si>
  <si>
    <t>Post_Parent_speed_neutral</t>
  </si>
  <si>
    <t>Post_Parent_speed_happy</t>
  </si>
  <si>
    <t>Post_Parent_speed_angry</t>
  </si>
  <si>
    <t>Post_Parent_speed_sad</t>
  </si>
  <si>
    <t>Post_Parent_speed_all</t>
  </si>
  <si>
    <t>Diff_Parent_Speed_PostPre</t>
  </si>
  <si>
    <t>Mean</t>
  </si>
  <si>
    <t>SD</t>
  </si>
  <si>
    <t>Group</t>
  </si>
  <si>
    <t>FPN_pre</t>
  </si>
  <si>
    <t>CON_pre</t>
  </si>
  <si>
    <t>DMN_pre</t>
  </si>
  <si>
    <t>FPN_post</t>
  </si>
  <si>
    <t>CON_post</t>
  </si>
  <si>
    <t>DMN_post</t>
  </si>
  <si>
    <t>FPN_postpre</t>
  </si>
  <si>
    <t>CON_postpre</t>
  </si>
  <si>
    <t>DMN_postpre</t>
  </si>
  <si>
    <t>Child</t>
  </si>
  <si>
    <t>Parent</t>
  </si>
  <si>
    <t>Pre_Tscore_cdi_Parents</t>
  </si>
  <si>
    <t>Post_Tscore_cdi_Parents</t>
  </si>
  <si>
    <t>tfq_1</t>
  </si>
  <si>
    <t>tfq_2</t>
  </si>
  <si>
    <t>tfq_3</t>
  </si>
  <si>
    <t>tfq_4</t>
  </si>
  <si>
    <t>tfq_5</t>
  </si>
  <si>
    <t>tfq_6</t>
  </si>
  <si>
    <t>tfq_7</t>
  </si>
  <si>
    <t>tfq_8</t>
  </si>
  <si>
    <t>tfq_9</t>
  </si>
  <si>
    <t>tfq_10</t>
  </si>
  <si>
    <t>tfq_11</t>
  </si>
  <si>
    <t>tfq_12</t>
  </si>
  <si>
    <t>tfq_13</t>
  </si>
  <si>
    <t>tfq_14</t>
  </si>
  <si>
    <t>tfq_15</t>
  </si>
  <si>
    <t>tfq_16</t>
  </si>
  <si>
    <t>FollowUp_T_cdi_Child_score</t>
  </si>
  <si>
    <t>FollowUp_T_cdi_Parent_score</t>
  </si>
  <si>
    <t>FollowUp_anxietyscore_parent</t>
  </si>
  <si>
    <t>FollowUp_depressionscore_phq9_Parent</t>
  </si>
  <si>
    <t>FollowUp_DASS_Stress_Parent</t>
  </si>
  <si>
    <t>FollowUp_mindfulnesscore_parent</t>
  </si>
  <si>
    <t>Dyad_ID</t>
  </si>
  <si>
    <t>Race</t>
  </si>
  <si>
    <t>Parent_Ethnicity</t>
  </si>
  <si>
    <t>1. Hispanic</t>
  </si>
  <si>
    <t>3. Other</t>
  </si>
  <si>
    <t>2. Non Hispanic</t>
  </si>
  <si>
    <t>SES_Score</t>
  </si>
  <si>
    <t>Socioeconmic Status (SES) Score</t>
  </si>
  <si>
    <t>0-2 (low affluence)</t>
  </si>
  <si>
    <t>3-5 (middle affluence)</t>
  </si>
  <si>
    <t>&gt;5 (high affluence)</t>
  </si>
  <si>
    <t>n/a</t>
  </si>
  <si>
    <t>Child_age_Bins</t>
  </si>
  <si>
    <t>Age Bins</t>
  </si>
  <si>
    <t>1 = 5-10 Years Old</t>
  </si>
  <si>
    <t>2 = 11-15 Years Old</t>
  </si>
  <si>
    <t>3 = 25-35 Years Old</t>
  </si>
  <si>
    <t>4 = 35-45 Years Old</t>
  </si>
  <si>
    <t>5 = 45-55 Years Old</t>
  </si>
  <si>
    <t>Parent_age Bins</t>
  </si>
  <si>
    <t xml:space="preserve">   PJ12</t>
  </si>
  <si>
    <t xml:space="preserve">   PJ13</t>
  </si>
  <si>
    <t xml:space="preserve">   PJ16</t>
  </si>
  <si>
    <t xml:space="preserve">   PJ17</t>
  </si>
  <si>
    <t xml:space="preserve">   PJ18</t>
  </si>
  <si>
    <t xml:space="preserve">   PJ19</t>
  </si>
  <si>
    <t xml:space="preserve">   PJ1</t>
  </si>
  <si>
    <t xml:space="preserve">   PJ20</t>
  </si>
  <si>
    <t xml:space="preserve">   PJ22</t>
  </si>
  <si>
    <t xml:space="preserve">   PJ2</t>
  </si>
  <si>
    <t xml:space="preserve">   PJ3</t>
  </si>
  <si>
    <t xml:space="preserve">   PJ5</t>
  </si>
  <si>
    <t xml:space="preserve">   PJ8</t>
  </si>
  <si>
    <t xml:space="preserve">   PJ92</t>
  </si>
  <si>
    <t xml:space="preserve">   PJ95</t>
  </si>
  <si>
    <t xml:space="preserve">   PJ96</t>
  </si>
  <si>
    <t xml:space="preserve">   PJ9</t>
  </si>
  <si>
    <t xml:space="preserve">    PJ12</t>
  </si>
  <si>
    <t xml:space="preserve">    PJ13</t>
  </si>
  <si>
    <t xml:space="preserve">    PJ16</t>
  </si>
  <si>
    <t xml:space="preserve">    PJ17</t>
  </si>
  <si>
    <t xml:space="preserve">    PJ18</t>
  </si>
  <si>
    <t xml:space="preserve">    PJ19</t>
  </si>
  <si>
    <t xml:space="preserve">    PJ1</t>
  </si>
  <si>
    <t xml:space="preserve">    PJ20</t>
  </si>
  <si>
    <t xml:space="preserve">    PJ21</t>
  </si>
  <si>
    <t xml:space="preserve">    PJ22</t>
  </si>
  <si>
    <t xml:space="preserve">    PJ24</t>
  </si>
  <si>
    <t xml:space="preserve">    PJ2</t>
  </si>
  <si>
    <t xml:space="preserve">    PJ3</t>
  </si>
  <si>
    <t xml:space="preserve">    PJ4</t>
  </si>
  <si>
    <t xml:space="preserve">    PJ5</t>
  </si>
  <si>
    <t xml:space="preserve">    PJ66</t>
  </si>
  <si>
    <t xml:space="preserve">    PJ8</t>
  </si>
  <si>
    <t xml:space="preserve">    PJ92</t>
  </si>
  <si>
    <t xml:space="preserve">    PJ95</t>
  </si>
  <si>
    <t xml:space="preserve">    PJ96</t>
  </si>
  <si>
    <t xml:space="preserve">    PJ9</t>
  </si>
  <si>
    <t xml:space="preserve">   PJ10</t>
  </si>
  <si>
    <t>Original_Dyad_ID</t>
  </si>
  <si>
    <t xml:space="preserve">Child </t>
  </si>
  <si>
    <t>Excluded</t>
  </si>
  <si>
    <t xml:space="preserve">    PJ10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</si>
</sst>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name val="Calibri"/>
      <family val="2"/>
    </font>
    <font>
      <sz val="10"/>
      <color rgb="FF000000"/>
      <name val="Arial"/>
      <family val="2"/>
    </font>
    <font>
      <b/>
      <sz val="10"/>
      <color indexed="8"/>
      <name val="Helvetica Neue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20" fontId="1" fillId="0" borderId="0" xfId="0" applyNumberFormat="1" applyFont="1" applyAlignment="1">
      <alignment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49" fontId="3" fillId="2" borderId="0" xfId="0" applyNumberFormat="1" applyFont="1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vertical="top"/>
    </xf>
    <xf numFmtId="11" fontId="4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31CF-3067-41D0-8D94-FD5F16FC4C31}">
  <dimension ref="A1:O25"/>
  <sheetViews>
    <sheetView tabSelected="1" workbookViewId="0">
      <selection activeCell="F27" sqref="F27"/>
    </sheetView>
  </sheetViews>
  <sheetFormatPr defaultColWidth="8.85546875" defaultRowHeight="15"/>
  <cols>
    <col min="1" max="1" width="12.85546875" customWidth="1"/>
    <col min="2" max="2" width="17.5703125" customWidth="1"/>
    <col min="3" max="3" width="14" customWidth="1"/>
    <col min="4" max="5" width="12.5703125" customWidth="1"/>
    <col min="6" max="6" width="15" customWidth="1"/>
    <col min="7" max="7" width="11.140625" customWidth="1"/>
    <col min="8" max="8" width="11.5703125" customWidth="1"/>
    <col min="9" max="9" width="16.5703125" customWidth="1"/>
    <col min="10" max="10" width="16.28515625" customWidth="1"/>
    <col min="11" max="11" width="20.140625" customWidth="1"/>
    <col min="12" max="12" width="22.42578125" customWidth="1"/>
    <col min="13" max="13" width="39.140625" customWidth="1"/>
    <col min="14" max="14" width="19.42578125" customWidth="1"/>
    <col min="15" max="15" width="30" customWidth="1"/>
  </cols>
  <sheetData>
    <row r="1" spans="1:15">
      <c r="A1" t="s">
        <v>111</v>
      </c>
      <c r="B1" t="s">
        <v>123</v>
      </c>
      <c r="C1" t="s">
        <v>24</v>
      </c>
      <c r="D1" t="s">
        <v>25</v>
      </c>
      <c r="E1" t="s">
        <v>29</v>
      </c>
      <c r="F1" t="s">
        <v>130</v>
      </c>
      <c r="G1" t="s">
        <v>26</v>
      </c>
      <c r="H1" t="s">
        <v>27</v>
      </c>
      <c r="I1" t="s">
        <v>113</v>
      </c>
      <c r="J1" t="s">
        <v>117</v>
      </c>
      <c r="K1" t="s">
        <v>124</v>
      </c>
      <c r="L1" s="1" t="s">
        <v>28</v>
      </c>
      <c r="M1" s="1" t="s">
        <v>112</v>
      </c>
      <c r="N1" s="1" t="s">
        <v>29</v>
      </c>
      <c r="O1" t="s">
        <v>118</v>
      </c>
    </row>
    <row r="2" spans="1:15">
      <c r="A2" t="s">
        <v>0</v>
      </c>
      <c r="B2">
        <v>1</v>
      </c>
      <c r="C2">
        <v>2</v>
      </c>
      <c r="D2">
        <v>1</v>
      </c>
      <c r="E2">
        <v>1</v>
      </c>
      <c r="F2">
        <v>4</v>
      </c>
      <c r="G2">
        <v>2</v>
      </c>
      <c r="H2">
        <v>1</v>
      </c>
      <c r="I2">
        <v>2</v>
      </c>
      <c r="J2">
        <v>5</v>
      </c>
      <c r="K2" t="s">
        <v>125</v>
      </c>
      <c r="L2" s="2" t="s">
        <v>30</v>
      </c>
      <c r="M2" s="2" t="s">
        <v>31</v>
      </c>
      <c r="N2" t="s">
        <v>114</v>
      </c>
      <c r="O2" t="s">
        <v>119</v>
      </c>
    </row>
    <row r="3" spans="1:15">
      <c r="A3" t="s">
        <v>1</v>
      </c>
      <c r="B3">
        <v>1</v>
      </c>
      <c r="C3">
        <v>2</v>
      </c>
      <c r="D3">
        <v>4</v>
      </c>
      <c r="E3">
        <v>2</v>
      </c>
      <c r="F3">
        <v>4</v>
      </c>
      <c r="G3">
        <v>2</v>
      </c>
      <c r="H3">
        <v>4</v>
      </c>
      <c r="I3">
        <v>2</v>
      </c>
      <c r="J3">
        <v>5</v>
      </c>
      <c r="K3" t="s">
        <v>126</v>
      </c>
      <c r="L3" s="2" t="s">
        <v>32</v>
      </c>
      <c r="M3" s="2" t="s">
        <v>33</v>
      </c>
      <c r="N3" t="s">
        <v>116</v>
      </c>
      <c r="O3" t="s">
        <v>120</v>
      </c>
    </row>
    <row r="4" spans="1:15">
      <c r="A4" t="s">
        <v>2</v>
      </c>
      <c r="B4">
        <v>2</v>
      </c>
      <c r="C4">
        <v>1</v>
      </c>
      <c r="D4">
        <v>1</v>
      </c>
      <c r="E4">
        <v>1</v>
      </c>
      <c r="F4">
        <v>5</v>
      </c>
      <c r="G4">
        <v>2</v>
      </c>
      <c r="H4">
        <v>1</v>
      </c>
      <c r="I4">
        <v>1</v>
      </c>
      <c r="J4">
        <v>8</v>
      </c>
      <c r="K4" t="s">
        <v>127</v>
      </c>
      <c r="L4" s="3"/>
      <c r="M4" s="3" t="s">
        <v>34</v>
      </c>
      <c r="N4" t="s">
        <v>115</v>
      </c>
      <c r="O4" t="s">
        <v>121</v>
      </c>
    </row>
    <row r="5" spans="1:15">
      <c r="A5" t="s">
        <v>3</v>
      </c>
      <c r="B5">
        <v>2</v>
      </c>
      <c r="C5">
        <v>1</v>
      </c>
      <c r="D5">
        <v>1</v>
      </c>
      <c r="E5">
        <v>2</v>
      </c>
      <c r="F5">
        <v>4</v>
      </c>
      <c r="G5">
        <v>2</v>
      </c>
      <c r="H5">
        <v>1</v>
      </c>
      <c r="I5">
        <v>2</v>
      </c>
      <c r="J5">
        <v>7</v>
      </c>
      <c r="K5" t="s">
        <v>128</v>
      </c>
      <c r="L5" s="2"/>
      <c r="M5" s="2" t="s">
        <v>35</v>
      </c>
    </row>
    <row r="6" spans="1:15">
      <c r="A6" t="s">
        <v>4</v>
      </c>
      <c r="B6">
        <v>2</v>
      </c>
      <c r="C6">
        <v>2</v>
      </c>
      <c r="D6">
        <v>1</v>
      </c>
      <c r="E6">
        <v>2</v>
      </c>
      <c r="F6">
        <v>5</v>
      </c>
      <c r="G6">
        <v>2</v>
      </c>
      <c r="H6">
        <v>1</v>
      </c>
      <c r="I6">
        <v>2</v>
      </c>
      <c r="J6">
        <v>8</v>
      </c>
      <c r="K6" t="s">
        <v>129</v>
      </c>
      <c r="L6" s="2"/>
      <c r="M6" s="2" t="s">
        <v>36</v>
      </c>
    </row>
    <row r="7" spans="1:15">
      <c r="A7" t="s">
        <v>5</v>
      </c>
      <c r="B7">
        <v>1</v>
      </c>
      <c r="C7">
        <v>2</v>
      </c>
      <c r="D7">
        <v>4</v>
      </c>
      <c r="E7">
        <v>2</v>
      </c>
      <c r="F7">
        <v>5</v>
      </c>
      <c r="G7">
        <v>2</v>
      </c>
      <c r="H7">
        <v>4</v>
      </c>
      <c r="I7">
        <v>2</v>
      </c>
      <c r="J7">
        <v>6</v>
      </c>
      <c r="L7" s="2"/>
      <c r="M7" s="2" t="s">
        <v>37</v>
      </c>
    </row>
    <row r="8" spans="1:15">
      <c r="A8" t="s">
        <v>6</v>
      </c>
      <c r="B8">
        <v>1</v>
      </c>
      <c r="C8">
        <v>1</v>
      </c>
      <c r="D8">
        <v>6</v>
      </c>
      <c r="E8">
        <v>2</v>
      </c>
      <c r="F8">
        <v>4</v>
      </c>
      <c r="G8">
        <v>2</v>
      </c>
      <c r="H8">
        <v>4</v>
      </c>
      <c r="I8">
        <v>2</v>
      </c>
      <c r="J8">
        <v>7</v>
      </c>
      <c r="L8" s="2"/>
      <c r="M8" s="2" t="s">
        <v>38</v>
      </c>
    </row>
    <row r="9" spans="1:15">
      <c r="A9" t="s">
        <v>7</v>
      </c>
      <c r="B9">
        <v>1</v>
      </c>
      <c r="C9">
        <v>2</v>
      </c>
      <c r="D9">
        <v>4</v>
      </c>
      <c r="E9">
        <v>2</v>
      </c>
      <c r="F9">
        <v>4</v>
      </c>
      <c r="G9">
        <v>1</v>
      </c>
      <c r="H9">
        <v>4</v>
      </c>
      <c r="I9">
        <v>2</v>
      </c>
      <c r="J9">
        <v>5</v>
      </c>
    </row>
    <row r="10" spans="1:15">
      <c r="A10" t="s">
        <v>8</v>
      </c>
      <c r="B10">
        <v>2</v>
      </c>
      <c r="C10">
        <v>1</v>
      </c>
      <c r="D10">
        <v>1</v>
      </c>
      <c r="E10">
        <v>2</v>
      </c>
      <c r="F10">
        <v>5</v>
      </c>
      <c r="G10">
        <v>2</v>
      </c>
      <c r="H10">
        <v>1</v>
      </c>
      <c r="I10">
        <v>2</v>
      </c>
      <c r="J10">
        <v>5</v>
      </c>
    </row>
    <row r="11" spans="1:15">
      <c r="A11" t="s">
        <v>9</v>
      </c>
      <c r="B11">
        <v>1</v>
      </c>
      <c r="C11">
        <v>2</v>
      </c>
      <c r="D11">
        <v>6</v>
      </c>
      <c r="E11">
        <v>2</v>
      </c>
      <c r="F11">
        <v>4</v>
      </c>
      <c r="G11">
        <v>2</v>
      </c>
      <c r="H11">
        <v>6</v>
      </c>
      <c r="I11">
        <v>2</v>
      </c>
      <c r="J11">
        <v>6</v>
      </c>
    </row>
    <row r="12" spans="1:15">
      <c r="A12" t="s">
        <v>10</v>
      </c>
      <c r="B12">
        <v>1</v>
      </c>
      <c r="C12">
        <v>1</v>
      </c>
      <c r="D12">
        <v>1</v>
      </c>
      <c r="E12">
        <v>3</v>
      </c>
      <c r="F12">
        <v>4</v>
      </c>
      <c r="G12">
        <v>2</v>
      </c>
      <c r="H12">
        <v>1</v>
      </c>
      <c r="I12">
        <v>1</v>
      </c>
      <c r="J12">
        <v>7</v>
      </c>
    </row>
    <row r="13" spans="1:15">
      <c r="A13" t="s">
        <v>11</v>
      </c>
      <c r="B13">
        <v>1</v>
      </c>
      <c r="C13">
        <v>2</v>
      </c>
      <c r="D13">
        <v>1</v>
      </c>
      <c r="E13">
        <v>2</v>
      </c>
      <c r="F13">
        <v>5</v>
      </c>
      <c r="G13">
        <v>1</v>
      </c>
      <c r="H13">
        <v>1</v>
      </c>
      <c r="I13">
        <v>2</v>
      </c>
      <c r="J13">
        <v>7</v>
      </c>
    </row>
    <row r="14" spans="1:15">
      <c r="A14" t="s">
        <v>12</v>
      </c>
      <c r="B14">
        <v>2</v>
      </c>
      <c r="C14">
        <v>2</v>
      </c>
      <c r="D14">
        <v>6</v>
      </c>
      <c r="E14">
        <v>2</v>
      </c>
      <c r="F14">
        <v>4</v>
      </c>
      <c r="G14">
        <v>2</v>
      </c>
      <c r="H14">
        <v>4</v>
      </c>
      <c r="I14">
        <v>2</v>
      </c>
      <c r="J14">
        <v>8</v>
      </c>
    </row>
    <row r="15" spans="1:15">
      <c r="A15" t="s">
        <v>13</v>
      </c>
      <c r="B15">
        <v>2</v>
      </c>
      <c r="C15">
        <v>1</v>
      </c>
      <c r="D15">
        <v>1</v>
      </c>
      <c r="E15">
        <v>2</v>
      </c>
      <c r="F15">
        <v>5</v>
      </c>
      <c r="G15">
        <v>2</v>
      </c>
      <c r="H15">
        <v>1</v>
      </c>
      <c r="I15">
        <v>2</v>
      </c>
      <c r="J15">
        <v>8</v>
      </c>
    </row>
    <row r="16" spans="1:15">
      <c r="A16" t="s">
        <v>14</v>
      </c>
      <c r="B16">
        <v>2</v>
      </c>
      <c r="C16">
        <v>2</v>
      </c>
      <c r="D16">
        <v>6</v>
      </c>
      <c r="E16">
        <v>2</v>
      </c>
      <c r="F16">
        <v>4</v>
      </c>
      <c r="G16">
        <v>1</v>
      </c>
      <c r="H16">
        <v>1</v>
      </c>
      <c r="I16">
        <v>2</v>
      </c>
      <c r="J16">
        <v>8</v>
      </c>
    </row>
    <row r="17" spans="1:10">
      <c r="A17" t="s">
        <v>15</v>
      </c>
      <c r="B17">
        <v>2</v>
      </c>
      <c r="C17">
        <v>1</v>
      </c>
      <c r="D17">
        <v>4</v>
      </c>
      <c r="E17">
        <v>2</v>
      </c>
      <c r="F17">
        <v>5</v>
      </c>
      <c r="G17">
        <v>2</v>
      </c>
      <c r="H17">
        <v>4</v>
      </c>
    </row>
    <row r="18" spans="1:10">
      <c r="A18" t="s">
        <v>16</v>
      </c>
      <c r="B18">
        <v>1</v>
      </c>
      <c r="C18">
        <v>1</v>
      </c>
      <c r="D18">
        <v>6</v>
      </c>
      <c r="E18">
        <v>1</v>
      </c>
      <c r="F18">
        <v>4</v>
      </c>
      <c r="G18">
        <v>2</v>
      </c>
      <c r="H18">
        <v>6</v>
      </c>
      <c r="I18">
        <v>1</v>
      </c>
      <c r="J18">
        <v>8</v>
      </c>
    </row>
    <row r="19" spans="1:10">
      <c r="A19" t="s">
        <v>17</v>
      </c>
      <c r="B19">
        <v>1</v>
      </c>
      <c r="C19">
        <v>2</v>
      </c>
      <c r="D19">
        <v>4</v>
      </c>
      <c r="E19">
        <v>2</v>
      </c>
      <c r="F19">
        <v>5</v>
      </c>
      <c r="G19">
        <v>2</v>
      </c>
      <c r="H19">
        <v>4</v>
      </c>
      <c r="I19">
        <v>2</v>
      </c>
      <c r="J19">
        <v>8</v>
      </c>
    </row>
    <row r="20" spans="1:10">
      <c r="A20" t="s">
        <v>23</v>
      </c>
      <c r="B20">
        <v>1</v>
      </c>
      <c r="C20">
        <v>2</v>
      </c>
      <c r="D20">
        <v>6</v>
      </c>
      <c r="E20">
        <v>2</v>
      </c>
      <c r="F20">
        <v>5</v>
      </c>
      <c r="G20">
        <v>2</v>
      </c>
      <c r="H20">
        <v>1</v>
      </c>
      <c r="I20">
        <v>1</v>
      </c>
      <c r="J20">
        <v>4</v>
      </c>
    </row>
    <row r="21" spans="1:10">
      <c r="A21" t="s">
        <v>18</v>
      </c>
      <c r="B21">
        <v>2</v>
      </c>
      <c r="C21">
        <v>2</v>
      </c>
      <c r="D21">
        <v>6</v>
      </c>
      <c r="E21">
        <v>2</v>
      </c>
      <c r="F21">
        <v>5</v>
      </c>
      <c r="G21">
        <v>2</v>
      </c>
      <c r="H21">
        <v>4</v>
      </c>
      <c r="I21">
        <v>2</v>
      </c>
      <c r="J21">
        <v>8</v>
      </c>
    </row>
    <row r="22" spans="1:10">
      <c r="A22" t="s">
        <v>19</v>
      </c>
      <c r="B22">
        <v>1</v>
      </c>
      <c r="C22">
        <v>1</v>
      </c>
      <c r="D22">
        <v>1</v>
      </c>
      <c r="E22">
        <v>1</v>
      </c>
      <c r="F22">
        <v>5</v>
      </c>
      <c r="G22">
        <v>2</v>
      </c>
      <c r="H22">
        <v>1</v>
      </c>
      <c r="I22">
        <v>2</v>
      </c>
      <c r="J22">
        <v>7</v>
      </c>
    </row>
    <row r="23" spans="1:10">
      <c r="A23" t="s">
        <v>20</v>
      </c>
      <c r="B23">
        <v>2</v>
      </c>
      <c r="C23">
        <v>1</v>
      </c>
      <c r="D23">
        <v>7</v>
      </c>
      <c r="E23">
        <v>2</v>
      </c>
      <c r="F23">
        <v>3</v>
      </c>
      <c r="G23">
        <v>2</v>
      </c>
      <c r="H23">
        <v>1</v>
      </c>
      <c r="I23">
        <v>1</v>
      </c>
      <c r="J23">
        <v>4</v>
      </c>
    </row>
    <row r="24" spans="1:10">
      <c r="A24" t="s">
        <v>21</v>
      </c>
      <c r="B24">
        <v>2</v>
      </c>
      <c r="C24">
        <v>2</v>
      </c>
      <c r="D24">
        <v>1</v>
      </c>
      <c r="E24">
        <v>2</v>
      </c>
      <c r="F24">
        <v>5</v>
      </c>
      <c r="G24">
        <v>1</v>
      </c>
      <c r="H24">
        <v>1</v>
      </c>
      <c r="I24">
        <v>2</v>
      </c>
      <c r="J24">
        <v>6</v>
      </c>
    </row>
    <row r="25" spans="1:10">
      <c r="A25" t="s">
        <v>22</v>
      </c>
      <c r="B25">
        <v>2</v>
      </c>
      <c r="C25">
        <v>2</v>
      </c>
      <c r="D25">
        <v>1</v>
      </c>
      <c r="E25">
        <v>1</v>
      </c>
      <c r="F25">
        <v>5</v>
      </c>
      <c r="G25">
        <v>2</v>
      </c>
      <c r="H25">
        <v>1</v>
      </c>
      <c r="I25">
        <v>2</v>
      </c>
      <c r="J2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6221-0847-5B49-ABB6-AB9BC2E9BEFD}">
  <dimension ref="A1:P25"/>
  <sheetViews>
    <sheetView workbookViewId="0">
      <selection activeCell="J32" sqref="J32"/>
    </sheetView>
  </sheetViews>
  <sheetFormatPr defaultColWidth="11.42578125" defaultRowHeight="15"/>
  <sheetData>
    <row r="1" spans="1:16">
      <c r="A1" s="7" t="s">
        <v>89</v>
      </c>
      <c r="B1" s="7" t="s">
        <v>90</v>
      </c>
      <c r="C1" s="7" t="s">
        <v>91</v>
      </c>
      <c r="D1" s="7" t="s">
        <v>92</v>
      </c>
      <c r="E1" s="7" t="s">
        <v>93</v>
      </c>
      <c r="F1" s="7" t="s">
        <v>94</v>
      </c>
      <c r="G1" s="7" t="s">
        <v>95</v>
      </c>
      <c r="H1" s="7" t="s">
        <v>96</v>
      </c>
      <c r="I1" s="7" t="s">
        <v>97</v>
      </c>
      <c r="J1" s="7" t="s">
        <v>98</v>
      </c>
      <c r="K1" s="7" t="s">
        <v>99</v>
      </c>
      <c r="L1" s="7" t="s">
        <v>100</v>
      </c>
      <c r="M1" s="7" t="s">
        <v>101</v>
      </c>
      <c r="N1" s="7" t="s">
        <v>102</v>
      </c>
      <c r="O1" s="7" t="s">
        <v>103</v>
      </c>
      <c r="P1" s="7" t="s">
        <v>104</v>
      </c>
    </row>
    <row r="2" spans="1:16">
      <c r="A2" s="8">
        <v>5</v>
      </c>
      <c r="B2" s="8">
        <v>5</v>
      </c>
      <c r="C2" s="8">
        <v>7</v>
      </c>
      <c r="D2" s="8">
        <v>5</v>
      </c>
      <c r="E2" s="8">
        <v>6</v>
      </c>
      <c r="F2" s="8">
        <v>1</v>
      </c>
      <c r="G2" s="8">
        <v>6</v>
      </c>
      <c r="H2" s="8">
        <v>1</v>
      </c>
      <c r="I2" s="8">
        <v>5</v>
      </c>
      <c r="J2" s="8">
        <v>5</v>
      </c>
      <c r="K2" s="8">
        <v>5</v>
      </c>
      <c r="L2" s="8">
        <v>5</v>
      </c>
      <c r="M2" s="8">
        <v>2</v>
      </c>
      <c r="N2" s="8">
        <v>5</v>
      </c>
      <c r="O2" s="8">
        <v>5</v>
      </c>
      <c r="P2" s="8">
        <v>3</v>
      </c>
    </row>
    <row r="3" spans="1:16">
      <c r="A3" s="8">
        <v>5</v>
      </c>
      <c r="B3" s="8">
        <v>4</v>
      </c>
      <c r="C3" s="8">
        <v>5</v>
      </c>
      <c r="D3" s="8">
        <v>2</v>
      </c>
      <c r="E3" s="8">
        <v>4</v>
      </c>
      <c r="F3" s="8">
        <v>2</v>
      </c>
      <c r="G3" s="8">
        <v>6</v>
      </c>
      <c r="H3" s="8">
        <v>2</v>
      </c>
      <c r="I3" s="8">
        <v>6</v>
      </c>
      <c r="J3" s="8">
        <v>4</v>
      </c>
      <c r="K3" s="8">
        <v>5</v>
      </c>
      <c r="L3" s="8">
        <v>3</v>
      </c>
      <c r="M3" s="8">
        <v>3</v>
      </c>
      <c r="N3" s="8">
        <v>5</v>
      </c>
      <c r="O3" s="8">
        <v>5</v>
      </c>
      <c r="P3" s="8">
        <v>4</v>
      </c>
    </row>
    <row r="4" spans="1:16">
      <c r="A4" s="8">
        <v>6</v>
      </c>
      <c r="B4" s="8">
        <v>2</v>
      </c>
      <c r="C4" s="8">
        <v>5</v>
      </c>
      <c r="D4" s="8">
        <v>4</v>
      </c>
      <c r="E4" s="8">
        <v>6</v>
      </c>
      <c r="F4" s="8">
        <v>3</v>
      </c>
      <c r="G4" s="8">
        <v>5</v>
      </c>
      <c r="H4" s="8">
        <v>2</v>
      </c>
      <c r="I4" s="8">
        <v>3</v>
      </c>
      <c r="J4" s="8">
        <v>3</v>
      </c>
      <c r="K4" s="8">
        <v>2</v>
      </c>
      <c r="L4" s="8">
        <v>3</v>
      </c>
      <c r="M4" s="8">
        <v>3</v>
      </c>
      <c r="N4" s="8">
        <v>2</v>
      </c>
      <c r="O4" s="8">
        <v>4</v>
      </c>
      <c r="P4" s="8">
        <v>4</v>
      </c>
    </row>
    <row r="5" spans="1:16">
      <c r="A5" s="8">
        <v>1</v>
      </c>
      <c r="B5" s="8">
        <v>7</v>
      </c>
      <c r="C5" s="8">
        <v>1</v>
      </c>
      <c r="D5" s="8">
        <v>4</v>
      </c>
      <c r="E5" s="8">
        <v>1</v>
      </c>
      <c r="F5" s="8">
        <v>3</v>
      </c>
      <c r="G5" s="8">
        <v>5</v>
      </c>
      <c r="H5" s="8">
        <v>1</v>
      </c>
      <c r="I5" s="8">
        <v>6</v>
      </c>
      <c r="J5" s="8">
        <v>1</v>
      </c>
      <c r="K5" s="8">
        <v>1</v>
      </c>
      <c r="L5" s="8">
        <v>1</v>
      </c>
      <c r="M5" s="8">
        <v>6</v>
      </c>
      <c r="N5" s="8">
        <v>1</v>
      </c>
      <c r="O5" s="8">
        <v>1</v>
      </c>
      <c r="P5" s="8">
        <v>1</v>
      </c>
    </row>
    <row r="6" spans="1:16">
      <c r="A6" s="8">
        <v>4</v>
      </c>
      <c r="B6" s="8">
        <v>5</v>
      </c>
      <c r="C6" s="8">
        <v>5</v>
      </c>
      <c r="D6" s="8">
        <v>2</v>
      </c>
      <c r="E6" s="8">
        <v>7</v>
      </c>
      <c r="F6" s="8">
        <v>1</v>
      </c>
      <c r="G6" s="8">
        <v>5</v>
      </c>
      <c r="H6" s="8">
        <v>1</v>
      </c>
      <c r="I6" s="8">
        <v>1</v>
      </c>
      <c r="J6" s="8">
        <v>7</v>
      </c>
      <c r="K6" s="8">
        <v>4</v>
      </c>
      <c r="L6" s="8">
        <v>1</v>
      </c>
      <c r="M6" s="8">
        <v>4</v>
      </c>
      <c r="N6" s="8">
        <v>1</v>
      </c>
      <c r="O6" s="8">
        <v>1</v>
      </c>
      <c r="P6" s="8">
        <v>1</v>
      </c>
    </row>
    <row r="7" spans="1:16">
      <c r="A7" s="8">
        <v>7</v>
      </c>
      <c r="B7" s="8">
        <v>1</v>
      </c>
      <c r="C7" s="8">
        <v>7</v>
      </c>
      <c r="D7" s="8">
        <v>1</v>
      </c>
      <c r="E7" s="8">
        <v>7</v>
      </c>
      <c r="F7" s="8">
        <v>1</v>
      </c>
      <c r="G7" s="8">
        <v>5</v>
      </c>
      <c r="H7" s="8">
        <v>1</v>
      </c>
      <c r="I7" s="8">
        <v>7</v>
      </c>
      <c r="J7" s="8">
        <v>7</v>
      </c>
      <c r="K7" s="8">
        <v>7</v>
      </c>
      <c r="L7" s="8">
        <v>5</v>
      </c>
      <c r="M7" s="8">
        <v>1</v>
      </c>
      <c r="N7" s="8">
        <v>7</v>
      </c>
      <c r="O7" s="8">
        <v>7</v>
      </c>
      <c r="P7" s="8">
        <v>4</v>
      </c>
    </row>
    <row r="8" spans="1:16">
      <c r="A8" s="8">
        <v>4</v>
      </c>
      <c r="B8" s="8">
        <v>7</v>
      </c>
      <c r="C8" s="8">
        <v>3</v>
      </c>
      <c r="D8" s="8">
        <v>1</v>
      </c>
      <c r="E8" s="8">
        <v>2</v>
      </c>
      <c r="F8" s="8">
        <v>7</v>
      </c>
      <c r="G8" s="8">
        <v>5</v>
      </c>
      <c r="H8" s="8">
        <v>1</v>
      </c>
      <c r="I8" s="8">
        <v>7</v>
      </c>
      <c r="J8" s="8">
        <v>7</v>
      </c>
      <c r="K8" s="8">
        <v>6</v>
      </c>
      <c r="L8" s="8">
        <v>4</v>
      </c>
      <c r="M8" s="8">
        <v>5</v>
      </c>
      <c r="N8" s="8">
        <v>1</v>
      </c>
      <c r="O8" s="8">
        <v>1</v>
      </c>
      <c r="P8" s="8">
        <v>5</v>
      </c>
    </row>
    <row r="9" spans="1:16">
      <c r="A9" s="8">
        <v>4</v>
      </c>
      <c r="B9" s="8">
        <v>3</v>
      </c>
      <c r="C9" s="8">
        <v>5</v>
      </c>
      <c r="D9" s="8">
        <v>5</v>
      </c>
      <c r="E9" s="8">
        <v>5</v>
      </c>
      <c r="F9" s="8">
        <v>3</v>
      </c>
      <c r="G9" s="8">
        <v>5</v>
      </c>
      <c r="H9" s="8">
        <v>1</v>
      </c>
      <c r="I9" s="8">
        <v>4</v>
      </c>
      <c r="J9" s="8">
        <v>3</v>
      </c>
      <c r="K9" s="8">
        <v>4</v>
      </c>
      <c r="L9" s="8">
        <v>5</v>
      </c>
      <c r="M9" s="8">
        <v>2</v>
      </c>
      <c r="N9" s="8">
        <v>5</v>
      </c>
      <c r="O9" s="8">
        <v>4</v>
      </c>
      <c r="P9" s="8">
        <v>4</v>
      </c>
    </row>
    <row r="10" spans="1:16">
      <c r="A10" s="8">
        <v>6</v>
      </c>
      <c r="B10" s="8">
        <v>2</v>
      </c>
      <c r="C10" s="8">
        <v>6</v>
      </c>
      <c r="D10" s="8">
        <v>7</v>
      </c>
      <c r="E10" s="8">
        <v>6</v>
      </c>
      <c r="F10" s="8">
        <v>4</v>
      </c>
      <c r="G10" s="8">
        <v>6</v>
      </c>
      <c r="H10" s="8">
        <v>2</v>
      </c>
      <c r="I10" s="8">
        <v>6</v>
      </c>
      <c r="J10" s="8">
        <v>6</v>
      </c>
      <c r="K10" s="8">
        <v>6</v>
      </c>
      <c r="L10" s="8">
        <v>6</v>
      </c>
      <c r="M10" s="8">
        <v>2</v>
      </c>
      <c r="N10" s="8">
        <v>6</v>
      </c>
      <c r="O10" s="8">
        <v>6</v>
      </c>
      <c r="P10" s="8">
        <v>5</v>
      </c>
    </row>
    <row r="11" spans="1:16">
      <c r="A11" s="8">
        <v>4</v>
      </c>
      <c r="B11" s="8">
        <v>5</v>
      </c>
      <c r="C11" s="8">
        <v>4</v>
      </c>
      <c r="D11" s="8">
        <v>4</v>
      </c>
      <c r="E11" s="8">
        <v>6</v>
      </c>
      <c r="F11" s="8">
        <v>4</v>
      </c>
      <c r="G11" s="8">
        <v>4</v>
      </c>
      <c r="H11" s="8">
        <v>1</v>
      </c>
      <c r="I11" s="8">
        <v>3</v>
      </c>
      <c r="J11" s="8">
        <v>5</v>
      </c>
      <c r="K11" s="8">
        <v>3</v>
      </c>
      <c r="L11" s="8">
        <v>3</v>
      </c>
      <c r="M11" s="8">
        <v>5</v>
      </c>
      <c r="N11" s="8">
        <v>2</v>
      </c>
      <c r="O11" s="8">
        <v>2</v>
      </c>
      <c r="P11" s="8">
        <v>3</v>
      </c>
    </row>
    <row r="12" spans="1:16">
      <c r="A12" s="8">
        <v>1</v>
      </c>
      <c r="B12" s="8">
        <v>6</v>
      </c>
      <c r="C12" s="8">
        <v>1</v>
      </c>
      <c r="D12" s="8">
        <v>2</v>
      </c>
      <c r="E12" s="8">
        <v>5</v>
      </c>
      <c r="F12" s="8">
        <v>6</v>
      </c>
      <c r="G12" s="8">
        <v>7</v>
      </c>
      <c r="H12" s="8">
        <v>1</v>
      </c>
      <c r="I12" s="8">
        <v>7</v>
      </c>
      <c r="J12" s="8">
        <v>1</v>
      </c>
      <c r="K12" s="8">
        <v>1</v>
      </c>
      <c r="L12" s="8">
        <v>1</v>
      </c>
      <c r="M12" s="8">
        <v>7</v>
      </c>
      <c r="N12" s="8">
        <v>1</v>
      </c>
      <c r="O12" s="8">
        <v>1</v>
      </c>
      <c r="P12" s="8">
        <v>1</v>
      </c>
    </row>
    <row r="13" spans="1:16">
      <c r="A13" s="8">
        <v>6</v>
      </c>
      <c r="B13" s="8">
        <v>2</v>
      </c>
      <c r="C13" s="8">
        <v>5</v>
      </c>
      <c r="D13" s="8">
        <v>4</v>
      </c>
      <c r="E13" s="8">
        <v>7</v>
      </c>
      <c r="F13" s="8">
        <v>1</v>
      </c>
      <c r="G13" s="8">
        <v>7</v>
      </c>
      <c r="H13" s="8">
        <v>5</v>
      </c>
      <c r="I13" s="8">
        <v>7</v>
      </c>
      <c r="J13" s="8">
        <v>6</v>
      </c>
      <c r="K13" s="8">
        <v>4</v>
      </c>
      <c r="L13" s="8">
        <v>3</v>
      </c>
      <c r="M13" s="8">
        <v>5</v>
      </c>
      <c r="N13" s="8">
        <v>5</v>
      </c>
      <c r="O13" s="8">
        <v>5</v>
      </c>
      <c r="P13" s="8">
        <v>6</v>
      </c>
    </row>
    <row r="14" spans="1:16">
      <c r="A14" s="8">
        <v>7</v>
      </c>
      <c r="B14" s="8">
        <v>1</v>
      </c>
      <c r="C14" s="8">
        <v>7</v>
      </c>
      <c r="D14" s="8">
        <v>3</v>
      </c>
      <c r="E14" s="8">
        <v>7</v>
      </c>
      <c r="F14" s="8">
        <v>2</v>
      </c>
      <c r="G14" s="8">
        <v>7</v>
      </c>
      <c r="H14" s="8">
        <v>2</v>
      </c>
      <c r="I14" s="8">
        <v>6</v>
      </c>
      <c r="J14" s="8">
        <v>6</v>
      </c>
      <c r="K14" s="8">
        <v>5</v>
      </c>
      <c r="L14" s="8">
        <v>5</v>
      </c>
      <c r="M14" s="8">
        <v>3</v>
      </c>
      <c r="N14" s="8">
        <v>6</v>
      </c>
      <c r="O14" s="8">
        <v>6</v>
      </c>
      <c r="P14" s="8">
        <v>6</v>
      </c>
    </row>
    <row r="15" spans="1:16">
      <c r="A15" s="8">
        <v>6</v>
      </c>
      <c r="B15" s="8">
        <v>1</v>
      </c>
      <c r="C15" s="8">
        <v>7</v>
      </c>
      <c r="D15" s="8">
        <v>1</v>
      </c>
      <c r="E15" s="8">
        <v>7</v>
      </c>
      <c r="F15" s="8">
        <v>1</v>
      </c>
      <c r="G15" s="8">
        <v>7</v>
      </c>
      <c r="H15" s="8">
        <v>1</v>
      </c>
      <c r="I15" s="8">
        <v>7</v>
      </c>
      <c r="J15" s="8">
        <v>6</v>
      </c>
      <c r="K15" s="8">
        <v>5</v>
      </c>
      <c r="L15" s="8">
        <v>6</v>
      </c>
      <c r="M15" s="8">
        <v>1</v>
      </c>
      <c r="N15" s="8">
        <v>6</v>
      </c>
      <c r="O15" s="8">
        <v>6</v>
      </c>
      <c r="P15" s="8">
        <v>6</v>
      </c>
    </row>
    <row r="16" spans="1:16">
      <c r="A16" s="8">
        <v>6</v>
      </c>
      <c r="B16" s="8">
        <v>3</v>
      </c>
      <c r="C16" s="8">
        <v>6</v>
      </c>
      <c r="D16" s="8">
        <v>4</v>
      </c>
      <c r="E16" s="8">
        <v>7</v>
      </c>
      <c r="F16" s="8">
        <v>2</v>
      </c>
      <c r="G16" s="8">
        <v>6</v>
      </c>
      <c r="H16" s="8">
        <v>1</v>
      </c>
      <c r="I16" s="8">
        <v>6</v>
      </c>
      <c r="J16" s="8">
        <v>5</v>
      </c>
      <c r="K16" s="8">
        <v>5</v>
      </c>
      <c r="L16" s="8">
        <v>6</v>
      </c>
      <c r="M16" s="8">
        <v>1</v>
      </c>
      <c r="N16" s="8">
        <v>6</v>
      </c>
      <c r="O16" s="8">
        <v>6</v>
      </c>
      <c r="P16" s="8">
        <v>6</v>
      </c>
    </row>
    <row r="17" spans="1:16">
      <c r="A17" s="8">
        <v>5</v>
      </c>
      <c r="B17" s="8">
        <v>7</v>
      </c>
      <c r="C17" s="8">
        <v>4</v>
      </c>
      <c r="D17" s="8">
        <v>2</v>
      </c>
      <c r="E17" s="8">
        <v>5</v>
      </c>
      <c r="F17" s="8">
        <v>3</v>
      </c>
      <c r="G17" s="8">
        <v>5</v>
      </c>
      <c r="H17" s="8">
        <v>1</v>
      </c>
      <c r="I17" s="8">
        <v>6</v>
      </c>
      <c r="J17" s="8">
        <v>6</v>
      </c>
      <c r="K17" s="8">
        <v>4</v>
      </c>
      <c r="L17" s="8">
        <v>2</v>
      </c>
      <c r="M17" s="8">
        <v>5</v>
      </c>
      <c r="N17" s="8">
        <v>1</v>
      </c>
      <c r="O17" s="8">
        <v>1</v>
      </c>
      <c r="P17" s="8">
        <v>6</v>
      </c>
    </row>
    <row r="18" spans="1:16">
      <c r="A18" s="8">
        <v>3</v>
      </c>
      <c r="B18" s="8">
        <v>3</v>
      </c>
      <c r="C18" s="8">
        <v>2</v>
      </c>
      <c r="D18" s="8">
        <v>4</v>
      </c>
      <c r="E18" s="8">
        <v>3</v>
      </c>
      <c r="F18" s="8">
        <v>4</v>
      </c>
      <c r="G18" s="8">
        <v>3</v>
      </c>
      <c r="H18" s="8">
        <v>2</v>
      </c>
      <c r="I18" s="8">
        <v>3</v>
      </c>
      <c r="J18" s="8">
        <v>3</v>
      </c>
      <c r="K18" s="8">
        <v>2</v>
      </c>
      <c r="L18" s="8">
        <v>2</v>
      </c>
      <c r="M18" s="8">
        <v>3</v>
      </c>
      <c r="N18" s="8">
        <v>2</v>
      </c>
      <c r="O18" s="8">
        <v>2</v>
      </c>
      <c r="P18" s="8">
        <v>2</v>
      </c>
    </row>
    <row r="19" spans="1:16">
      <c r="A19" s="8">
        <v>7</v>
      </c>
      <c r="B19" s="8">
        <v>1</v>
      </c>
      <c r="C19" s="8">
        <v>7</v>
      </c>
      <c r="D19" s="8">
        <v>1</v>
      </c>
      <c r="E19" s="8">
        <v>7</v>
      </c>
      <c r="F19" s="8">
        <v>1</v>
      </c>
      <c r="G19" s="8">
        <v>7</v>
      </c>
      <c r="H19" s="8">
        <v>2</v>
      </c>
      <c r="I19" s="8">
        <v>7</v>
      </c>
      <c r="J19" s="8">
        <v>7</v>
      </c>
      <c r="K19" s="8">
        <v>6</v>
      </c>
      <c r="L19" s="8">
        <v>6</v>
      </c>
      <c r="M19" s="8">
        <v>1</v>
      </c>
      <c r="N19" s="8">
        <v>6</v>
      </c>
      <c r="O19" s="8">
        <v>7</v>
      </c>
      <c r="P19" s="8">
        <v>5</v>
      </c>
    </row>
    <row r="20" spans="1:16">
      <c r="A20" s="8">
        <v>5</v>
      </c>
      <c r="B20" s="8">
        <v>4</v>
      </c>
      <c r="C20" s="8">
        <v>5</v>
      </c>
      <c r="D20" s="8">
        <v>4</v>
      </c>
      <c r="E20" s="8">
        <v>7</v>
      </c>
      <c r="F20" s="8">
        <v>3</v>
      </c>
      <c r="G20" s="8">
        <v>6</v>
      </c>
      <c r="H20" s="8">
        <v>2</v>
      </c>
      <c r="I20" s="8">
        <v>6</v>
      </c>
      <c r="J20" s="8">
        <v>4</v>
      </c>
      <c r="K20" s="8">
        <v>3</v>
      </c>
      <c r="L20" s="8">
        <v>3</v>
      </c>
      <c r="M20" s="8">
        <v>4</v>
      </c>
      <c r="N20" s="8">
        <v>5</v>
      </c>
      <c r="O20" s="8">
        <v>4</v>
      </c>
      <c r="P20" s="8">
        <v>5</v>
      </c>
    </row>
    <row r="21" spans="1:16">
      <c r="A21" s="8">
        <v>3</v>
      </c>
      <c r="B21" s="8">
        <v>6</v>
      </c>
      <c r="C21" s="8">
        <v>3</v>
      </c>
      <c r="D21" s="8">
        <v>5</v>
      </c>
      <c r="E21" s="8">
        <v>5</v>
      </c>
      <c r="F21" s="8">
        <v>5</v>
      </c>
      <c r="G21" s="8">
        <v>5</v>
      </c>
      <c r="H21" s="8">
        <v>1</v>
      </c>
      <c r="I21" s="8">
        <v>5</v>
      </c>
      <c r="J21" s="8">
        <v>2</v>
      </c>
      <c r="K21" s="8">
        <v>1</v>
      </c>
      <c r="L21" s="8">
        <v>5</v>
      </c>
      <c r="M21" s="8">
        <v>3</v>
      </c>
      <c r="N21" s="8">
        <v>2</v>
      </c>
      <c r="O21" s="8">
        <v>2</v>
      </c>
      <c r="P21" s="8">
        <v>2</v>
      </c>
    </row>
    <row r="22" spans="1:16">
      <c r="A22" s="8">
        <v>7</v>
      </c>
      <c r="B22" s="8">
        <v>2</v>
      </c>
      <c r="C22" s="8">
        <v>5</v>
      </c>
      <c r="D22" s="8">
        <v>2</v>
      </c>
      <c r="E22" s="8">
        <v>7</v>
      </c>
      <c r="F22" s="8">
        <v>2</v>
      </c>
      <c r="G22" s="8">
        <v>6</v>
      </c>
      <c r="H22" s="8">
        <v>2</v>
      </c>
      <c r="I22" s="8">
        <v>5</v>
      </c>
      <c r="J22" s="8">
        <v>5</v>
      </c>
      <c r="K22" s="8">
        <v>6</v>
      </c>
      <c r="L22" s="8">
        <v>6</v>
      </c>
      <c r="M22" s="8">
        <v>1</v>
      </c>
      <c r="N22" s="8">
        <v>4</v>
      </c>
      <c r="O22" s="8">
        <v>6</v>
      </c>
      <c r="P22" s="8">
        <v>5</v>
      </c>
    </row>
    <row r="23" spans="1:16">
      <c r="A23" s="8">
        <v>4</v>
      </c>
      <c r="B23" s="8">
        <v>1</v>
      </c>
      <c r="C23" s="8">
        <v>4</v>
      </c>
      <c r="D23" s="8">
        <v>2</v>
      </c>
      <c r="E23" s="8">
        <v>5</v>
      </c>
      <c r="F23" s="8">
        <v>2</v>
      </c>
      <c r="G23" s="8">
        <v>6</v>
      </c>
      <c r="H23" s="8">
        <v>2</v>
      </c>
      <c r="I23" s="8">
        <v>3</v>
      </c>
      <c r="J23" s="8">
        <v>5</v>
      </c>
      <c r="K23" s="8">
        <v>4</v>
      </c>
      <c r="L23" s="8">
        <v>6</v>
      </c>
      <c r="M23" s="8">
        <v>2</v>
      </c>
      <c r="N23" s="8">
        <v>2</v>
      </c>
      <c r="O23" s="8">
        <v>2</v>
      </c>
      <c r="P23" s="8">
        <v>4</v>
      </c>
    </row>
    <row r="24" spans="1:16">
      <c r="A24" s="8">
        <v>7</v>
      </c>
      <c r="B24" s="8">
        <v>1</v>
      </c>
      <c r="C24" s="8">
        <v>7</v>
      </c>
      <c r="D24" s="8">
        <v>1</v>
      </c>
      <c r="E24" s="8">
        <v>7</v>
      </c>
      <c r="F24" s="8">
        <v>1</v>
      </c>
      <c r="G24" s="8">
        <v>7</v>
      </c>
      <c r="H24" s="8">
        <v>1</v>
      </c>
      <c r="I24" s="8">
        <v>7</v>
      </c>
      <c r="J24" s="8">
        <v>7</v>
      </c>
      <c r="K24" s="8">
        <v>7</v>
      </c>
      <c r="L24" s="8">
        <v>7</v>
      </c>
      <c r="M24" s="8">
        <v>7</v>
      </c>
      <c r="N24" s="8">
        <v>7</v>
      </c>
      <c r="O24" s="8">
        <v>7</v>
      </c>
      <c r="P24" s="8">
        <v>7</v>
      </c>
    </row>
    <row r="25" spans="1:16">
      <c r="A25" s="8">
        <v>6</v>
      </c>
      <c r="B25" s="8">
        <v>1</v>
      </c>
      <c r="C25" s="8">
        <v>6</v>
      </c>
      <c r="D25" s="8">
        <v>6</v>
      </c>
      <c r="E25" s="8">
        <v>7</v>
      </c>
      <c r="F25" s="8">
        <v>1</v>
      </c>
      <c r="G25" s="8">
        <v>7</v>
      </c>
      <c r="H25" s="8">
        <v>2</v>
      </c>
      <c r="I25" s="8">
        <v>4</v>
      </c>
      <c r="J25" s="8">
        <v>4</v>
      </c>
      <c r="K25" s="8">
        <v>3</v>
      </c>
      <c r="L25" s="8">
        <v>7</v>
      </c>
      <c r="M25" s="8">
        <v>1</v>
      </c>
      <c r="N25" s="8">
        <v>7</v>
      </c>
      <c r="O25" s="8">
        <v>7</v>
      </c>
      <c r="P25" s="8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opLeftCell="I1" workbookViewId="0">
      <selection activeCell="P6" sqref="P6:U6"/>
    </sheetView>
  </sheetViews>
  <sheetFormatPr defaultColWidth="8.85546875" defaultRowHeight="15"/>
  <cols>
    <col min="1" max="1" width="11.42578125" customWidth="1"/>
    <col min="2" max="3" width="20" customWidth="1"/>
    <col min="4" max="4" width="20.85546875" customWidth="1"/>
    <col min="5" max="6" width="24.42578125" customWidth="1"/>
    <col min="7" max="7" width="20.28515625" customWidth="1"/>
    <col min="8" max="8" width="18.28515625" customWidth="1"/>
    <col min="9" max="9" width="16.140625" customWidth="1"/>
    <col min="10" max="11" width="20" customWidth="1"/>
    <col min="12" max="12" width="24.7109375" customWidth="1"/>
    <col min="13" max="13" width="18.140625" customWidth="1"/>
    <col min="14" max="14" width="18.7109375" customWidth="1"/>
    <col min="15" max="15" width="13.7109375" customWidth="1"/>
    <col min="16" max="16" width="19.140625" customWidth="1"/>
    <col min="17" max="17" width="22.85546875" customWidth="1"/>
    <col min="18" max="18" width="20.42578125" customWidth="1"/>
    <col min="19" max="19" width="18.42578125" customWidth="1"/>
    <col min="20" max="20" width="22.42578125" customWidth="1"/>
    <col min="21" max="21" width="15.85546875" customWidth="1"/>
  </cols>
  <sheetData>
    <row r="1" spans="1:21">
      <c r="A1" t="s">
        <v>111</v>
      </c>
      <c r="B1" t="s">
        <v>41</v>
      </c>
      <c r="C1" t="s">
        <v>87</v>
      </c>
      <c r="D1" t="s">
        <v>42</v>
      </c>
      <c r="E1" t="s">
        <v>43</v>
      </c>
      <c r="F1" t="s">
        <v>44</v>
      </c>
      <c r="G1" t="s">
        <v>45</v>
      </c>
      <c r="H1" t="s">
        <v>40</v>
      </c>
      <c r="I1" t="s">
        <v>39</v>
      </c>
      <c r="J1" t="s">
        <v>46</v>
      </c>
      <c r="K1" t="s">
        <v>88</v>
      </c>
      <c r="L1" t="s">
        <v>47</v>
      </c>
      <c r="M1" t="s">
        <v>50</v>
      </c>
      <c r="N1" t="s">
        <v>48</v>
      </c>
      <c r="O1" t="s">
        <v>49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</row>
    <row r="2" spans="1:21">
      <c r="A2" t="s">
        <v>0</v>
      </c>
      <c r="B2" s="4">
        <v>63</v>
      </c>
      <c r="C2" s="4">
        <v>68</v>
      </c>
      <c r="D2" s="4">
        <v>4</v>
      </c>
      <c r="E2" s="4">
        <v>7</v>
      </c>
      <c r="F2" s="4">
        <v>4</v>
      </c>
      <c r="G2" s="6">
        <v>4.9285714285714288</v>
      </c>
      <c r="H2" s="4">
        <v>5</v>
      </c>
      <c r="I2" s="4">
        <v>29</v>
      </c>
      <c r="J2" s="4">
        <v>60</v>
      </c>
      <c r="K2" s="4">
        <v>57</v>
      </c>
      <c r="L2" s="4">
        <v>0</v>
      </c>
      <c r="M2" s="4">
        <v>0</v>
      </c>
      <c r="N2" s="4">
        <v>0</v>
      </c>
      <c r="O2" s="6">
        <v>4.9285714289999998</v>
      </c>
      <c r="P2">
        <v>90</v>
      </c>
      <c r="Q2">
        <v>61</v>
      </c>
      <c r="R2">
        <v>4</v>
      </c>
      <c r="S2">
        <v>0</v>
      </c>
      <c r="T2">
        <v>5</v>
      </c>
      <c r="U2">
        <v>5.2857142860000002</v>
      </c>
    </row>
    <row r="3" spans="1:21">
      <c r="A3" t="s">
        <v>1</v>
      </c>
      <c r="B3" s="5">
        <v>40</v>
      </c>
      <c r="C3" s="5">
        <v>45</v>
      </c>
      <c r="D3" s="4">
        <v>0</v>
      </c>
      <c r="E3" s="4">
        <v>3</v>
      </c>
      <c r="F3" s="4">
        <v>0</v>
      </c>
      <c r="G3" s="6">
        <v>6</v>
      </c>
      <c r="H3" s="4">
        <v>5</v>
      </c>
      <c r="I3" s="4">
        <v>29</v>
      </c>
      <c r="J3" s="4">
        <v>40</v>
      </c>
      <c r="K3" s="4">
        <v>38</v>
      </c>
      <c r="L3" s="4">
        <v>0</v>
      </c>
      <c r="M3" s="4">
        <v>2</v>
      </c>
      <c r="N3" s="4">
        <v>0</v>
      </c>
      <c r="O3" s="6">
        <v>6</v>
      </c>
      <c r="P3">
        <v>40</v>
      </c>
      <c r="Q3">
        <v>41</v>
      </c>
      <c r="R3">
        <v>2</v>
      </c>
      <c r="S3">
        <v>0</v>
      </c>
      <c r="T3">
        <v>0</v>
      </c>
      <c r="U3">
        <v>6</v>
      </c>
    </row>
    <row r="4" spans="1:21">
      <c r="A4" t="s">
        <v>2</v>
      </c>
      <c r="B4" s="5">
        <v>40</v>
      </c>
      <c r="C4" s="5">
        <v>49</v>
      </c>
      <c r="D4" s="4">
        <v>4</v>
      </c>
      <c r="E4" s="4">
        <v>5</v>
      </c>
      <c r="F4" s="4">
        <v>4</v>
      </c>
      <c r="G4" s="6">
        <v>4.2142857142857144</v>
      </c>
      <c r="H4" s="4">
        <v>4</v>
      </c>
      <c r="I4" s="4">
        <v>29</v>
      </c>
      <c r="J4" s="4">
        <v>50</v>
      </c>
      <c r="K4" s="4">
        <v>41</v>
      </c>
      <c r="L4" s="4">
        <v>5</v>
      </c>
      <c r="M4" s="4">
        <v>6</v>
      </c>
      <c r="N4" s="4">
        <v>6</v>
      </c>
      <c r="O4" s="6">
        <v>3.3571428569999999</v>
      </c>
      <c r="P4">
        <v>43</v>
      </c>
      <c r="Q4">
        <v>42</v>
      </c>
      <c r="R4">
        <v>4</v>
      </c>
      <c r="S4">
        <v>8</v>
      </c>
      <c r="T4">
        <v>7</v>
      </c>
      <c r="U4">
        <v>3.7857142860000002</v>
      </c>
    </row>
    <row r="5" spans="1:21">
      <c r="A5" t="s">
        <v>3</v>
      </c>
      <c r="B5" s="4">
        <v>48</v>
      </c>
      <c r="C5" s="4">
        <v>50</v>
      </c>
      <c r="D5" s="4">
        <v>1</v>
      </c>
      <c r="E5" s="4">
        <v>3</v>
      </c>
      <c r="F5" s="4">
        <v>3</v>
      </c>
      <c r="G5" s="6">
        <v>4.6428571428571432</v>
      </c>
      <c r="H5" s="4">
        <v>5</v>
      </c>
      <c r="I5" s="4">
        <v>30</v>
      </c>
      <c r="J5" s="4">
        <v>46</v>
      </c>
      <c r="K5" s="4">
        <v>47</v>
      </c>
      <c r="L5" s="4">
        <v>1</v>
      </c>
      <c r="M5" s="4">
        <v>3</v>
      </c>
      <c r="N5" s="4">
        <v>2</v>
      </c>
      <c r="O5" s="6">
        <v>4.2857142860000002</v>
      </c>
      <c r="P5">
        <v>40</v>
      </c>
      <c r="Q5">
        <v>53</v>
      </c>
      <c r="R5">
        <v>2</v>
      </c>
      <c r="S5">
        <v>3</v>
      </c>
      <c r="T5">
        <v>4</v>
      </c>
      <c r="U5">
        <v>4.7857142860000002</v>
      </c>
    </row>
    <row r="6" spans="1:21">
      <c r="A6" t="s">
        <v>4</v>
      </c>
      <c r="B6" s="4">
        <v>63</v>
      </c>
      <c r="C6" s="4">
        <v>46</v>
      </c>
      <c r="D6" s="4">
        <v>1</v>
      </c>
      <c r="E6" s="4">
        <v>3</v>
      </c>
      <c r="F6" s="4">
        <v>2</v>
      </c>
      <c r="G6" s="6">
        <v>5.3571428571428568</v>
      </c>
      <c r="H6" s="4">
        <v>5</v>
      </c>
      <c r="I6" s="4">
        <v>30</v>
      </c>
      <c r="J6" s="4">
        <v>64</v>
      </c>
      <c r="K6" s="4">
        <v>47</v>
      </c>
      <c r="L6" s="4">
        <v>1</v>
      </c>
      <c r="M6" s="4">
        <v>3</v>
      </c>
      <c r="N6" s="4">
        <v>0</v>
      </c>
      <c r="O6" s="6">
        <v>4.5</v>
      </c>
      <c r="P6" t="s">
        <v>122</v>
      </c>
      <c r="Q6" t="s">
        <v>122</v>
      </c>
      <c r="R6" t="s">
        <v>122</v>
      </c>
      <c r="S6" t="s">
        <v>122</v>
      </c>
      <c r="T6" t="s">
        <v>122</v>
      </c>
      <c r="U6" t="s">
        <v>122</v>
      </c>
    </row>
    <row r="7" spans="1:21">
      <c r="A7" t="s">
        <v>5</v>
      </c>
      <c r="B7" s="4">
        <v>78</v>
      </c>
      <c r="C7" s="4">
        <v>47</v>
      </c>
      <c r="D7" s="4">
        <v>6</v>
      </c>
      <c r="E7" s="4">
        <v>5</v>
      </c>
      <c r="F7" s="4">
        <v>3</v>
      </c>
      <c r="G7" s="6">
        <v>4.9285714285714288</v>
      </c>
      <c r="H7" s="4">
        <v>5</v>
      </c>
      <c r="I7" s="4">
        <v>30</v>
      </c>
      <c r="J7" s="4">
        <v>63</v>
      </c>
      <c r="K7" s="4">
        <v>45</v>
      </c>
      <c r="L7" s="4">
        <v>4</v>
      </c>
      <c r="M7" s="4">
        <v>5</v>
      </c>
      <c r="N7" s="4">
        <v>5</v>
      </c>
      <c r="O7" s="6">
        <v>4.2857142860000002</v>
      </c>
      <c r="P7">
        <v>48</v>
      </c>
      <c r="Q7">
        <v>46</v>
      </c>
      <c r="R7">
        <v>1</v>
      </c>
      <c r="S7">
        <v>0</v>
      </c>
      <c r="T7">
        <v>0</v>
      </c>
      <c r="U7">
        <v>5.1428571429999996</v>
      </c>
    </row>
    <row r="8" spans="1:21">
      <c r="A8" t="s">
        <v>6</v>
      </c>
      <c r="B8" s="4">
        <v>52</v>
      </c>
      <c r="C8" s="4">
        <v>50</v>
      </c>
      <c r="D8" s="4">
        <v>5</v>
      </c>
      <c r="E8" s="4">
        <v>1</v>
      </c>
      <c r="F8" s="4">
        <v>7</v>
      </c>
      <c r="G8" s="6">
        <v>2.2142857142857144</v>
      </c>
      <c r="H8" s="4">
        <v>4</v>
      </c>
      <c r="I8" s="4">
        <v>30</v>
      </c>
      <c r="J8" s="4">
        <v>40</v>
      </c>
      <c r="K8" s="4">
        <v>49</v>
      </c>
      <c r="L8" s="4">
        <v>7</v>
      </c>
      <c r="M8" s="4">
        <v>1</v>
      </c>
      <c r="N8" s="4">
        <v>8</v>
      </c>
      <c r="O8" s="6">
        <v>3.2857142860000002</v>
      </c>
      <c r="P8">
        <v>44</v>
      </c>
      <c r="Q8">
        <v>47</v>
      </c>
      <c r="R8">
        <v>0</v>
      </c>
      <c r="S8">
        <v>1</v>
      </c>
      <c r="T8">
        <v>3</v>
      </c>
      <c r="U8">
        <v>3.6428571430000001</v>
      </c>
    </row>
    <row r="9" spans="1:21">
      <c r="A9" t="s">
        <v>7</v>
      </c>
      <c r="B9" s="4">
        <v>56</v>
      </c>
      <c r="C9" s="4">
        <v>45</v>
      </c>
      <c r="D9" s="4">
        <v>3</v>
      </c>
      <c r="E9" s="4">
        <v>11</v>
      </c>
      <c r="F9" s="4">
        <v>3</v>
      </c>
      <c r="G9" s="6">
        <v>4.4285714285714288</v>
      </c>
      <c r="H9" s="4">
        <v>4</v>
      </c>
      <c r="I9" s="4">
        <v>18</v>
      </c>
      <c r="J9" s="4">
        <v>40</v>
      </c>
      <c r="K9" s="4">
        <v>46</v>
      </c>
      <c r="L9" s="4">
        <v>1</v>
      </c>
      <c r="M9" s="4">
        <v>2</v>
      </c>
      <c r="N9" s="4">
        <v>0</v>
      </c>
      <c r="O9" s="6">
        <v>3.7142857139999998</v>
      </c>
      <c r="P9">
        <v>56</v>
      </c>
      <c r="Q9">
        <v>56</v>
      </c>
      <c r="R9">
        <v>3</v>
      </c>
      <c r="S9">
        <v>3</v>
      </c>
      <c r="T9">
        <v>2</v>
      </c>
      <c r="U9">
        <v>3.2857142860000002</v>
      </c>
    </row>
    <row r="10" spans="1:21">
      <c r="A10" t="s">
        <v>8</v>
      </c>
      <c r="B10" s="4">
        <v>79</v>
      </c>
      <c r="C10" s="4">
        <v>60</v>
      </c>
      <c r="D10" s="4">
        <v>5</v>
      </c>
      <c r="E10" s="4">
        <v>5</v>
      </c>
      <c r="F10" s="4">
        <v>5</v>
      </c>
      <c r="G10" s="6">
        <v>2.7857142857142856</v>
      </c>
      <c r="H10" s="4">
        <v>5</v>
      </c>
      <c r="I10" s="4">
        <v>30</v>
      </c>
      <c r="J10" s="4">
        <v>88</v>
      </c>
      <c r="K10" s="4">
        <v>69</v>
      </c>
      <c r="L10" s="4">
        <v>6</v>
      </c>
      <c r="M10" s="4">
        <v>7</v>
      </c>
      <c r="N10" s="4">
        <v>9</v>
      </c>
      <c r="O10" s="6">
        <v>2.6428571430000001</v>
      </c>
      <c r="P10">
        <v>90</v>
      </c>
      <c r="Q10">
        <v>62</v>
      </c>
      <c r="R10">
        <v>0</v>
      </c>
      <c r="S10">
        <v>1</v>
      </c>
      <c r="T10">
        <v>1</v>
      </c>
      <c r="U10">
        <v>4.7857142860000002</v>
      </c>
    </row>
    <row r="11" spans="1:21">
      <c r="A11" t="s">
        <v>9</v>
      </c>
      <c r="B11" s="4" t="s">
        <v>122</v>
      </c>
      <c r="C11" s="4">
        <v>57</v>
      </c>
      <c r="D11" s="4">
        <v>9</v>
      </c>
      <c r="E11" s="4">
        <v>10</v>
      </c>
      <c r="F11" s="4">
        <v>11</v>
      </c>
      <c r="G11" s="6">
        <v>3.7142857142857144</v>
      </c>
      <c r="H11" s="4">
        <v>5</v>
      </c>
      <c r="I11" s="4">
        <v>30</v>
      </c>
      <c r="J11" s="4">
        <v>52</v>
      </c>
      <c r="K11" s="4">
        <v>53</v>
      </c>
      <c r="L11" s="4">
        <v>0</v>
      </c>
      <c r="M11" s="4">
        <v>2</v>
      </c>
      <c r="N11" s="4">
        <v>4</v>
      </c>
      <c r="O11" s="6">
        <v>5.1428571429999996</v>
      </c>
      <c r="P11">
        <v>52</v>
      </c>
      <c r="Q11">
        <v>56</v>
      </c>
      <c r="R11">
        <v>6</v>
      </c>
      <c r="S11">
        <v>1</v>
      </c>
      <c r="T11">
        <v>5</v>
      </c>
      <c r="U11">
        <v>5.4285714289999998</v>
      </c>
    </row>
    <row r="12" spans="1:21">
      <c r="A12" t="s">
        <v>10</v>
      </c>
      <c r="B12" s="4">
        <v>52</v>
      </c>
      <c r="C12" s="4">
        <v>64</v>
      </c>
      <c r="D12" s="4">
        <v>3</v>
      </c>
      <c r="E12" s="4">
        <v>2</v>
      </c>
      <c r="F12" s="4">
        <v>4</v>
      </c>
      <c r="G12" s="6">
        <v>3.7142857142857144</v>
      </c>
      <c r="H12" s="4">
        <v>5</v>
      </c>
      <c r="I12" s="4">
        <v>30</v>
      </c>
      <c r="J12" s="4">
        <v>47</v>
      </c>
      <c r="K12" s="4">
        <v>52</v>
      </c>
      <c r="L12" s="4">
        <v>0</v>
      </c>
      <c r="M12" s="4">
        <v>0</v>
      </c>
      <c r="N12" s="4">
        <v>1</v>
      </c>
      <c r="O12" s="6">
        <v>4.7142857139999998</v>
      </c>
      <c r="P12">
        <v>40</v>
      </c>
      <c r="Q12">
        <v>46</v>
      </c>
      <c r="R12">
        <v>4</v>
      </c>
      <c r="S12">
        <v>0</v>
      </c>
      <c r="T12">
        <v>3</v>
      </c>
      <c r="U12">
        <v>3.7142857139999998</v>
      </c>
    </row>
    <row r="13" spans="1:21">
      <c r="A13" t="s">
        <v>11</v>
      </c>
      <c r="B13" s="4">
        <v>44</v>
      </c>
      <c r="C13" s="4">
        <v>46</v>
      </c>
      <c r="D13" s="4">
        <v>2</v>
      </c>
      <c r="E13" s="4">
        <v>5</v>
      </c>
      <c r="F13" s="4">
        <v>4</v>
      </c>
      <c r="G13" s="6">
        <v>4.9285714285714288</v>
      </c>
      <c r="H13" s="4">
        <v>5</v>
      </c>
      <c r="I13" s="4">
        <v>30</v>
      </c>
      <c r="J13" s="4" t="s">
        <v>122</v>
      </c>
      <c r="K13" s="4">
        <v>43</v>
      </c>
      <c r="L13" s="4">
        <v>1</v>
      </c>
      <c r="M13" s="4">
        <v>2</v>
      </c>
      <c r="N13" s="4">
        <v>3</v>
      </c>
      <c r="O13" s="6">
        <v>5.2142857139999998</v>
      </c>
      <c r="P13">
        <v>48</v>
      </c>
      <c r="Q13">
        <v>42</v>
      </c>
      <c r="R13">
        <v>2</v>
      </c>
      <c r="S13">
        <v>1</v>
      </c>
      <c r="T13">
        <v>0</v>
      </c>
      <c r="U13">
        <v>5</v>
      </c>
    </row>
    <row r="14" spans="1:21">
      <c r="A14" t="s">
        <v>12</v>
      </c>
      <c r="B14" s="5">
        <v>90</v>
      </c>
      <c r="C14" s="5">
        <v>74</v>
      </c>
      <c r="D14" s="4">
        <v>9</v>
      </c>
      <c r="E14" s="4">
        <v>9</v>
      </c>
      <c r="F14" s="4">
        <v>13</v>
      </c>
      <c r="G14" s="6">
        <v>3.2857142857142856</v>
      </c>
      <c r="H14" s="4">
        <v>4</v>
      </c>
      <c r="I14" s="4">
        <v>30</v>
      </c>
      <c r="J14" s="4">
        <v>75</v>
      </c>
      <c r="K14" s="4">
        <v>59</v>
      </c>
      <c r="L14" s="4">
        <v>8</v>
      </c>
      <c r="M14" s="4">
        <v>6</v>
      </c>
      <c r="N14" s="4">
        <v>10</v>
      </c>
      <c r="O14" s="6">
        <v>3.5</v>
      </c>
      <c r="P14">
        <v>71</v>
      </c>
      <c r="Q14">
        <v>63</v>
      </c>
      <c r="R14">
        <v>6</v>
      </c>
      <c r="S14">
        <v>5</v>
      </c>
      <c r="T14">
        <v>8</v>
      </c>
      <c r="U14">
        <v>3.3571428569999999</v>
      </c>
    </row>
    <row r="15" spans="1:21">
      <c r="A15" t="s">
        <v>13</v>
      </c>
      <c r="B15" s="4">
        <v>57</v>
      </c>
      <c r="C15" s="4">
        <v>66</v>
      </c>
      <c r="D15" s="4">
        <v>7</v>
      </c>
      <c r="E15" s="4">
        <v>9</v>
      </c>
      <c r="F15" s="4">
        <v>8</v>
      </c>
      <c r="G15" s="6">
        <v>2.4285714285714284</v>
      </c>
      <c r="H15" s="4">
        <v>4</v>
      </c>
      <c r="I15" s="4">
        <v>19</v>
      </c>
      <c r="J15" s="4">
        <v>60</v>
      </c>
      <c r="K15" s="4">
        <v>71</v>
      </c>
      <c r="L15" s="4">
        <v>1</v>
      </c>
      <c r="M15" s="4">
        <v>8</v>
      </c>
      <c r="N15" s="4">
        <v>3</v>
      </c>
      <c r="O15" s="6">
        <v>2.6428571430000001</v>
      </c>
      <c r="P15" t="s">
        <v>122</v>
      </c>
      <c r="Q15" t="s">
        <v>122</v>
      </c>
      <c r="R15" t="s">
        <v>122</v>
      </c>
      <c r="S15" t="s">
        <v>122</v>
      </c>
      <c r="T15" t="s">
        <v>122</v>
      </c>
      <c r="U15" t="s">
        <v>122</v>
      </c>
    </row>
    <row r="16" spans="1:21">
      <c r="A16" t="s">
        <v>14</v>
      </c>
      <c r="B16" s="4">
        <v>56</v>
      </c>
      <c r="C16" s="4">
        <v>61</v>
      </c>
      <c r="D16" s="4">
        <v>14</v>
      </c>
      <c r="E16" s="4">
        <v>13</v>
      </c>
      <c r="F16" s="4">
        <v>9</v>
      </c>
      <c r="G16" s="6">
        <v>2.3571428571428572</v>
      </c>
      <c r="H16" s="4">
        <v>4</v>
      </c>
      <c r="I16" s="4">
        <v>24</v>
      </c>
      <c r="J16" s="4">
        <v>67</v>
      </c>
      <c r="K16" s="4">
        <v>66</v>
      </c>
      <c r="L16" s="4">
        <v>10</v>
      </c>
      <c r="M16" s="4">
        <v>11</v>
      </c>
      <c r="N16" s="4">
        <v>7</v>
      </c>
      <c r="O16" s="6">
        <v>2.5714285710000002</v>
      </c>
      <c r="P16">
        <v>79</v>
      </c>
      <c r="Q16">
        <v>56</v>
      </c>
      <c r="R16">
        <v>10</v>
      </c>
      <c r="S16">
        <v>7</v>
      </c>
      <c r="T16">
        <v>9</v>
      </c>
      <c r="U16">
        <v>2.3571428569999999</v>
      </c>
    </row>
    <row r="17" spans="1:21">
      <c r="A17" t="s">
        <v>15</v>
      </c>
      <c r="B17" s="4">
        <v>71</v>
      </c>
      <c r="C17" s="4">
        <v>54</v>
      </c>
      <c r="D17" s="4" t="s">
        <v>122</v>
      </c>
      <c r="E17" s="4">
        <v>7</v>
      </c>
      <c r="F17" s="4" t="s">
        <v>122</v>
      </c>
      <c r="G17" s="6" t="s">
        <v>122</v>
      </c>
      <c r="H17" s="4">
        <v>5</v>
      </c>
      <c r="I17" s="4">
        <v>30</v>
      </c>
      <c r="J17" s="4">
        <v>50</v>
      </c>
      <c r="K17" s="4">
        <v>54</v>
      </c>
      <c r="L17" s="4">
        <v>1</v>
      </c>
      <c r="M17" s="4">
        <v>5</v>
      </c>
      <c r="N17" s="4">
        <v>3</v>
      </c>
      <c r="O17" s="6">
        <v>4</v>
      </c>
      <c r="P17">
        <v>54</v>
      </c>
      <c r="Q17">
        <v>54</v>
      </c>
      <c r="R17">
        <v>3</v>
      </c>
      <c r="S17">
        <v>5</v>
      </c>
      <c r="T17">
        <v>1</v>
      </c>
      <c r="U17">
        <v>4.6428571429999996</v>
      </c>
    </row>
    <row r="18" spans="1:21">
      <c r="A18" t="s">
        <v>16</v>
      </c>
      <c r="B18" s="4" t="s">
        <v>122</v>
      </c>
      <c r="C18" s="4">
        <v>60</v>
      </c>
      <c r="D18" s="4">
        <v>1</v>
      </c>
      <c r="E18" s="4">
        <v>2</v>
      </c>
      <c r="F18" s="4">
        <v>0</v>
      </c>
      <c r="G18" s="6">
        <v>4.9285714285714288</v>
      </c>
      <c r="H18" s="4">
        <v>5</v>
      </c>
      <c r="I18" s="4">
        <v>30</v>
      </c>
      <c r="J18" s="4">
        <v>67</v>
      </c>
      <c r="K18" s="4">
        <v>47</v>
      </c>
      <c r="L18" s="4">
        <v>1</v>
      </c>
      <c r="M18" s="4">
        <v>1</v>
      </c>
      <c r="N18" s="4">
        <v>0</v>
      </c>
      <c r="O18" s="6">
        <v>4.7857142860000002</v>
      </c>
      <c r="P18">
        <v>57</v>
      </c>
      <c r="Q18">
        <v>59</v>
      </c>
      <c r="R18">
        <v>1</v>
      </c>
      <c r="S18">
        <v>2</v>
      </c>
      <c r="T18">
        <v>0</v>
      </c>
      <c r="U18">
        <v>4.4285714289999998</v>
      </c>
    </row>
    <row r="19" spans="1:21">
      <c r="A19" t="s">
        <v>17</v>
      </c>
      <c r="B19" s="4">
        <v>52</v>
      </c>
      <c r="C19" s="4">
        <v>53</v>
      </c>
      <c r="D19" s="4">
        <v>3</v>
      </c>
      <c r="E19" s="4">
        <v>2</v>
      </c>
      <c r="F19" s="4">
        <v>7</v>
      </c>
      <c r="G19" s="6">
        <v>3.3571428571428572</v>
      </c>
      <c r="H19" s="4">
        <v>5</v>
      </c>
      <c r="I19" s="4">
        <v>30</v>
      </c>
      <c r="J19" s="4">
        <v>40</v>
      </c>
      <c r="K19" s="4">
        <v>60</v>
      </c>
      <c r="L19" s="4">
        <v>5</v>
      </c>
      <c r="M19" s="4">
        <v>5</v>
      </c>
      <c r="N19" s="4">
        <v>6</v>
      </c>
      <c r="O19" s="6">
        <v>3.4285714289999998</v>
      </c>
      <c r="P19">
        <v>48</v>
      </c>
      <c r="Q19">
        <v>52</v>
      </c>
      <c r="R19">
        <v>3</v>
      </c>
      <c r="S19">
        <v>3</v>
      </c>
      <c r="T19">
        <v>10</v>
      </c>
      <c r="U19">
        <v>3.2857142860000002</v>
      </c>
    </row>
    <row r="20" spans="1:21">
      <c r="A20" t="s">
        <v>23</v>
      </c>
      <c r="B20" s="4">
        <v>46</v>
      </c>
      <c r="C20" s="4">
        <v>47</v>
      </c>
      <c r="D20" s="4">
        <v>7</v>
      </c>
      <c r="E20" s="4">
        <v>4</v>
      </c>
      <c r="F20" s="4">
        <v>12</v>
      </c>
      <c r="G20" s="6">
        <v>3.3571428571428572</v>
      </c>
      <c r="H20" s="4">
        <v>3</v>
      </c>
      <c r="I20" s="4">
        <v>13</v>
      </c>
      <c r="J20" s="4">
        <v>56</v>
      </c>
      <c r="K20" s="4">
        <v>46</v>
      </c>
      <c r="L20" s="4">
        <v>2</v>
      </c>
      <c r="M20" s="4">
        <v>1</v>
      </c>
      <c r="N20" s="4">
        <v>4</v>
      </c>
      <c r="O20" s="6">
        <v>5.2142857139999998</v>
      </c>
      <c r="P20" t="s">
        <v>122</v>
      </c>
      <c r="Q20" t="s">
        <v>122</v>
      </c>
      <c r="R20" t="s">
        <v>122</v>
      </c>
      <c r="S20" t="s">
        <v>122</v>
      </c>
      <c r="T20" t="s">
        <v>122</v>
      </c>
      <c r="U20" t="s">
        <v>122</v>
      </c>
    </row>
    <row r="21" spans="1:21">
      <c r="A21" t="s">
        <v>18</v>
      </c>
      <c r="B21" s="5">
        <v>40</v>
      </c>
      <c r="C21" s="5">
        <v>41</v>
      </c>
      <c r="D21" s="4">
        <v>7</v>
      </c>
      <c r="E21" s="4">
        <v>1</v>
      </c>
      <c r="F21" s="4">
        <v>5</v>
      </c>
      <c r="G21" s="6">
        <v>2.7142857142857144</v>
      </c>
      <c r="H21" s="4">
        <v>5</v>
      </c>
      <c r="I21" s="4">
        <v>30</v>
      </c>
      <c r="J21" s="4">
        <v>60</v>
      </c>
      <c r="K21" s="4">
        <v>54</v>
      </c>
      <c r="L21" s="4">
        <v>5</v>
      </c>
      <c r="M21" s="4">
        <v>7</v>
      </c>
      <c r="N21" s="4">
        <v>4</v>
      </c>
      <c r="O21" s="6">
        <v>4.0714285710000002</v>
      </c>
      <c r="P21">
        <v>56</v>
      </c>
      <c r="Q21">
        <v>52</v>
      </c>
      <c r="R21">
        <v>4</v>
      </c>
      <c r="S21">
        <v>6</v>
      </c>
      <c r="T21">
        <v>8</v>
      </c>
      <c r="U21">
        <v>3.9285714289999998</v>
      </c>
    </row>
    <row r="22" spans="1:21">
      <c r="A22" t="s">
        <v>19</v>
      </c>
      <c r="B22" s="5">
        <v>48</v>
      </c>
      <c r="C22" s="5">
        <v>37</v>
      </c>
      <c r="D22" s="4">
        <v>3</v>
      </c>
      <c r="E22" s="4">
        <v>0</v>
      </c>
      <c r="F22" s="4">
        <v>1</v>
      </c>
      <c r="G22" s="6">
        <v>5.2857142857142856</v>
      </c>
      <c r="H22" s="4">
        <v>10</v>
      </c>
      <c r="I22" s="4">
        <v>21</v>
      </c>
      <c r="J22" s="4">
        <v>50</v>
      </c>
      <c r="K22" s="4">
        <v>42</v>
      </c>
      <c r="L22" s="4">
        <v>0</v>
      </c>
      <c r="M22" s="4">
        <v>3</v>
      </c>
      <c r="N22" s="4">
        <v>0</v>
      </c>
      <c r="O22" s="6">
        <v>4.7142857139999998</v>
      </c>
      <c r="P22">
        <v>44</v>
      </c>
      <c r="Q22">
        <v>40</v>
      </c>
      <c r="R22">
        <v>0</v>
      </c>
      <c r="S22">
        <v>2</v>
      </c>
      <c r="T22">
        <v>0</v>
      </c>
      <c r="U22">
        <v>4.8571428570000004</v>
      </c>
    </row>
    <row r="23" spans="1:21">
      <c r="A23" t="s">
        <v>20</v>
      </c>
      <c r="B23" s="4">
        <v>56</v>
      </c>
      <c r="C23" s="4">
        <v>57</v>
      </c>
      <c r="D23" s="4">
        <v>0</v>
      </c>
      <c r="E23" s="4">
        <v>4</v>
      </c>
      <c r="F23" s="4">
        <v>0</v>
      </c>
      <c r="G23" s="6">
        <v>5.7142857142857144</v>
      </c>
      <c r="H23" s="4">
        <v>4</v>
      </c>
      <c r="I23" s="4">
        <v>30</v>
      </c>
      <c r="J23" s="4">
        <v>40</v>
      </c>
      <c r="K23" s="4">
        <v>47</v>
      </c>
      <c r="L23" s="4">
        <v>1</v>
      </c>
      <c r="M23" s="4">
        <v>0</v>
      </c>
      <c r="N23" s="4">
        <v>0</v>
      </c>
      <c r="O23" s="6">
        <v>5.5714285710000002</v>
      </c>
      <c r="P23">
        <v>40</v>
      </c>
      <c r="Q23">
        <v>46</v>
      </c>
      <c r="R23">
        <v>0</v>
      </c>
      <c r="S23">
        <v>0</v>
      </c>
      <c r="T23">
        <v>0</v>
      </c>
      <c r="U23">
        <v>5.7857142860000002</v>
      </c>
    </row>
    <row r="24" spans="1:21">
      <c r="A24" t="s">
        <v>21</v>
      </c>
      <c r="B24" s="5">
        <v>77</v>
      </c>
      <c r="C24" s="5">
        <v>61</v>
      </c>
      <c r="D24" s="4">
        <v>3</v>
      </c>
      <c r="E24" s="4">
        <v>2</v>
      </c>
      <c r="F24" s="4">
        <v>4</v>
      </c>
      <c r="G24" s="6">
        <v>5.6428571428571432</v>
      </c>
      <c r="H24" s="4">
        <v>5</v>
      </c>
      <c r="I24" s="4">
        <v>30</v>
      </c>
      <c r="J24" s="4">
        <v>56</v>
      </c>
      <c r="K24" s="4">
        <v>57</v>
      </c>
      <c r="L24" s="4">
        <v>6</v>
      </c>
      <c r="M24" s="4">
        <v>2</v>
      </c>
      <c r="N24" s="4">
        <v>6</v>
      </c>
      <c r="O24" s="6">
        <v>5.0714285710000002</v>
      </c>
      <c r="P24">
        <v>53</v>
      </c>
      <c r="Q24">
        <v>51</v>
      </c>
      <c r="R24">
        <v>10</v>
      </c>
      <c r="S24">
        <v>5</v>
      </c>
      <c r="T24">
        <v>4</v>
      </c>
      <c r="U24">
        <v>5.2142857139999998</v>
      </c>
    </row>
    <row r="25" spans="1:21">
      <c r="A25" t="s">
        <v>22</v>
      </c>
      <c r="B25" s="4">
        <v>67</v>
      </c>
      <c r="C25" s="4">
        <v>60</v>
      </c>
      <c r="D25" s="4">
        <v>4</v>
      </c>
      <c r="E25" s="4">
        <v>10</v>
      </c>
      <c r="F25" s="4">
        <v>4</v>
      </c>
      <c r="G25" s="6">
        <v>4</v>
      </c>
      <c r="H25" s="4">
        <v>5</v>
      </c>
      <c r="I25" s="4">
        <v>30</v>
      </c>
      <c r="J25" s="4">
        <v>64</v>
      </c>
      <c r="K25" s="4">
        <v>64</v>
      </c>
      <c r="L25" s="4">
        <v>3</v>
      </c>
      <c r="M25" s="4">
        <v>1</v>
      </c>
      <c r="N25" s="4">
        <v>3</v>
      </c>
      <c r="O25" s="6">
        <v>4.6428571429999996</v>
      </c>
      <c r="P25">
        <v>50</v>
      </c>
      <c r="Q25">
        <v>65</v>
      </c>
      <c r="R25">
        <v>1</v>
      </c>
      <c r="S25">
        <v>0</v>
      </c>
      <c r="T25">
        <v>1</v>
      </c>
      <c r="U25">
        <v>4.1428571429999996</v>
      </c>
    </row>
  </sheetData>
  <sortState xmlns:xlrd2="http://schemas.microsoft.com/office/spreadsheetml/2017/richdata2" ref="A2:G25">
    <sortCondition ref="A2:A25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F53A-3907-4DE3-893B-143C9AC4CC44}">
  <dimension ref="A1:W27"/>
  <sheetViews>
    <sheetView workbookViewId="0">
      <selection activeCell="H31" sqref="H31"/>
    </sheetView>
  </sheetViews>
  <sheetFormatPr defaultColWidth="8.85546875" defaultRowHeight="15"/>
  <cols>
    <col min="1" max="1" width="12.7109375" customWidth="1"/>
    <col min="2" max="3" width="15" customWidth="1"/>
    <col min="4" max="4" width="17.28515625" customWidth="1"/>
    <col min="5" max="5" width="15" customWidth="1"/>
    <col min="6" max="6" width="19.42578125" customWidth="1"/>
    <col min="7" max="7" width="12.7109375" customWidth="1"/>
    <col min="11" max="11" width="20.7109375" customWidth="1"/>
    <col min="12" max="12" width="22.28515625" customWidth="1"/>
    <col min="13" max="13" width="18.42578125" customWidth="1"/>
    <col min="16" max="16" width="13.85546875" customWidth="1"/>
    <col min="22" max="22" width="18.42578125" customWidth="1"/>
    <col min="23" max="23" width="11" bestFit="1" customWidth="1"/>
  </cols>
  <sheetData>
    <row r="1" spans="1:23">
      <c r="A1" t="s">
        <v>111</v>
      </c>
      <c r="B1" t="s">
        <v>51</v>
      </c>
      <c r="C1" t="s">
        <v>53</v>
      </c>
      <c r="D1" t="s">
        <v>54</v>
      </c>
      <c r="E1" t="s">
        <v>55</v>
      </c>
      <c r="F1" t="s">
        <v>56</v>
      </c>
      <c r="G1" t="s">
        <v>52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</row>
    <row r="2" spans="1:23">
      <c r="A2" t="s">
        <v>0</v>
      </c>
      <c r="B2">
        <v>0.27574973800000002</v>
      </c>
      <c r="C2">
        <v>0.27119857800000002</v>
      </c>
      <c r="D2">
        <v>0.27282347200000001</v>
      </c>
      <c r="E2">
        <v>0.29131542100000002</v>
      </c>
      <c r="F2">
        <v>0.27777180200000001</v>
      </c>
      <c r="G2">
        <v>0.30193901699999998</v>
      </c>
      <c r="H2">
        <v>0.32219474799999998</v>
      </c>
      <c r="I2">
        <v>0.32609634100000001</v>
      </c>
      <c r="J2">
        <v>0.26626788899999998</v>
      </c>
      <c r="K2">
        <v>0.30412449889248222</v>
      </c>
      <c r="L2">
        <f>K2-F2</f>
        <v>2.6352696892482208E-2</v>
      </c>
      <c r="M2">
        <v>0.371709972</v>
      </c>
      <c r="N2">
        <v>0.35052605599999997</v>
      </c>
      <c r="O2">
        <v>0.35882345300000001</v>
      </c>
      <c r="P2">
        <v>0.370555248</v>
      </c>
      <c r="Q2">
        <v>0.36290368200000001</v>
      </c>
      <c r="R2">
        <v>0.36614326144246795</v>
      </c>
      <c r="S2">
        <v>0.36376292345256844</v>
      </c>
      <c r="T2">
        <v>0.3620287293690479</v>
      </c>
      <c r="U2">
        <v>0.35973946561923559</v>
      </c>
      <c r="V2">
        <v>0.36291859500000001</v>
      </c>
      <c r="W2">
        <f>V2-Q2</f>
        <v>1.4913000000005283E-5</v>
      </c>
    </row>
    <row r="3" spans="1:23">
      <c r="A3" t="s">
        <v>1</v>
      </c>
      <c r="B3">
        <v>3.8994413999999998E-2</v>
      </c>
      <c r="C3">
        <v>4.3351421000000001E-2</v>
      </c>
      <c r="D3">
        <v>6.3933293000000002E-2</v>
      </c>
      <c r="E3">
        <v>2.3977716E-2</v>
      </c>
      <c r="F3">
        <v>4.2564210999999998E-2</v>
      </c>
      <c r="G3">
        <v>0.198566461</v>
      </c>
      <c r="H3">
        <v>0.220078991</v>
      </c>
      <c r="I3">
        <v>0.24129450499999999</v>
      </c>
      <c r="J3">
        <v>0.21331309500000001</v>
      </c>
      <c r="K3">
        <v>0.21831326297750026</v>
      </c>
      <c r="L3">
        <f t="shared" ref="L3:L25" si="0">K3-F3</f>
        <v>0.17574905197750026</v>
      </c>
      <c r="M3">
        <v>0.33221361599999999</v>
      </c>
      <c r="N3">
        <v>0.29624304400000001</v>
      </c>
      <c r="O3">
        <v>0.31868638599999999</v>
      </c>
      <c r="P3">
        <v>0.31257806500000002</v>
      </c>
      <c r="Q3">
        <v>0.31493027800000001</v>
      </c>
      <c r="R3">
        <v>0.3390364391526598</v>
      </c>
      <c r="S3">
        <v>0.34767306245159951</v>
      </c>
      <c r="T3">
        <v>0.36406967784301059</v>
      </c>
      <c r="U3">
        <v>0.33703241488189106</v>
      </c>
      <c r="V3">
        <v>0.34695289899999998</v>
      </c>
      <c r="W3">
        <f t="shared" ref="W3:W25" si="1">V3-Q3</f>
        <v>3.2022620999999973E-2</v>
      </c>
    </row>
    <row r="4" spans="1:23">
      <c r="A4" t="s">
        <v>2</v>
      </c>
      <c r="B4">
        <v>0.310136415</v>
      </c>
      <c r="C4">
        <v>0.30851664400000001</v>
      </c>
      <c r="D4">
        <v>0.29666562499999999</v>
      </c>
      <c r="E4">
        <v>0.30260457899999998</v>
      </c>
      <c r="F4">
        <v>0.30448081599999999</v>
      </c>
      <c r="G4">
        <v>0.37734198899999999</v>
      </c>
      <c r="H4">
        <v>0.36231018100000001</v>
      </c>
      <c r="I4">
        <v>0.37825086499999999</v>
      </c>
      <c r="J4">
        <v>0.348466954</v>
      </c>
      <c r="K4">
        <v>0.36659249702590996</v>
      </c>
      <c r="L4">
        <f t="shared" si="0"/>
        <v>6.2111681025909971E-2</v>
      </c>
      <c r="M4">
        <v>0.299873418</v>
      </c>
      <c r="N4">
        <v>0.264691501</v>
      </c>
      <c r="O4">
        <v>0.26619153699999998</v>
      </c>
      <c r="P4">
        <v>0.27355629599999998</v>
      </c>
      <c r="Q4">
        <v>0.276078188</v>
      </c>
      <c r="R4">
        <v>0.28743737496093075</v>
      </c>
      <c r="S4">
        <v>0.28440178184411524</v>
      </c>
      <c r="T4">
        <v>0.29195699371719469</v>
      </c>
      <c r="U4">
        <v>0.28304321035787827</v>
      </c>
      <c r="V4">
        <v>0.28670983999999999</v>
      </c>
      <c r="W4">
        <f t="shared" si="1"/>
        <v>1.0631651999999991E-2</v>
      </c>
    </row>
    <row r="5" spans="1:23">
      <c r="A5" t="s">
        <v>3</v>
      </c>
      <c r="B5">
        <v>0.34428544999999999</v>
      </c>
      <c r="C5">
        <v>0.35492309399999999</v>
      </c>
      <c r="D5">
        <v>0.34743136299999999</v>
      </c>
      <c r="E5">
        <v>0.33939087899999998</v>
      </c>
      <c r="F5">
        <v>0.346507697</v>
      </c>
      <c r="G5">
        <v>0.36344046699999999</v>
      </c>
      <c r="H5">
        <v>0.36843448299999998</v>
      </c>
      <c r="I5">
        <v>0.38183117100000002</v>
      </c>
      <c r="J5">
        <v>0.37890068700000001</v>
      </c>
      <c r="K5">
        <v>0.37315170206864601</v>
      </c>
      <c r="L5">
        <f t="shared" si="0"/>
        <v>2.6644005068646004E-2</v>
      </c>
      <c r="M5">
        <v>0.21707969599999999</v>
      </c>
      <c r="N5">
        <v>0.20249160299999999</v>
      </c>
      <c r="O5">
        <v>0.232424728</v>
      </c>
      <c r="P5">
        <v>0.19592875100000001</v>
      </c>
      <c r="Q5">
        <v>0.21198119400000001</v>
      </c>
      <c r="R5">
        <v>0.28227403508821813</v>
      </c>
      <c r="S5">
        <v>0.29188273861211944</v>
      </c>
      <c r="T5">
        <v>0.28778491885630009</v>
      </c>
      <c r="U5">
        <v>0.28709787495277722</v>
      </c>
      <c r="V5">
        <v>0.28725989200000002</v>
      </c>
      <c r="W5">
        <f t="shared" si="1"/>
        <v>7.5278698000000005E-2</v>
      </c>
    </row>
    <row r="6" spans="1:23">
      <c r="A6" t="s">
        <v>4</v>
      </c>
      <c r="B6">
        <v>0.24309776799999999</v>
      </c>
      <c r="C6">
        <v>0.26820984599999997</v>
      </c>
      <c r="D6">
        <v>0.26562132500000002</v>
      </c>
      <c r="E6">
        <v>0.236930268</v>
      </c>
      <c r="F6">
        <v>0.25346480199999999</v>
      </c>
      <c r="G6">
        <v>0.23942154800000001</v>
      </c>
      <c r="H6">
        <v>0.240926007</v>
      </c>
      <c r="I6">
        <v>0.23400876200000001</v>
      </c>
      <c r="J6">
        <v>0.25971900399999998</v>
      </c>
      <c r="K6">
        <v>0.24351883015605258</v>
      </c>
      <c r="L6">
        <f t="shared" si="0"/>
        <v>-9.9459718439474099E-3</v>
      </c>
      <c r="M6">
        <v>0.12567283200000001</v>
      </c>
      <c r="N6">
        <v>0.135616073</v>
      </c>
      <c r="O6">
        <v>0.145618039</v>
      </c>
      <c r="P6">
        <v>9.2454286999999996E-2</v>
      </c>
      <c r="Q6">
        <v>0.124840308</v>
      </c>
      <c r="R6">
        <v>0.15791907002615965</v>
      </c>
      <c r="S6">
        <v>0.15345671911156217</v>
      </c>
      <c r="T6">
        <v>0.14051144502494553</v>
      </c>
      <c r="U6">
        <v>0.16666161106060232</v>
      </c>
      <c r="V6">
        <v>0.154637211</v>
      </c>
      <c r="W6">
        <f t="shared" si="1"/>
        <v>2.9796903E-2</v>
      </c>
    </row>
    <row r="7" spans="1:23">
      <c r="A7" t="s">
        <v>5</v>
      </c>
      <c r="B7">
        <v>0.18937040599999999</v>
      </c>
      <c r="C7">
        <v>0.193196176</v>
      </c>
      <c r="D7">
        <v>0.19896808099999999</v>
      </c>
      <c r="E7">
        <v>0.19044028499999999</v>
      </c>
      <c r="F7">
        <v>0.192993737</v>
      </c>
      <c r="G7">
        <v>0.3061412</v>
      </c>
      <c r="H7">
        <v>0.30859275800000002</v>
      </c>
      <c r="I7">
        <v>0.35207395800000002</v>
      </c>
      <c r="J7">
        <v>0.34562077699999999</v>
      </c>
      <c r="K7">
        <v>0.32810717337525208</v>
      </c>
      <c r="L7">
        <f t="shared" si="0"/>
        <v>0.13511343637525208</v>
      </c>
      <c r="M7">
        <v>0.27714180999999999</v>
      </c>
      <c r="N7">
        <v>0.28174142000000002</v>
      </c>
      <c r="O7">
        <v>0.28446803999999998</v>
      </c>
      <c r="P7">
        <v>0.285777742</v>
      </c>
      <c r="Q7">
        <v>0.28228225299999998</v>
      </c>
      <c r="R7">
        <v>0.26783148831110126</v>
      </c>
      <c r="S7">
        <v>0.26360349772335767</v>
      </c>
      <c r="T7">
        <v>0.28510049782692265</v>
      </c>
      <c r="U7">
        <v>0.27368038788922466</v>
      </c>
      <c r="V7">
        <v>0.27255396799999998</v>
      </c>
      <c r="W7">
        <f t="shared" si="1"/>
        <v>-9.7282850000000032E-3</v>
      </c>
    </row>
    <row r="8" spans="1:23">
      <c r="A8" t="s">
        <v>6</v>
      </c>
      <c r="B8">
        <v>0.137082959</v>
      </c>
      <c r="C8">
        <v>6.7151397000000002E-2</v>
      </c>
      <c r="D8">
        <v>0.124284641</v>
      </c>
      <c r="E8">
        <v>0.12951628800000001</v>
      </c>
      <c r="F8">
        <v>0.114508821</v>
      </c>
      <c r="G8">
        <v>0.200812668</v>
      </c>
      <c r="H8">
        <v>0.30146450699999999</v>
      </c>
      <c r="I8">
        <v>0.182379548</v>
      </c>
      <c r="J8">
        <v>0.183045238</v>
      </c>
      <c r="K8">
        <v>0.21692549039533404</v>
      </c>
      <c r="L8">
        <f t="shared" si="0"/>
        <v>0.10241666939533405</v>
      </c>
      <c r="M8">
        <v>0.16729292500000001</v>
      </c>
      <c r="N8">
        <v>0.219117167</v>
      </c>
      <c r="O8">
        <v>0.209666295</v>
      </c>
      <c r="P8">
        <v>0.17493919399999999</v>
      </c>
      <c r="Q8">
        <v>0.19275389500000001</v>
      </c>
      <c r="R8">
        <v>0.14099824324229462</v>
      </c>
      <c r="S8">
        <v>0.16145203690574186</v>
      </c>
      <c r="T8">
        <v>0.13159069668504006</v>
      </c>
      <c r="U8">
        <v>0.14319233080106508</v>
      </c>
      <c r="V8">
        <v>0.14430832699999999</v>
      </c>
      <c r="W8">
        <f t="shared" si="1"/>
        <v>-4.8445568000000022E-2</v>
      </c>
    </row>
    <row r="9" spans="1:23">
      <c r="A9" t="s">
        <v>7</v>
      </c>
      <c r="B9">
        <v>0.28437645</v>
      </c>
      <c r="C9">
        <v>0.280116527</v>
      </c>
      <c r="D9">
        <v>0.28942702399999998</v>
      </c>
      <c r="E9">
        <v>0.27052368700000001</v>
      </c>
      <c r="F9">
        <v>0.28111092199999999</v>
      </c>
      <c r="G9">
        <v>0.238322692</v>
      </c>
      <c r="H9">
        <v>0.25103713900000002</v>
      </c>
      <c r="I9">
        <v>0.247791444</v>
      </c>
      <c r="J9">
        <v>0.23037654499999999</v>
      </c>
      <c r="K9">
        <v>0.24188195483984906</v>
      </c>
      <c r="L9">
        <f t="shared" si="0"/>
        <v>-3.9228967160150924E-2</v>
      </c>
      <c r="M9">
        <v>0.284505326</v>
      </c>
      <c r="N9">
        <v>0.26804209400000001</v>
      </c>
      <c r="O9">
        <v>0.27002571399999997</v>
      </c>
      <c r="P9">
        <v>0.27736607699999999</v>
      </c>
      <c r="Q9">
        <v>0.274984803</v>
      </c>
      <c r="R9">
        <v>0.27955716827850313</v>
      </c>
      <c r="S9">
        <v>0.28490049536344536</v>
      </c>
      <c r="T9">
        <v>0.28646279119044776</v>
      </c>
      <c r="U9">
        <v>0.27632250015229753</v>
      </c>
      <c r="V9">
        <v>0.28181073899999998</v>
      </c>
      <c r="W9">
        <f t="shared" si="1"/>
        <v>6.8259359999999769E-3</v>
      </c>
    </row>
    <row r="10" spans="1:23">
      <c r="A10" t="s">
        <v>8</v>
      </c>
      <c r="B10">
        <v>0.33068311900000003</v>
      </c>
      <c r="C10">
        <v>0.34425055900000001</v>
      </c>
      <c r="D10">
        <v>0.31176899600000002</v>
      </c>
      <c r="E10">
        <v>0.275870481</v>
      </c>
      <c r="F10">
        <v>0.31564328899999999</v>
      </c>
      <c r="G10">
        <v>0.372935507</v>
      </c>
      <c r="H10">
        <v>0.400927278</v>
      </c>
      <c r="I10">
        <v>0.373846346</v>
      </c>
      <c r="J10">
        <v>0.37986394499999998</v>
      </c>
      <c r="K10">
        <v>0.38189326873342144</v>
      </c>
      <c r="L10">
        <f t="shared" si="0"/>
        <v>6.6249979733421449E-2</v>
      </c>
      <c r="M10">
        <v>0.31357825</v>
      </c>
      <c r="N10">
        <v>0.30229853899999998</v>
      </c>
      <c r="O10">
        <v>0.31162255900000002</v>
      </c>
      <c r="P10">
        <v>0.321380469</v>
      </c>
      <c r="Q10">
        <v>0.31221995400000002</v>
      </c>
      <c r="R10">
        <v>0.33203517363640622</v>
      </c>
      <c r="S10">
        <v>0.33186267775405331</v>
      </c>
      <c r="T10">
        <v>0.32193709502565471</v>
      </c>
      <c r="U10">
        <v>0.32629551544451663</v>
      </c>
      <c r="V10">
        <v>0.32803261500000003</v>
      </c>
      <c r="W10">
        <f t="shared" si="1"/>
        <v>1.5812661000000006E-2</v>
      </c>
    </row>
    <row r="11" spans="1:23">
      <c r="A11" t="s">
        <v>9</v>
      </c>
      <c r="B11">
        <v>0.141019806</v>
      </c>
      <c r="C11">
        <v>0.125254702</v>
      </c>
      <c r="D11">
        <v>0.163942527</v>
      </c>
      <c r="E11">
        <v>0.137831337</v>
      </c>
      <c r="F11">
        <v>0.14201209300000001</v>
      </c>
      <c r="G11">
        <v>0.24896159600000001</v>
      </c>
      <c r="H11">
        <v>0.206861779</v>
      </c>
      <c r="I11">
        <v>0.18136812899999999</v>
      </c>
      <c r="J11">
        <v>0.152851664</v>
      </c>
      <c r="K11">
        <v>0.19751079187931375</v>
      </c>
      <c r="L11">
        <f t="shared" si="0"/>
        <v>5.5498698879313746E-2</v>
      </c>
      <c r="M11">
        <v>0.35499903500000002</v>
      </c>
      <c r="N11">
        <v>0.33684482700000001</v>
      </c>
      <c r="O11">
        <v>0.32463832799999998</v>
      </c>
      <c r="P11">
        <v>0.32267826100000002</v>
      </c>
      <c r="Q11">
        <v>0.33479011199999997</v>
      </c>
      <c r="R11">
        <v>0.36619501245324204</v>
      </c>
      <c r="S11">
        <v>0.37441320001978806</v>
      </c>
      <c r="T11">
        <v>0.35680488672106719</v>
      </c>
      <c r="U11">
        <v>0.38762374019606133</v>
      </c>
      <c r="V11">
        <v>0.37125921000000001</v>
      </c>
      <c r="W11">
        <f t="shared" si="1"/>
        <v>3.6469098000000033E-2</v>
      </c>
    </row>
    <row r="12" spans="1:23">
      <c r="A12" t="s">
        <v>10</v>
      </c>
      <c r="B12">
        <v>0.28110771499999998</v>
      </c>
      <c r="C12">
        <v>0.28630586099999999</v>
      </c>
      <c r="D12">
        <v>0.27297659699999999</v>
      </c>
      <c r="E12">
        <v>0.29288245000000002</v>
      </c>
      <c r="F12">
        <v>0.28331815599999999</v>
      </c>
      <c r="G12">
        <v>0.28891172399999998</v>
      </c>
      <c r="H12">
        <v>0.30379560900000002</v>
      </c>
      <c r="I12">
        <v>0.32879522700000002</v>
      </c>
      <c r="J12">
        <v>0.27706708000000002</v>
      </c>
      <c r="K12">
        <v>0.29964240991266683</v>
      </c>
      <c r="L12">
        <f t="shared" si="0"/>
        <v>1.6324253912666842E-2</v>
      </c>
      <c r="M12">
        <v>0.25580909600000001</v>
      </c>
      <c r="N12">
        <v>0.246350342</v>
      </c>
      <c r="O12">
        <v>0.23207150500000001</v>
      </c>
      <c r="P12">
        <v>0.24288015199999999</v>
      </c>
      <c r="Q12">
        <v>0.244277774</v>
      </c>
      <c r="R12">
        <v>0.29038317382073425</v>
      </c>
      <c r="S12">
        <v>0.27238802824656155</v>
      </c>
      <c r="T12">
        <v>0.30782309792002766</v>
      </c>
      <c r="U12">
        <v>0.28772078498263393</v>
      </c>
      <c r="V12">
        <v>0.28957877100000001</v>
      </c>
      <c r="W12">
        <f t="shared" si="1"/>
        <v>4.530099700000001E-2</v>
      </c>
    </row>
    <row r="13" spans="1:23">
      <c r="A13" t="s">
        <v>11</v>
      </c>
      <c r="B13">
        <v>0.171984936</v>
      </c>
      <c r="C13">
        <v>0.24171471999999999</v>
      </c>
      <c r="D13">
        <v>0.21835949499999999</v>
      </c>
      <c r="E13">
        <v>0.17796820399999999</v>
      </c>
      <c r="F13">
        <v>0.20250683899999999</v>
      </c>
      <c r="G13">
        <v>0.25537766299999998</v>
      </c>
      <c r="H13">
        <v>0.28392073699999998</v>
      </c>
      <c r="I13">
        <v>0.32584571899999998</v>
      </c>
      <c r="J13">
        <v>0.25430077299999998</v>
      </c>
      <c r="K13">
        <v>0.27986122313246425</v>
      </c>
      <c r="L13">
        <f t="shared" si="0"/>
        <v>7.735438413246426E-2</v>
      </c>
      <c r="M13">
        <v>0.31217388200000001</v>
      </c>
      <c r="N13">
        <v>0.32569810500000002</v>
      </c>
      <c r="O13">
        <v>0.32239304699999999</v>
      </c>
      <c r="P13">
        <v>0.31061713699999999</v>
      </c>
      <c r="Q13">
        <v>0.31772054300000002</v>
      </c>
      <c r="R13">
        <v>0.33042090029147414</v>
      </c>
      <c r="S13">
        <v>0.31797695416503141</v>
      </c>
      <c r="T13">
        <v>0.32916607035409173</v>
      </c>
      <c r="U13">
        <v>0.32787844961279405</v>
      </c>
      <c r="V13">
        <v>0.326360594</v>
      </c>
      <c r="W13">
        <f t="shared" si="1"/>
        <v>8.6400509999999819E-3</v>
      </c>
    </row>
    <row r="14" spans="1:23">
      <c r="A14" t="s">
        <v>12</v>
      </c>
      <c r="B14">
        <v>0.39047673399999999</v>
      </c>
      <c r="C14">
        <v>0.38786848200000001</v>
      </c>
      <c r="D14">
        <v>0.38517808399999998</v>
      </c>
      <c r="E14">
        <v>0.365606708</v>
      </c>
      <c r="F14">
        <v>0.38228250200000002</v>
      </c>
      <c r="G14">
        <v>0.36043383099999998</v>
      </c>
      <c r="H14">
        <v>0.35026697000000001</v>
      </c>
      <c r="I14">
        <v>0.37543144899999997</v>
      </c>
      <c r="J14">
        <v>0.37788470299999999</v>
      </c>
      <c r="K14">
        <v>0.36600423815995747</v>
      </c>
      <c r="L14">
        <f t="shared" si="0"/>
        <v>-1.6278263840042551E-2</v>
      </c>
      <c r="M14">
        <v>0.29366771899999999</v>
      </c>
      <c r="N14">
        <v>0.28382965199999999</v>
      </c>
      <c r="O14">
        <v>0.25792981500000001</v>
      </c>
      <c r="P14">
        <v>0.291154362</v>
      </c>
      <c r="Q14">
        <v>0.28164538700000002</v>
      </c>
      <c r="R14">
        <v>0.29597211325614564</v>
      </c>
      <c r="S14">
        <v>0.3002586020652559</v>
      </c>
      <c r="T14">
        <v>0.31862952754477952</v>
      </c>
      <c r="U14">
        <v>0.30660664554133854</v>
      </c>
      <c r="V14">
        <v>0.30536672199999998</v>
      </c>
      <c r="W14">
        <f t="shared" si="1"/>
        <v>2.3721334999999955E-2</v>
      </c>
    </row>
    <row r="15" spans="1:23">
      <c r="A15" t="s">
        <v>13</v>
      </c>
      <c r="B15">
        <v>0.345867231</v>
      </c>
      <c r="C15">
        <v>0.29735409299999999</v>
      </c>
      <c r="D15">
        <v>0.30472684799999999</v>
      </c>
      <c r="E15">
        <v>0.30557762300000002</v>
      </c>
      <c r="F15">
        <v>0.31338144899999998</v>
      </c>
      <c r="G15">
        <v>0.279675283</v>
      </c>
      <c r="H15">
        <v>0.28577086099999999</v>
      </c>
      <c r="I15">
        <v>0.27350565700000001</v>
      </c>
      <c r="J15">
        <v>0.29976842799999998</v>
      </c>
      <c r="K15">
        <v>0.28468005689007464</v>
      </c>
      <c r="L15">
        <f t="shared" si="0"/>
        <v>-2.8701392109925339E-2</v>
      </c>
      <c r="M15">
        <v>0.23328428800000001</v>
      </c>
      <c r="N15">
        <v>0.242553357</v>
      </c>
      <c r="O15">
        <v>0.22740011800000001</v>
      </c>
      <c r="P15">
        <v>0.22463622699999999</v>
      </c>
      <c r="Q15">
        <v>0.231968498</v>
      </c>
      <c r="R15">
        <v>0.14146280243036091</v>
      </c>
      <c r="S15">
        <v>0.13107727671173036</v>
      </c>
      <c r="T15">
        <v>0.13178317466805625</v>
      </c>
      <c r="U15">
        <v>0.13706226137690322</v>
      </c>
      <c r="V15">
        <v>0.13534637899999999</v>
      </c>
      <c r="W15">
        <f t="shared" si="1"/>
        <v>-9.6622119000000006E-2</v>
      </c>
    </row>
    <row r="16" spans="1:23">
      <c r="A16" t="s">
        <v>14</v>
      </c>
      <c r="B16">
        <v>0.17066236500000001</v>
      </c>
      <c r="C16">
        <v>0.15074226800000001</v>
      </c>
      <c r="D16">
        <v>0.159119335</v>
      </c>
      <c r="E16">
        <v>0.17733204599999999</v>
      </c>
      <c r="F16">
        <v>0.164464004</v>
      </c>
      <c r="G16">
        <v>0.27657853700000001</v>
      </c>
      <c r="H16">
        <v>0.246599349</v>
      </c>
      <c r="I16">
        <v>0.247532484</v>
      </c>
      <c r="J16">
        <v>0.19737028300000001</v>
      </c>
      <c r="K16">
        <v>0.24202016315327685</v>
      </c>
      <c r="L16">
        <f t="shared" si="0"/>
        <v>7.7556159153276849E-2</v>
      </c>
      <c r="M16">
        <v>0.31205507599999999</v>
      </c>
      <c r="N16">
        <v>0.29590670600000002</v>
      </c>
      <c r="O16">
        <v>0.29607842099999998</v>
      </c>
      <c r="P16">
        <v>0.30102999600000002</v>
      </c>
      <c r="Q16">
        <v>0.30126755</v>
      </c>
      <c r="R16">
        <v>0.35610508572329852</v>
      </c>
      <c r="S16">
        <v>0.3473105629789297</v>
      </c>
      <c r="T16">
        <v>0.36370502910043262</v>
      </c>
      <c r="U16">
        <v>0.36686833736625929</v>
      </c>
      <c r="V16">
        <v>0.35849725399999999</v>
      </c>
      <c r="W16">
        <f t="shared" si="1"/>
        <v>5.7229703999999992E-2</v>
      </c>
    </row>
    <row r="17" spans="1:23">
      <c r="A17" t="s">
        <v>15</v>
      </c>
      <c r="B17">
        <v>0.37577521800000002</v>
      </c>
      <c r="C17">
        <v>0.37920169399999998</v>
      </c>
      <c r="D17">
        <v>0.36022900699999999</v>
      </c>
      <c r="E17">
        <v>0.355983671</v>
      </c>
      <c r="F17">
        <v>0.367797398</v>
      </c>
      <c r="G17">
        <v>0.38199550900000001</v>
      </c>
      <c r="H17">
        <v>0.37017354499999999</v>
      </c>
      <c r="I17">
        <v>0.375314431</v>
      </c>
      <c r="J17">
        <v>0.36842941099999998</v>
      </c>
      <c r="K17">
        <v>0.37397822397897046</v>
      </c>
      <c r="L17">
        <f t="shared" si="0"/>
        <v>6.1808259789704612E-3</v>
      </c>
      <c r="M17">
        <v>0.28433085800000002</v>
      </c>
      <c r="N17">
        <v>0.26729702399999999</v>
      </c>
      <c r="O17">
        <v>0.28829008499999997</v>
      </c>
      <c r="P17">
        <v>0.26654478100000001</v>
      </c>
      <c r="Q17">
        <v>0.276615687</v>
      </c>
      <c r="R17">
        <v>0.31830660799543581</v>
      </c>
      <c r="S17">
        <v>0.32840916448854673</v>
      </c>
      <c r="T17">
        <v>0.33390767319075149</v>
      </c>
      <c r="U17">
        <v>0.3365683210429703</v>
      </c>
      <c r="V17">
        <v>0.32929794200000001</v>
      </c>
      <c r="W17">
        <f t="shared" si="1"/>
        <v>5.2682255000000011E-2</v>
      </c>
    </row>
    <row r="18" spans="1:23">
      <c r="A18" t="s">
        <v>16</v>
      </c>
      <c r="B18">
        <v>0.259221916</v>
      </c>
      <c r="C18">
        <v>0.23940999700000001</v>
      </c>
      <c r="D18">
        <v>0.257405779</v>
      </c>
      <c r="E18">
        <v>0.23704876699999999</v>
      </c>
      <c r="F18">
        <v>0.248271615</v>
      </c>
      <c r="G18">
        <v>0.391902054</v>
      </c>
      <c r="H18">
        <v>0.357279075</v>
      </c>
      <c r="I18">
        <v>0.342208927</v>
      </c>
      <c r="J18">
        <v>0.39552194200000002</v>
      </c>
      <c r="K18">
        <v>0.37172799942806439</v>
      </c>
      <c r="L18">
        <f t="shared" si="0"/>
        <v>0.12345638442806439</v>
      </c>
      <c r="M18">
        <v>0.21217322799999999</v>
      </c>
      <c r="N18">
        <v>0.194241421</v>
      </c>
      <c r="O18">
        <v>0.213049926</v>
      </c>
      <c r="P18">
        <v>0.20409892600000001</v>
      </c>
      <c r="Q18">
        <v>0.205890876</v>
      </c>
      <c r="R18">
        <v>0.21215593825246679</v>
      </c>
      <c r="S18">
        <v>0.23054354584094172</v>
      </c>
      <c r="T18">
        <v>0.23247310059161805</v>
      </c>
      <c r="U18">
        <v>0.21920280440560402</v>
      </c>
      <c r="V18">
        <v>0.22359384700000001</v>
      </c>
      <c r="W18">
        <f t="shared" si="1"/>
        <v>1.7702971000000012E-2</v>
      </c>
    </row>
    <row r="19" spans="1:23">
      <c r="A19" t="s">
        <v>17</v>
      </c>
      <c r="B19">
        <v>9.2760212999999994E-2</v>
      </c>
      <c r="C19">
        <v>9.6171416999999995E-2</v>
      </c>
      <c r="D19">
        <v>0.120344769</v>
      </c>
      <c r="E19">
        <v>0.13609676900000001</v>
      </c>
      <c r="F19">
        <v>0.111343292</v>
      </c>
      <c r="G19">
        <v>0.324559349</v>
      </c>
      <c r="H19">
        <v>0.25344773599999998</v>
      </c>
      <c r="I19">
        <v>0.281542018</v>
      </c>
      <c r="J19">
        <v>0.30414980899999999</v>
      </c>
      <c r="K19">
        <v>0.29092472795278645</v>
      </c>
      <c r="L19">
        <f t="shared" si="0"/>
        <v>0.17958143595278647</v>
      </c>
      <c r="M19">
        <v>0.242572337</v>
      </c>
      <c r="N19">
        <v>0.24230579399999999</v>
      </c>
      <c r="O19">
        <v>0.230105964</v>
      </c>
      <c r="P19">
        <v>0.22630893099999999</v>
      </c>
      <c r="Q19">
        <v>0.23532325700000001</v>
      </c>
      <c r="R19">
        <v>0.34415564766720791</v>
      </c>
      <c r="S19">
        <v>0.32695027917184616</v>
      </c>
      <c r="T19">
        <v>0.32940960547035725</v>
      </c>
      <c r="U19">
        <v>0.33587107173555786</v>
      </c>
      <c r="V19">
        <v>0.33409665100000002</v>
      </c>
      <c r="W19">
        <f t="shared" si="1"/>
        <v>9.8773394000000014E-2</v>
      </c>
    </row>
    <row r="20" spans="1:23">
      <c r="A20" t="s">
        <v>23</v>
      </c>
      <c r="B20">
        <v>0.26071027099999999</v>
      </c>
      <c r="C20">
        <v>0.30111686300000001</v>
      </c>
      <c r="D20">
        <v>0.27186766499999998</v>
      </c>
      <c r="E20">
        <v>0.316952962</v>
      </c>
      <c r="F20">
        <v>0.28766194</v>
      </c>
      <c r="G20">
        <v>6.7983093999999994E-2</v>
      </c>
      <c r="H20">
        <v>3.5140633999999997E-2</v>
      </c>
      <c r="I20">
        <v>1.1887160000000001E-2</v>
      </c>
      <c r="J20">
        <v>2.9711251000000001E-2</v>
      </c>
      <c r="K20">
        <v>3.6180534417277407E-2</v>
      </c>
      <c r="L20">
        <f t="shared" si="0"/>
        <v>-0.25148140558272258</v>
      </c>
      <c r="M20">
        <v>0.216973948</v>
      </c>
      <c r="N20">
        <v>0.22151986300000001</v>
      </c>
      <c r="O20">
        <v>0.224233565</v>
      </c>
      <c r="P20">
        <v>0.20712129700000001</v>
      </c>
      <c r="Q20">
        <v>0.21746216800000001</v>
      </c>
      <c r="R20">
        <v>0.17032872599883053</v>
      </c>
      <c r="S20">
        <v>0.11942457305662967</v>
      </c>
      <c r="T20">
        <v>0.13279039579558224</v>
      </c>
      <c r="U20">
        <v>0.1410003442012685</v>
      </c>
      <c r="V20">
        <v>0.14088601000000001</v>
      </c>
      <c r="W20">
        <f t="shared" si="1"/>
        <v>-7.6576158000000005E-2</v>
      </c>
    </row>
    <row r="21" spans="1:23">
      <c r="A21" t="s">
        <v>18</v>
      </c>
      <c r="B21">
        <v>0.228045251</v>
      </c>
      <c r="C21">
        <v>0.26254230099999998</v>
      </c>
      <c r="D21">
        <v>0.23541293999999999</v>
      </c>
      <c r="E21">
        <v>0.239886074</v>
      </c>
      <c r="F21">
        <v>0.24147164199999999</v>
      </c>
      <c r="G21">
        <v>0.30878748900000003</v>
      </c>
      <c r="H21">
        <v>0.32389455499999997</v>
      </c>
      <c r="I21">
        <v>0.31054314500000002</v>
      </c>
      <c r="J21">
        <v>0.32115397499999998</v>
      </c>
      <c r="K21">
        <v>0.3160947911262908</v>
      </c>
      <c r="L21">
        <f t="shared" si="0"/>
        <v>7.4623149126290811E-2</v>
      </c>
      <c r="M21">
        <v>0.321839453</v>
      </c>
      <c r="N21">
        <v>0.33488826300000002</v>
      </c>
      <c r="O21">
        <v>0.31705693899999998</v>
      </c>
      <c r="P21">
        <v>0.32212279599999999</v>
      </c>
      <c r="Q21">
        <v>0.323976863</v>
      </c>
      <c r="R21">
        <v>0.32136288015753217</v>
      </c>
      <c r="S21">
        <v>0.31685285931011298</v>
      </c>
      <c r="T21">
        <v>0.31352924561524015</v>
      </c>
      <c r="U21">
        <v>0.31637668769165206</v>
      </c>
      <c r="V21">
        <v>0.31703041799999998</v>
      </c>
      <c r="W21">
        <f t="shared" si="1"/>
        <v>-6.9464450000000233E-3</v>
      </c>
    </row>
    <row r="22" spans="1:23">
      <c r="A22" t="s">
        <v>19</v>
      </c>
      <c r="B22">
        <v>0.40390712499999998</v>
      </c>
      <c r="C22">
        <v>0.272458743</v>
      </c>
      <c r="D22">
        <v>0.43533393599999998</v>
      </c>
      <c r="E22">
        <v>0.36314753300000002</v>
      </c>
      <c r="F22">
        <v>0.36871183400000002</v>
      </c>
      <c r="G22">
        <v>0.38690470900000001</v>
      </c>
      <c r="H22">
        <v>0.37128849400000002</v>
      </c>
      <c r="I22">
        <v>0.29061695599999998</v>
      </c>
      <c r="J22">
        <v>0.38269123300000002</v>
      </c>
      <c r="K22">
        <v>0.35787534820801953</v>
      </c>
      <c r="L22">
        <f t="shared" si="0"/>
        <v>-1.0836485791980488E-2</v>
      </c>
      <c r="M22">
        <v>0.29299789999999998</v>
      </c>
      <c r="N22">
        <v>0.30951726600000001</v>
      </c>
      <c r="O22">
        <v>0.31523621899999998</v>
      </c>
      <c r="P22">
        <v>0.29048384799999999</v>
      </c>
      <c r="Q22">
        <v>0.30205880800000001</v>
      </c>
      <c r="R22">
        <v>0.3019751418082941</v>
      </c>
      <c r="S22">
        <v>0.30059591818466252</v>
      </c>
      <c r="T22">
        <v>0.30460589170889013</v>
      </c>
      <c r="U22">
        <v>0.31821623353211864</v>
      </c>
      <c r="V22">
        <v>0.30634829600000002</v>
      </c>
      <c r="W22">
        <f t="shared" si="1"/>
        <v>4.289488000000008E-3</v>
      </c>
    </row>
    <row r="23" spans="1:23">
      <c r="A23" t="s">
        <v>20</v>
      </c>
      <c r="B23">
        <v>0.334396676</v>
      </c>
      <c r="C23">
        <v>0.32564656600000003</v>
      </c>
      <c r="D23">
        <v>0.34303981700000002</v>
      </c>
      <c r="E23">
        <v>0.33530981999999998</v>
      </c>
      <c r="F23">
        <v>0.33459822</v>
      </c>
      <c r="G23">
        <v>0.49517327799999999</v>
      </c>
      <c r="H23">
        <v>0.48292412299999998</v>
      </c>
      <c r="I23">
        <v>0.49802835400000001</v>
      </c>
      <c r="J23">
        <v>0.46488679799999999</v>
      </c>
      <c r="K23">
        <v>0.48525313818690058</v>
      </c>
      <c r="L23">
        <f t="shared" si="0"/>
        <v>0.15065491818690058</v>
      </c>
      <c r="M23">
        <v>0.31081365900000002</v>
      </c>
      <c r="N23">
        <v>0.27880789099999997</v>
      </c>
      <c r="O23">
        <v>0.304612147</v>
      </c>
      <c r="P23">
        <v>0.30516739599999998</v>
      </c>
      <c r="Q23">
        <v>0.299850273</v>
      </c>
      <c r="R23">
        <v>0.29188273861211944</v>
      </c>
      <c r="S23">
        <v>0.30138400948927763</v>
      </c>
      <c r="T23">
        <v>0.30059591818466258</v>
      </c>
      <c r="U23">
        <v>0.30633817733903851</v>
      </c>
      <c r="V23">
        <v>0.30005021100000001</v>
      </c>
      <c r="W23">
        <f t="shared" si="1"/>
        <v>1.9993800000001061E-4</v>
      </c>
    </row>
    <row r="24" spans="1:23">
      <c r="A24" t="s">
        <v>21</v>
      </c>
      <c r="B24">
        <v>0.318180089</v>
      </c>
      <c r="C24">
        <v>0.28060241400000002</v>
      </c>
      <c r="D24">
        <v>0.328986842</v>
      </c>
      <c r="E24">
        <v>0.32978614699999997</v>
      </c>
      <c r="F24">
        <v>0.31438887300000001</v>
      </c>
      <c r="G24">
        <v>0.35342330599999999</v>
      </c>
      <c r="H24">
        <v>0.358061354</v>
      </c>
      <c r="I24">
        <v>0.34158851600000001</v>
      </c>
      <c r="J24">
        <v>0.33669782599999998</v>
      </c>
      <c r="K24">
        <v>0.34744275034039729</v>
      </c>
      <c r="L24">
        <f t="shared" si="0"/>
        <v>3.3053877340397275E-2</v>
      </c>
      <c r="M24">
        <v>0.220968465</v>
      </c>
      <c r="N24">
        <v>0.21971269800000001</v>
      </c>
      <c r="O24">
        <v>0.242893308</v>
      </c>
      <c r="P24">
        <v>0.22194317199999999</v>
      </c>
      <c r="Q24">
        <v>0.226379411</v>
      </c>
      <c r="R24">
        <v>0.23489050279328166</v>
      </c>
      <c r="S24">
        <v>0.21775546312359637</v>
      </c>
      <c r="T24">
        <v>0.21246362420000103</v>
      </c>
      <c r="U24">
        <v>0.21227087712205905</v>
      </c>
      <c r="V24">
        <v>0.21934511700000001</v>
      </c>
      <c r="W24">
        <f t="shared" si="1"/>
        <v>-7.0342939999999965E-3</v>
      </c>
    </row>
    <row r="25" spans="1:23">
      <c r="A25" t="s">
        <v>22</v>
      </c>
      <c r="B25">
        <v>0.18912928300000001</v>
      </c>
      <c r="C25">
        <v>0.19382002600000001</v>
      </c>
      <c r="D25">
        <v>0.15643184099999999</v>
      </c>
      <c r="E25">
        <v>0.17354233799999999</v>
      </c>
      <c r="F25">
        <v>0.17823087200000001</v>
      </c>
      <c r="G25">
        <v>0.33703241499999997</v>
      </c>
      <c r="H25">
        <v>0.32809336300000003</v>
      </c>
      <c r="I25">
        <v>0.32763821300000001</v>
      </c>
      <c r="J25">
        <v>0.32400055500000002</v>
      </c>
      <c r="K25">
        <v>0.32919113655218424</v>
      </c>
      <c r="L25">
        <f t="shared" si="0"/>
        <v>0.15096026455218423</v>
      </c>
      <c r="M25">
        <v>0.27842019099999998</v>
      </c>
      <c r="N25">
        <v>0.28136546899999998</v>
      </c>
      <c r="O25">
        <v>0.25090252600000001</v>
      </c>
      <c r="P25">
        <v>0.26962153100000003</v>
      </c>
      <c r="Q25">
        <v>0.27007742899999998</v>
      </c>
      <c r="R25">
        <v>0.28923190884210243</v>
      </c>
      <c r="S25">
        <v>0.29431320175827325</v>
      </c>
      <c r="T25">
        <v>0.3164334499779563</v>
      </c>
      <c r="U25">
        <v>0.30738294724996235</v>
      </c>
      <c r="V25">
        <v>0.30184037699999999</v>
      </c>
      <c r="W25">
        <f t="shared" si="1"/>
        <v>3.1762948000000013E-2</v>
      </c>
    </row>
    <row r="26" spans="1:23">
      <c r="A26" t="s">
        <v>73</v>
      </c>
      <c r="B26">
        <f>AVERAGE(B2:B25)</f>
        <v>0.25487589783333331</v>
      </c>
      <c r="C26">
        <f t="shared" ref="C26:W26" si="2">AVERAGE(C2:C25)</f>
        <v>0.24879684954166661</v>
      </c>
      <c r="D26">
        <f t="shared" si="2"/>
        <v>0.25767830424999999</v>
      </c>
      <c r="E26">
        <f t="shared" si="2"/>
        <v>0.2502300855416667</v>
      </c>
      <c r="F26">
        <f t="shared" si="2"/>
        <v>0.2528952844166667</v>
      </c>
      <c r="G26">
        <f t="shared" si="2"/>
        <v>0.30652589108333334</v>
      </c>
      <c r="H26">
        <f t="shared" si="2"/>
        <v>0.30556184483333332</v>
      </c>
      <c r="I26">
        <f t="shared" si="2"/>
        <v>0.30122580520833325</v>
      </c>
      <c r="J26">
        <f t="shared" si="2"/>
        <v>0.29550249437500004</v>
      </c>
      <c r="K26">
        <f t="shared" si="2"/>
        <v>0.30220400882429554</v>
      </c>
      <c r="L26">
        <f t="shared" si="2"/>
        <v>4.9308724407628866E-2</v>
      </c>
      <c r="M26">
        <f t="shared" si="2"/>
        <v>0.27217279083333334</v>
      </c>
      <c r="N26">
        <f t="shared" si="2"/>
        <v>0.26673359062500002</v>
      </c>
      <c r="O26">
        <f t="shared" si="2"/>
        <v>0.2685174443333333</v>
      </c>
      <c r="P26">
        <f t="shared" si="2"/>
        <v>0.26295603925000005</v>
      </c>
      <c r="Q26">
        <f t="shared" si="2"/>
        <v>0.26759496629166662</v>
      </c>
      <c r="R26">
        <f t="shared" si="2"/>
        <v>0.27991922642671951</v>
      </c>
      <c r="S26">
        <f t="shared" si="2"/>
        <v>0.27761039882623945</v>
      </c>
      <c r="T26">
        <f t="shared" si="2"/>
        <v>0.28148181402425326</v>
      </c>
      <c r="U26">
        <f t="shared" si="2"/>
        <v>0.28166887477315461</v>
      </c>
      <c r="V26">
        <f t="shared" si="2"/>
        <v>0.2801700785416667</v>
      </c>
      <c r="W26">
        <f t="shared" si="2"/>
        <v>1.2575112249999999E-2</v>
      </c>
    </row>
    <row r="27" spans="1:23">
      <c r="A27" t="s">
        <v>74</v>
      </c>
      <c r="B27">
        <f>_xlfn.STDEV.P(B2:B25)</f>
        <v>9.4830159970345343E-2</v>
      </c>
      <c r="C27">
        <f t="shared" ref="C27:W27" si="3">_xlfn.STDEV.P(C2:C25)</f>
        <v>9.2633227891677036E-2</v>
      </c>
      <c r="D27">
        <f t="shared" si="3"/>
        <v>9.0274573357360791E-2</v>
      </c>
      <c r="E27">
        <f t="shared" si="3"/>
        <v>8.7908426204267476E-2</v>
      </c>
      <c r="F27">
        <f t="shared" si="3"/>
        <v>8.9391369646005761E-2</v>
      </c>
      <c r="G27">
        <f t="shared" si="3"/>
        <v>8.4368009634269256E-2</v>
      </c>
      <c r="H27">
        <f t="shared" si="3"/>
        <v>8.3959002485084741E-2</v>
      </c>
      <c r="I27">
        <f t="shared" si="3"/>
        <v>9.2063792494583768E-2</v>
      </c>
      <c r="J27">
        <f t="shared" si="3"/>
        <v>9.3428045323179235E-2</v>
      </c>
      <c r="K27">
        <f t="shared" si="3"/>
        <v>8.6003459237377178E-2</v>
      </c>
      <c r="L27">
        <f t="shared" si="3"/>
        <v>8.945199738682362E-2</v>
      </c>
      <c r="M27">
        <f t="shared" si="3"/>
        <v>5.7259165937534655E-2</v>
      </c>
      <c r="N27">
        <f t="shared" si="3"/>
        <v>5.0188316921374203E-2</v>
      </c>
      <c r="O27">
        <f t="shared" si="3"/>
        <v>4.8441538536834569E-2</v>
      </c>
      <c r="P27">
        <f t="shared" si="3"/>
        <v>5.9604091228732801E-2</v>
      </c>
      <c r="Q27">
        <f t="shared" si="3"/>
        <v>5.301669613776977E-2</v>
      </c>
      <c r="R27">
        <f t="shared" si="3"/>
        <v>6.771133720412674E-2</v>
      </c>
      <c r="S27">
        <f t="shared" si="3"/>
        <v>7.1092369389780349E-2</v>
      </c>
      <c r="T27">
        <f t="shared" si="3"/>
        <v>7.4758730876306426E-2</v>
      </c>
      <c r="U27">
        <f t="shared" si="3"/>
        <v>7.1918890718245129E-2</v>
      </c>
      <c r="V27">
        <f t="shared" si="3"/>
        <v>7.0935121480711294E-2</v>
      </c>
      <c r="W27">
        <f t="shared" si="3"/>
        <v>4.2377680735931442E-2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A3EE-DAF5-4A60-84BE-982EEB7A2F3D}">
  <dimension ref="A1:L42"/>
  <sheetViews>
    <sheetView topLeftCell="A6" workbookViewId="0">
      <selection activeCell="O22" sqref="O22"/>
    </sheetView>
  </sheetViews>
  <sheetFormatPr defaultColWidth="8.85546875" defaultRowHeight="15"/>
  <cols>
    <col min="1" max="1" width="15.5703125" customWidth="1"/>
    <col min="2" max="2" width="10.28515625" customWidth="1"/>
    <col min="3" max="3" width="12.28515625" customWidth="1"/>
    <col min="4" max="4" width="11" customWidth="1"/>
    <col min="5" max="5" width="12.42578125" customWidth="1"/>
    <col min="6" max="6" width="12.85546875" customWidth="1"/>
    <col min="7" max="7" width="11.140625" customWidth="1"/>
    <col min="8" max="8" width="11" customWidth="1"/>
    <col min="9" max="9" width="13.5703125" customWidth="1"/>
    <col min="10" max="11" width="11.85546875" customWidth="1"/>
  </cols>
  <sheetData>
    <row r="1" spans="1:12">
      <c r="A1" t="s">
        <v>111</v>
      </c>
      <c r="B1" s="1" t="s">
        <v>170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</row>
    <row r="2" spans="1:12">
      <c r="A2" s="9" t="s">
        <v>137</v>
      </c>
      <c r="B2" s="9" t="s">
        <v>0</v>
      </c>
      <c r="C2" t="s">
        <v>85</v>
      </c>
      <c r="D2">
        <v>4.6409391365708738E-4</v>
      </c>
      <c r="E2">
        <v>7.0210271500636035E-4</v>
      </c>
      <c r="F2">
        <v>9.9098228739994158E-4</v>
      </c>
      <c r="G2">
        <v>3.3649922611302509E-4</v>
      </c>
      <c r="H2">
        <v>2.9229962392683748E-4</v>
      </c>
      <c r="I2">
        <v>4.7489051440666879E-4</v>
      </c>
      <c r="J2">
        <v>-1.2759468754406229E-4</v>
      </c>
      <c r="K2">
        <v>-4.0980309107952286E-4</v>
      </c>
      <c r="L2">
        <v>-5.1609177299327279E-4</v>
      </c>
    </row>
    <row r="3" spans="1:12">
      <c r="A3" s="9" t="s">
        <v>169</v>
      </c>
      <c r="B3" s="9" t="s">
        <v>1</v>
      </c>
      <c r="C3" t="s">
        <v>85</v>
      </c>
      <c r="D3">
        <v>7.8148988375460716E-4</v>
      </c>
      <c r="E3">
        <v>7.223160767044545E-4</v>
      </c>
      <c r="F3">
        <v>1.2686710000581142E-3</v>
      </c>
      <c r="G3">
        <v>-1.2837941336732078E-5</v>
      </c>
      <c r="H3">
        <v>1.4060822543914627E-4</v>
      </c>
      <c r="I3">
        <v>-3.183602951564897E-4</v>
      </c>
      <c r="J3">
        <v>-7.9432782509133927E-4</v>
      </c>
      <c r="K3">
        <v>-5.8170785126530824E-4</v>
      </c>
      <c r="L3">
        <v>-1.5870312952146039E-3</v>
      </c>
    </row>
    <row r="4" spans="1:12">
      <c r="A4" s="9" t="s">
        <v>131</v>
      </c>
      <c r="B4" s="9" t="s">
        <v>2</v>
      </c>
      <c r="C4" t="s">
        <v>85</v>
      </c>
      <c r="D4">
        <v>6.2765367047814115E-4</v>
      </c>
      <c r="E4">
        <v>8.1970867416001345E-4</v>
      </c>
      <c r="F4">
        <v>2.0157440559092949E-3</v>
      </c>
      <c r="G4">
        <v>8.9384316112940416E-4</v>
      </c>
      <c r="H4">
        <v>9.5116903669839969E-5</v>
      </c>
      <c r="I4">
        <v>1.6194021369257783E-3</v>
      </c>
      <c r="J4">
        <v>2.6618949065126301E-4</v>
      </c>
      <c r="K4">
        <v>-7.2459177049017352E-4</v>
      </c>
      <c r="L4">
        <v>-3.963419189835166E-4</v>
      </c>
    </row>
    <row r="5" spans="1:12">
      <c r="A5" s="9" t="s">
        <v>132</v>
      </c>
      <c r="B5" s="9" t="s">
        <v>3</v>
      </c>
      <c r="C5" t="s">
        <v>85</v>
      </c>
      <c r="D5">
        <v>1.1211908093211129E-3</v>
      </c>
      <c r="E5">
        <v>1.2042765511105465E-3</v>
      </c>
      <c r="F5">
        <v>1.1570188472756293E-3</v>
      </c>
      <c r="G5">
        <v>7.9450692602471681E-4</v>
      </c>
      <c r="H5">
        <v>3.9245931055551295E-4</v>
      </c>
      <c r="I5">
        <v>8.3420516433183858E-4</v>
      </c>
      <c r="J5">
        <v>-3.2668388329639613E-4</v>
      </c>
      <c r="K5">
        <v>-8.1181724055503363E-4</v>
      </c>
      <c r="L5">
        <v>-3.2281368294379074E-4</v>
      </c>
    </row>
    <row r="6" spans="1:12">
      <c r="A6" s="9" t="s">
        <v>133</v>
      </c>
      <c r="B6" s="9" t="s">
        <v>5</v>
      </c>
      <c r="C6" t="s">
        <v>85</v>
      </c>
      <c r="D6">
        <v>3.6325177258150943E-3</v>
      </c>
      <c r="E6">
        <v>8.5202175327360658E-4</v>
      </c>
      <c r="F6">
        <v>3.1572404708720904E-3</v>
      </c>
      <c r="G6">
        <v>1.1434712967630033E-3</v>
      </c>
      <c r="H6">
        <v>6.5905192541757093E-4</v>
      </c>
      <c r="I6">
        <v>4.6433960870022599E-4</v>
      </c>
      <c r="J6">
        <v>-2.4890464290520907E-3</v>
      </c>
      <c r="K6">
        <v>-1.9296982785603565E-4</v>
      </c>
      <c r="L6">
        <v>-2.6929008621718645E-3</v>
      </c>
    </row>
    <row r="7" spans="1:12">
      <c r="A7" s="9" t="s">
        <v>134</v>
      </c>
      <c r="B7" s="9" t="s">
        <v>6</v>
      </c>
      <c r="C7" t="s">
        <v>85</v>
      </c>
      <c r="D7">
        <v>1.7669567187119765E-3</v>
      </c>
      <c r="E7">
        <v>9.0418883459644805E-4</v>
      </c>
      <c r="F7">
        <v>1.4641529616732441E-3</v>
      </c>
      <c r="G7">
        <v>1.525057227606383E-4</v>
      </c>
      <c r="H7">
        <v>2.3014412653269277E-4</v>
      </c>
      <c r="I7">
        <v>1.6595717427400752E-4</v>
      </c>
      <c r="J7">
        <v>-1.6144509959513382E-3</v>
      </c>
      <c r="K7">
        <v>-6.7404470806375525E-4</v>
      </c>
      <c r="L7">
        <v>-1.2981957873992366E-3</v>
      </c>
    </row>
    <row r="8" spans="1:12">
      <c r="A8" s="10" t="s">
        <v>135</v>
      </c>
      <c r="B8" s="10" t="s">
        <v>7</v>
      </c>
      <c r="C8" s="11" t="s">
        <v>85</v>
      </c>
      <c r="D8" s="11">
        <v>4.8169511646828193E-3</v>
      </c>
      <c r="E8" s="11">
        <v>4.9860239490740147E-3</v>
      </c>
      <c r="F8" s="11">
        <v>2.5805179477985086E-3</v>
      </c>
      <c r="G8" s="11">
        <v>6.6966199899166489E-4</v>
      </c>
      <c r="H8" s="11">
        <v>6.4911903176748283E-4</v>
      </c>
      <c r="I8" s="11">
        <v>1.3082948827463086E-3</v>
      </c>
      <c r="J8" s="11">
        <v>-4.1472891656911546E-3</v>
      </c>
      <c r="K8" s="11">
        <v>-4.3369049173065319E-3</v>
      </c>
      <c r="L8" s="11">
        <v>-1.2722230650522E-3</v>
      </c>
    </row>
    <row r="9" spans="1:12">
      <c r="A9" s="10" t="s">
        <v>136</v>
      </c>
      <c r="B9" s="10" t="s">
        <v>8</v>
      </c>
      <c r="C9" s="11" t="s">
        <v>85</v>
      </c>
      <c r="D9" s="11">
        <v>1.3999577221009245E-3</v>
      </c>
      <c r="E9" s="11">
        <v>1.1338820783804715E-3</v>
      </c>
      <c r="F9" s="11">
        <v>1.5061664114533282E-3</v>
      </c>
      <c r="G9" s="11">
        <v>1.0778788703923034E-3</v>
      </c>
      <c r="H9" s="11">
        <v>6.5031523970784987E-4</v>
      </c>
      <c r="I9" s="11">
        <v>6.8990992152198692E-4</v>
      </c>
      <c r="J9" s="11">
        <v>-3.2207885170862111E-4</v>
      </c>
      <c r="K9" s="11">
        <v>-4.8356683867262164E-4</v>
      </c>
      <c r="L9" s="11">
        <v>-8.1625648993134128E-4</v>
      </c>
    </row>
    <row r="10" spans="1:12">
      <c r="A10" s="10" t="s">
        <v>140</v>
      </c>
      <c r="B10" s="10" t="s">
        <v>9</v>
      </c>
      <c r="C10" s="11" t="s">
        <v>85</v>
      </c>
      <c r="D10" s="11">
        <v>4.470315547129098E-4</v>
      </c>
      <c r="E10" s="11">
        <v>6.554538110610939E-4</v>
      </c>
      <c r="F10" s="11">
        <v>9.2601308198355216E-4</v>
      </c>
      <c r="G10" s="11">
        <v>1.4393112516060344E-3</v>
      </c>
      <c r="H10" s="11">
        <v>1.6788822204086044E-3</v>
      </c>
      <c r="I10" s="11">
        <v>6.7442643287162851E-4</v>
      </c>
      <c r="J10" s="11">
        <v>9.9227969689312458E-4</v>
      </c>
      <c r="K10" s="11">
        <v>1.0234284093475106E-3</v>
      </c>
      <c r="L10" s="11">
        <v>-2.5158664911192365E-4</v>
      </c>
    </row>
    <row r="11" spans="1:12">
      <c r="A11" s="10" t="s">
        <v>138</v>
      </c>
      <c r="B11" s="10" t="s">
        <v>10</v>
      </c>
      <c r="C11" s="11" t="s">
        <v>85</v>
      </c>
      <c r="D11" s="11">
        <v>6.7380987801466015E-4</v>
      </c>
      <c r="E11" s="11">
        <v>9.9788459265749479E-4</v>
      </c>
      <c r="F11" s="11">
        <v>2.8443143867474914E-3</v>
      </c>
      <c r="G11" s="11">
        <v>5.7330237471508224E-4</v>
      </c>
      <c r="H11" s="11">
        <v>9.3741847746994236E-4</v>
      </c>
      <c r="I11" s="11">
        <v>1.2551660346731494E-3</v>
      </c>
      <c r="J11" s="11">
        <v>-1.0050750329957791E-4</v>
      </c>
      <c r="K11" s="11">
        <v>-6.0466115187552435E-5</v>
      </c>
      <c r="L11" s="11">
        <v>-1.589148352074342E-3</v>
      </c>
    </row>
    <row r="12" spans="1:12">
      <c r="A12" s="10" t="s">
        <v>139</v>
      </c>
      <c r="B12" s="10" t="s">
        <v>12</v>
      </c>
      <c r="C12" s="11" t="s">
        <v>85</v>
      </c>
      <c r="D12" s="11">
        <v>4.1665404198541608E-3</v>
      </c>
      <c r="E12" s="11">
        <v>1.4400926807895348E-3</v>
      </c>
      <c r="F12" s="11">
        <v>2.0280928814437526E-3</v>
      </c>
      <c r="G12" s="11">
        <v>4.5787144183632375E-3</v>
      </c>
      <c r="H12" s="11">
        <v>1.1124580253460592E-3</v>
      </c>
      <c r="I12" s="11">
        <v>5.222729494499561E-4</v>
      </c>
      <c r="J12" s="11">
        <v>4.1217399850907669E-4</v>
      </c>
      <c r="K12" s="11">
        <v>-3.2763465544347558E-4</v>
      </c>
      <c r="L12" s="11">
        <v>-1.5058199319937966E-3</v>
      </c>
    </row>
    <row r="13" spans="1:12">
      <c r="A13" s="10" t="s">
        <v>14</v>
      </c>
      <c r="B13" s="10" t="s">
        <v>14</v>
      </c>
      <c r="C13" s="11" t="s">
        <v>171</v>
      </c>
      <c r="D13" s="11"/>
      <c r="E13" s="11"/>
      <c r="F13" s="11"/>
      <c r="G13" s="11" t="s">
        <v>172</v>
      </c>
      <c r="H13" s="11"/>
      <c r="I13" s="11"/>
      <c r="J13" s="11"/>
      <c r="K13" s="11"/>
      <c r="L13" s="11"/>
    </row>
    <row r="14" spans="1:12">
      <c r="A14" s="10" t="s">
        <v>141</v>
      </c>
      <c r="B14" s="10" t="s">
        <v>15</v>
      </c>
      <c r="C14" s="11" t="s">
        <v>85</v>
      </c>
      <c r="D14" s="11">
        <v>1.2473343558066848E-3</v>
      </c>
      <c r="E14" s="11">
        <v>1.512005810396119E-3</v>
      </c>
      <c r="F14" s="11">
        <v>1.643527938689921E-3</v>
      </c>
      <c r="G14" s="11">
        <v>7.4963508000377239E-4</v>
      </c>
      <c r="H14" s="11">
        <v>8.286147917627891E-4</v>
      </c>
      <c r="I14" s="11">
        <v>1.1246633462141614E-3</v>
      </c>
      <c r="J14" s="11">
        <v>-4.976992758029124E-4</v>
      </c>
      <c r="K14" s="11">
        <v>-6.8339101863332989E-4</v>
      </c>
      <c r="L14" s="11">
        <v>-5.188645924757596E-4</v>
      </c>
    </row>
    <row r="15" spans="1:12">
      <c r="A15" s="10" t="s">
        <v>142</v>
      </c>
      <c r="B15" s="10" t="s">
        <v>17</v>
      </c>
      <c r="C15" s="11" t="s">
        <v>85</v>
      </c>
      <c r="D15" s="11">
        <v>1.0611863604040907E-3</v>
      </c>
      <c r="E15" s="11">
        <v>4.0155421278547862E-4</v>
      </c>
      <c r="F15" s="11">
        <v>7.5914015699445818E-4</v>
      </c>
      <c r="G15" s="11">
        <v>9.5189783865622004E-4</v>
      </c>
      <c r="H15" s="11">
        <v>3.7747306535917019E-4</v>
      </c>
      <c r="I15" s="11">
        <v>4.5660583354568778E-4</v>
      </c>
      <c r="J15" s="11">
        <v>-1.0928852174787063E-4</v>
      </c>
      <c r="K15" s="11">
        <v>-2.4081147426308427E-5</v>
      </c>
      <c r="L15" s="11">
        <v>-3.025343234487704E-4</v>
      </c>
    </row>
    <row r="16" spans="1:12">
      <c r="A16" s="10" t="s">
        <v>143</v>
      </c>
      <c r="B16" s="10" t="s">
        <v>18</v>
      </c>
      <c r="C16" s="11" t="s">
        <v>85</v>
      </c>
      <c r="D16" s="11">
        <v>4.9553449225218848E-3</v>
      </c>
      <c r="E16" s="11">
        <v>5.4402589569140184E-3</v>
      </c>
      <c r="F16" s="11">
        <v>4.9245924926997926E-3</v>
      </c>
      <c r="G16" s="11">
        <v>-6.2456799469905492E-4</v>
      </c>
      <c r="H16" s="11">
        <v>1.7321607300043837E-4</v>
      </c>
      <c r="I16" s="11">
        <v>1.0728397363367862E-3</v>
      </c>
      <c r="J16" s="11">
        <v>-5.5799129172209401E-3</v>
      </c>
      <c r="K16" s="11">
        <v>-5.2670428839135799E-3</v>
      </c>
      <c r="L16" s="11">
        <v>-3.8517527563630065E-3</v>
      </c>
    </row>
    <row r="17" spans="1:12">
      <c r="A17" s="10" t="s">
        <v>147</v>
      </c>
      <c r="B17" s="10" t="s">
        <v>19</v>
      </c>
      <c r="C17" s="11" t="s">
        <v>85</v>
      </c>
      <c r="D17" s="11">
        <v>8.6677059352711135E-4</v>
      </c>
      <c r="E17" s="11">
        <v>5.2475857779412445E-4</v>
      </c>
      <c r="F17" s="11">
        <v>6.1634379011663769E-4</v>
      </c>
      <c r="G17" s="11">
        <v>8.403291529952803E-4</v>
      </c>
      <c r="H17" s="11">
        <v>8.8849251414535818E-4</v>
      </c>
      <c r="I17" s="11">
        <v>7.1026288425275102E-4</v>
      </c>
      <c r="J17" s="11">
        <v>-2.6441440531831052E-5</v>
      </c>
      <c r="K17" s="11">
        <v>3.6373393635123373E-4</v>
      </c>
      <c r="L17" s="11">
        <v>9.3919094136113326E-5</v>
      </c>
    </row>
    <row r="18" spans="1:12">
      <c r="A18" s="10" t="s">
        <v>144</v>
      </c>
      <c r="B18" s="10" t="s">
        <v>20</v>
      </c>
      <c r="C18" s="11" t="s">
        <v>85</v>
      </c>
      <c r="D18" s="11">
        <v>8.7971806455964174E-4</v>
      </c>
      <c r="E18" s="11">
        <v>7.0084684915280946E-4</v>
      </c>
      <c r="F18" s="11">
        <v>7.8353701229049127E-4</v>
      </c>
      <c r="G18" s="11">
        <v>5.3492848763489139E-4</v>
      </c>
      <c r="H18" s="11">
        <v>4.5550748048434937E-4</v>
      </c>
      <c r="I18" s="11">
        <v>2.248784610760618E-4</v>
      </c>
      <c r="J18" s="11">
        <v>-3.4478957692475035E-4</v>
      </c>
      <c r="K18" s="11">
        <v>-2.4533936866846009E-4</v>
      </c>
      <c r="L18" s="11">
        <v>-5.5865855121442942E-4</v>
      </c>
    </row>
    <row r="19" spans="1:12">
      <c r="A19" s="10" t="s">
        <v>145</v>
      </c>
      <c r="B19" s="10" t="s">
        <v>21</v>
      </c>
      <c r="C19" s="11" t="s">
        <v>85</v>
      </c>
      <c r="D19" s="11">
        <v>1.1093802917274754E-4</v>
      </c>
      <c r="E19" s="11">
        <v>3.0037584141665393E-4</v>
      </c>
      <c r="F19" s="11">
        <v>1.2860960006729851E-3</v>
      </c>
      <c r="G19" s="11">
        <v>5.8475722666571776E-7</v>
      </c>
      <c r="H19" s="11">
        <v>-1.0879937895730701E-5</v>
      </c>
      <c r="I19" s="11">
        <v>1.1581658526751268E-4</v>
      </c>
      <c r="J19" s="11">
        <v>-1.1035327194608182E-4</v>
      </c>
      <c r="K19" s="11">
        <v>-3.1125577931238462E-4</v>
      </c>
      <c r="L19" s="11">
        <v>-1.1702794154054724E-3</v>
      </c>
    </row>
    <row r="20" spans="1:12">
      <c r="A20" s="10" t="s">
        <v>146</v>
      </c>
      <c r="B20" s="10" t="s">
        <v>22</v>
      </c>
      <c r="C20" s="11" t="s">
        <v>85</v>
      </c>
      <c r="D20" s="11">
        <v>-1.2156378489335487E-4</v>
      </c>
      <c r="E20" s="11">
        <v>-7.0759310573380454E-5</v>
      </c>
      <c r="F20" s="11">
        <v>1.0313955205485117E-3</v>
      </c>
      <c r="G20" s="11">
        <v>1.3512484239309353E-5</v>
      </c>
      <c r="H20" s="11">
        <v>2.7896907312292313E-5</v>
      </c>
      <c r="I20" s="11">
        <v>1.4004225279704852E-3</v>
      </c>
      <c r="J20" s="11">
        <v>1.3507626913266424E-4</v>
      </c>
      <c r="K20" s="11">
        <v>9.8656217885672773E-5</v>
      </c>
      <c r="L20" s="11">
        <v>3.6902700742197348E-4</v>
      </c>
    </row>
    <row r="21" spans="1:12">
      <c r="A21" s="12" t="s">
        <v>154</v>
      </c>
      <c r="B21" s="12" t="s">
        <v>0</v>
      </c>
      <c r="C21" s="11" t="s">
        <v>86</v>
      </c>
      <c r="D21" s="11">
        <v>1.83728E-4</v>
      </c>
      <c r="E21" s="11">
        <v>3.5247399999999997E-4</v>
      </c>
      <c r="F21" s="11">
        <v>4.6561739999999999E-3</v>
      </c>
      <c r="G21" s="11">
        <v>1.9287800000000001E-4</v>
      </c>
      <c r="H21" s="11">
        <v>1.9774500000000001E-4</v>
      </c>
      <c r="I21" s="11">
        <v>1.5748499999999999E-4</v>
      </c>
      <c r="J21" s="13">
        <v>9.1508799999999994E-6</v>
      </c>
      <c r="K21" s="11">
        <v>-1.5472899999999999E-4</v>
      </c>
      <c r="L21" s="11">
        <v>-4.4986890000000002E-3</v>
      </c>
    </row>
    <row r="22" spans="1:12">
      <c r="A22" s="12" t="s">
        <v>173</v>
      </c>
      <c r="B22" s="12" t="s">
        <v>1</v>
      </c>
      <c r="C22" s="11" t="s">
        <v>86</v>
      </c>
      <c r="D22" s="13">
        <v>-4.6469199999999999E-5</v>
      </c>
      <c r="E22" s="13">
        <v>-2.2124000000000002E-6</v>
      </c>
      <c r="F22" s="11">
        <v>3.3567800000000001E-4</v>
      </c>
      <c r="G22" s="11">
        <v>5.3949100000000002E-4</v>
      </c>
      <c r="H22" s="11">
        <v>4.8328100000000001E-4</v>
      </c>
      <c r="I22" s="11">
        <v>2.38273E-4</v>
      </c>
      <c r="J22" s="11">
        <v>5.8595999999999995E-4</v>
      </c>
      <c r="K22" s="11">
        <v>4.8549299999999998E-4</v>
      </c>
      <c r="L22" s="13">
        <v>-9.7404400000000005E-5</v>
      </c>
    </row>
    <row r="23" spans="1:12">
      <c r="A23" s="8" t="s">
        <v>148</v>
      </c>
      <c r="B23" s="8" t="s">
        <v>2</v>
      </c>
      <c r="C23" t="s">
        <v>86</v>
      </c>
      <c r="D23">
        <v>1.12896E-4</v>
      </c>
      <c r="E23" s="14">
        <v>9.9469999999999995E-5</v>
      </c>
      <c r="F23">
        <v>5.0417099999999998E-4</v>
      </c>
      <c r="G23">
        <v>6.01759E-4</v>
      </c>
      <c r="H23">
        <v>3.0481300000000002E-4</v>
      </c>
      <c r="I23">
        <v>6.3033100000000003E-4</v>
      </c>
      <c r="J23">
        <v>4.8886299999999997E-4</v>
      </c>
      <c r="K23">
        <v>2.05343E-4</v>
      </c>
      <c r="L23">
        <v>1.2616E-4</v>
      </c>
    </row>
    <row r="24" spans="1:12">
      <c r="A24" s="8" t="s">
        <v>149</v>
      </c>
      <c r="B24" s="8" t="s">
        <v>3</v>
      </c>
      <c r="C24" t="s">
        <v>86</v>
      </c>
      <c r="D24">
        <v>1.239668E-3</v>
      </c>
      <c r="E24">
        <v>1.926781E-3</v>
      </c>
      <c r="F24">
        <v>6.7997499999999998E-4</v>
      </c>
      <c r="G24">
        <v>8.2079099999999997E-4</v>
      </c>
      <c r="H24">
        <v>4.3852300000000002E-4</v>
      </c>
      <c r="I24">
        <v>3.2288299999999999E-4</v>
      </c>
      <c r="J24">
        <v>-4.1887700000000001E-4</v>
      </c>
      <c r="K24">
        <v>-1.4882579999999999E-3</v>
      </c>
      <c r="L24">
        <v>-3.5709199999999999E-4</v>
      </c>
    </row>
    <row r="25" spans="1:12">
      <c r="A25" s="8" t="s">
        <v>150</v>
      </c>
      <c r="B25" s="8" t="s">
        <v>5</v>
      </c>
      <c r="C25" t="s">
        <v>86</v>
      </c>
      <c r="D25">
        <v>2.0996E-4</v>
      </c>
      <c r="E25">
        <v>1.53962E-4</v>
      </c>
      <c r="F25" s="14">
        <v>6.8315300000000006E-5</v>
      </c>
      <c r="G25">
        <v>1.67663E-4</v>
      </c>
      <c r="H25">
        <v>1.17063E-4</v>
      </c>
      <c r="I25">
        <v>1.7699299999999999E-4</v>
      </c>
      <c r="J25" s="14">
        <v>-4.2297099999999999E-5</v>
      </c>
      <c r="K25" s="14">
        <v>-3.6899400000000001E-5</v>
      </c>
      <c r="L25">
        <v>1.0867800000000001E-4</v>
      </c>
    </row>
    <row r="26" spans="1:12">
      <c r="A26" s="8" t="s">
        <v>151</v>
      </c>
      <c r="B26" s="8" t="s">
        <v>6</v>
      </c>
      <c r="C26" t="s">
        <v>86</v>
      </c>
      <c r="D26">
        <v>9.6862999999999995E-4</v>
      </c>
      <c r="E26">
        <v>3.3201200000000002E-4</v>
      </c>
      <c r="F26">
        <v>9.3495000000000004E-4</v>
      </c>
      <c r="G26">
        <v>6.5184599999999998E-4</v>
      </c>
      <c r="H26">
        <v>1.9204700000000001E-4</v>
      </c>
      <c r="I26" s="14">
        <v>9.5007900000000002E-5</v>
      </c>
      <c r="J26">
        <v>-3.1678400000000002E-4</v>
      </c>
      <c r="K26">
        <v>-1.3996500000000001E-4</v>
      </c>
      <c r="L26">
        <v>-8.3994199999999999E-4</v>
      </c>
    </row>
    <row r="27" spans="1:12">
      <c r="A27" s="8" t="s">
        <v>152</v>
      </c>
      <c r="B27" s="8" t="s">
        <v>7</v>
      </c>
      <c r="C27" t="s">
        <v>86</v>
      </c>
      <c r="D27" s="14">
        <v>6.1685700000000001E-6</v>
      </c>
      <c r="E27" s="14">
        <v>-2.1965499999999998E-5</v>
      </c>
      <c r="F27">
        <v>2.4491699999999999E-4</v>
      </c>
      <c r="G27">
        <v>1.8925999999999999E-4</v>
      </c>
      <c r="H27" s="14">
        <v>4.3108600000000003E-5</v>
      </c>
      <c r="I27">
        <v>3.2736899999999999E-4</v>
      </c>
      <c r="J27">
        <v>1.83091E-4</v>
      </c>
      <c r="K27" s="14">
        <v>6.5074100000000001E-5</v>
      </c>
      <c r="L27" s="14">
        <v>8.2451499999999995E-5</v>
      </c>
    </row>
    <row r="28" spans="1:12">
      <c r="A28" s="8" t="s">
        <v>153</v>
      </c>
      <c r="B28" s="8" t="s">
        <v>8</v>
      </c>
      <c r="C28" t="s">
        <v>86</v>
      </c>
      <c r="D28" s="14">
        <v>7.9656599999999999E-5</v>
      </c>
      <c r="E28" s="14">
        <v>1.35989E-5</v>
      </c>
      <c r="F28" s="14">
        <v>2.4494500000000001E-5</v>
      </c>
      <c r="G28">
        <v>1.7683299999999999E-4</v>
      </c>
      <c r="H28" s="14">
        <v>9.3927700000000005E-5</v>
      </c>
      <c r="I28" s="14">
        <v>9.9516200000000001E-5</v>
      </c>
      <c r="J28" s="14">
        <v>9.71765E-5</v>
      </c>
      <c r="K28" s="14">
        <v>8.0328900000000003E-5</v>
      </c>
      <c r="L28" s="14">
        <v>7.5021800000000001E-5</v>
      </c>
    </row>
    <row r="29" spans="1:12">
      <c r="A29" s="8" t="s">
        <v>159</v>
      </c>
      <c r="B29" s="8" t="s">
        <v>9</v>
      </c>
      <c r="C29" t="s">
        <v>86</v>
      </c>
      <c r="D29">
        <v>1.9435500000000001E-4</v>
      </c>
      <c r="E29">
        <v>5.4026200000000001E-4</v>
      </c>
      <c r="F29">
        <v>2.02697E-4</v>
      </c>
      <c r="G29">
        <v>8.7586900000000004E-4</v>
      </c>
      <c r="H29">
        <v>9.6911100000000004E-4</v>
      </c>
      <c r="I29">
        <v>1.222353E-3</v>
      </c>
      <c r="J29">
        <v>6.8151500000000005E-4</v>
      </c>
      <c r="K29">
        <v>4.2884900000000003E-4</v>
      </c>
      <c r="L29">
        <v>1.019657E-3</v>
      </c>
    </row>
    <row r="30" spans="1:12">
      <c r="A30" s="8" t="s">
        <v>155</v>
      </c>
      <c r="B30" s="8" t="s">
        <v>10</v>
      </c>
      <c r="C30" t="s">
        <v>86</v>
      </c>
      <c r="D30">
        <v>3.1094199999999998E-4</v>
      </c>
      <c r="E30" s="14">
        <v>1.06641E-5</v>
      </c>
      <c r="F30">
        <v>4.4340599999999998E-4</v>
      </c>
      <c r="G30">
        <v>4.5084299999999998E-4</v>
      </c>
      <c r="H30">
        <v>2.3543199999999999E-4</v>
      </c>
      <c r="I30">
        <v>2.8888399999999999E-4</v>
      </c>
      <c r="J30">
        <v>1.39901E-4</v>
      </c>
      <c r="K30">
        <v>2.24768E-4</v>
      </c>
      <c r="L30">
        <v>-1.5452200000000001E-4</v>
      </c>
    </row>
    <row r="31" spans="1:12">
      <c r="A31" s="8" t="s">
        <v>156</v>
      </c>
      <c r="B31" s="8" t="s">
        <v>11</v>
      </c>
      <c r="C31" t="s">
        <v>86</v>
      </c>
      <c r="D31">
        <v>1.6351899999999999E-4</v>
      </c>
      <c r="E31">
        <v>1.4883299999999999E-4</v>
      </c>
      <c r="F31">
        <v>8.4037100000000002E-4</v>
      </c>
      <c r="G31">
        <v>-2.0639500000000001E-4</v>
      </c>
      <c r="H31" s="14">
        <v>-1.52741E-5</v>
      </c>
      <c r="I31">
        <v>1.3274000000000001E-4</v>
      </c>
      <c r="J31">
        <v>-3.6991299999999998E-4</v>
      </c>
      <c r="K31">
        <v>-1.6410700000000001E-4</v>
      </c>
      <c r="L31">
        <v>-7.0763100000000002E-4</v>
      </c>
    </row>
    <row r="32" spans="1:12">
      <c r="A32" s="8" t="s">
        <v>157</v>
      </c>
      <c r="B32" s="8" t="s">
        <v>12</v>
      </c>
      <c r="C32" t="s">
        <v>86</v>
      </c>
      <c r="D32">
        <v>1.1952099999999999E-3</v>
      </c>
      <c r="E32">
        <v>7.4520800000000002E-4</v>
      </c>
      <c r="F32">
        <v>5.1208899999999997E-4</v>
      </c>
      <c r="G32">
        <v>1.80411E-4</v>
      </c>
      <c r="H32">
        <v>7.1675700000000005E-4</v>
      </c>
      <c r="I32">
        <v>5.4056299999999998E-4</v>
      </c>
      <c r="J32">
        <v>-1.014799E-3</v>
      </c>
      <c r="K32" s="14">
        <v>-2.8450899999999999E-5</v>
      </c>
      <c r="L32" s="14">
        <v>2.8474900000000001E-5</v>
      </c>
    </row>
    <row r="33" spans="1:12">
      <c r="A33" s="8" t="s">
        <v>158</v>
      </c>
      <c r="B33" s="8" t="s">
        <v>14</v>
      </c>
      <c r="C33" t="s">
        <v>86</v>
      </c>
      <c r="D33">
        <v>4.68861E-4</v>
      </c>
      <c r="E33">
        <v>2.7620900000000002E-4</v>
      </c>
      <c r="F33">
        <v>2.5979129999999999E-3</v>
      </c>
      <c r="G33" s="14">
        <v>-4.3784800000000001E-5</v>
      </c>
      <c r="H33" s="14">
        <v>-6.5489500000000004E-5</v>
      </c>
      <c r="I33">
        <v>-1.4253000000000001E-4</v>
      </c>
      <c r="J33">
        <v>-5.1264599999999996E-4</v>
      </c>
      <c r="K33">
        <v>-3.41699E-4</v>
      </c>
      <c r="L33">
        <v>-2.7404420000000001E-3</v>
      </c>
    </row>
    <row r="34" spans="1:12">
      <c r="A34" s="8" t="s">
        <v>160</v>
      </c>
      <c r="B34" s="8" t="s">
        <v>15</v>
      </c>
      <c r="C34" t="s">
        <v>86</v>
      </c>
      <c r="D34">
        <v>3.7544599999999998E-4</v>
      </c>
      <c r="E34">
        <v>1.6176299999999999E-4</v>
      </c>
      <c r="F34">
        <v>3.5004300000000002E-4</v>
      </c>
      <c r="G34">
        <v>1.36551E-4</v>
      </c>
      <c r="H34">
        <v>1.29185E-4</v>
      </c>
      <c r="I34">
        <v>1.6231500000000001E-4</v>
      </c>
      <c r="J34">
        <v>-2.3889500000000001E-4</v>
      </c>
      <c r="K34" s="14">
        <v>-3.2577899999999999E-5</v>
      </c>
      <c r="L34">
        <v>-1.87727E-4</v>
      </c>
    </row>
    <row r="35" spans="1:12">
      <c r="A35" s="8" t="s">
        <v>161</v>
      </c>
      <c r="B35" s="8" t="s">
        <v>16</v>
      </c>
      <c r="C35" t="s">
        <v>86</v>
      </c>
      <c r="D35">
        <v>1.4205649999999999E-3</v>
      </c>
      <c r="E35">
        <v>1.166065E-3</v>
      </c>
      <c r="F35">
        <v>1.017705E-3</v>
      </c>
      <c r="G35">
        <v>1.3616520000000001E-3</v>
      </c>
      <c r="H35">
        <v>1.301937E-3</v>
      </c>
      <c r="I35">
        <v>8.1535799999999997E-4</v>
      </c>
      <c r="J35" s="14">
        <v>-5.8913199999999997E-5</v>
      </c>
      <c r="K35">
        <v>1.3587199999999999E-4</v>
      </c>
      <c r="L35">
        <v>-2.0234699999999999E-4</v>
      </c>
    </row>
    <row r="36" spans="1:12">
      <c r="A36" s="8" t="s">
        <v>162</v>
      </c>
      <c r="B36" s="8" t="s">
        <v>17</v>
      </c>
      <c r="C36" t="s">
        <v>86</v>
      </c>
      <c r="D36">
        <v>1.3006739999999999E-3</v>
      </c>
      <c r="E36">
        <v>9.7428800000000002E-4</v>
      </c>
      <c r="F36">
        <v>1.9944899999999998E-3</v>
      </c>
      <c r="G36">
        <v>2.9003140000000002E-3</v>
      </c>
      <c r="H36">
        <v>2.17322E-3</v>
      </c>
      <c r="I36">
        <v>1.5329899999999999E-3</v>
      </c>
      <c r="J36">
        <v>1.5996389999999999E-3</v>
      </c>
      <c r="K36">
        <v>1.1989310000000001E-3</v>
      </c>
      <c r="L36">
        <v>-4.615E-4</v>
      </c>
    </row>
    <row r="37" spans="1:12">
      <c r="A37" s="8" t="s">
        <v>163</v>
      </c>
      <c r="B37" s="8" t="s">
        <v>23</v>
      </c>
      <c r="C37" t="s">
        <v>86</v>
      </c>
      <c r="D37">
        <v>1.31574E-4</v>
      </c>
      <c r="E37">
        <v>5.4359000000000005E-4</v>
      </c>
      <c r="F37" s="14">
        <v>6.4518799999999996E-5</v>
      </c>
      <c r="G37">
        <v>8.23685E-4</v>
      </c>
      <c r="H37">
        <v>1.0563549999999999E-3</v>
      </c>
      <c r="I37">
        <v>1.021765E-3</v>
      </c>
      <c r="J37">
        <v>6.9211100000000003E-4</v>
      </c>
      <c r="K37">
        <v>5.1276499999999999E-4</v>
      </c>
      <c r="L37">
        <v>9.5724600000000003E-4</v>
      </c>
    </row>
    <row r="38" spans="1:12">
      <c r="A38" s="8" t="s">
        <v>164</v>
      </c>
      <c r="B38" s="8" t="s">
        <v>18</v>
      </c>
      <c r="C38" t="s">
        <v>86</v>
      </c>
      <c r="D38">
        <v>2.9647799999999998E-4</v>
      </c>
      <c r="E38">
        <v>2.95867E-4</v>
      </c>
      <c r="F38">
        <v>2.8931569999999999E-3</v>
      </c>
      <c r="G38">
        <v>5.0671199999999998E-4</v>
      </c>
      <c r="H38">
        <v>3.1717200000000001E-4</v>
      </c>
      <c r="I38">
        <v>2.6169180000000002E-3</v>
      </c>
      <c r="J38">
        <v>2.1023400000000001E-4</v>
      </c>
      <c r="K38" s="14">
        <v>2.1304299999999999E-5</v>
      </c>
      <c r="L38">
        <v>-2.7623900000000001E-4</v>
      </c>
    </row>
    <row r="39" spans="1:12">
      <c r="A39" s="8" t="s">
        <v>168</v>
      </c>
      <c r="B39" s="8" t="s">
        <v>19</v>
      </c>
      <c r="C39" t="s">
        <v>86</v>
      </c>
      <c r="D39">
        <v>2.2101799999999999E-4</v>
      </c>
      <c r="E39">
        <v>4.79369E-4</v>
      </c>
      <c r="F39">
        <v>3.9940400000000001E-4</v>
      </c>
      <c r="G39">
        <v>1.9188300000000001E-4</v>
      </c>
      <c r="H39" s="14">
        <v>1.403E-5</v>
      </c>
      <c r="I39">
        <v>4.45284E-4</v>
      </c>
      <c r="J39" s="14">
        <v>-2.9135599999999999E-5</v>
      </c>
      <c r="K39">
        <v>-4.65339E-4</v>
      </c>
      <c r="L39" s="14">
        <v>4.5880000000000001E-5</v>
      </c>
    </row>
    <row r="40" spans="1:12">
      <c r="A40" s="8" t="s">
        <v>165</v>
      </c>
      <c r="B40" s="8" t="s">
        <v>20</v>
      </c>
      <c r="C40" t="s">
        <v>86</v>
      </c>
      <c r="D40" s="14">
        <v>8.4998800000000003E-5</v>
      </c>
      <c r="E40" s="14">
        <v>-4.1493299999999998E-5</v>
      </c>
      <c r="F40">
        <v>4.70383E-4</v>
      </c>
      <c r="G40">
        <v>2.1644500000000001E-4</v>
      </c>
      <c r="H40">
        <v>3.5489099999999997E-4</v>
      </c>
      <c r="I40">
        <v>9.6813400000000005E-4</v>
      </c>
      <c r="J40">
        <v>1.3144599999999999E-4</v>
      </c>
      <c r="K40">
        <v>3.9638400000000001E-4</v>
      </c>
      <c r="L40">
        <v>4.9775100000000005E-4</v>
      </c>
    </row>
    <row r="41" spans="1:12">
      <c r="A41" s="8" t="s">
        <v>166</v>
      </c>
      <c r="B41" s="8" t="s">
        <v>21</v>
      </c>
      <c r="C41" t="s">
        <v>86</v>
      </c>
      <c r="D41">
        <v>2.229E-4</v>
      </c>
      <c r="E41">
        <v>1.8649199999999999E-4</v>
      </c>
      <c r="F41" s="14">
        <v>7.5061099999999999E-5</v>
      </c>
      <c r="G41">
        <v>1.6071869999999999E-3</v>
      </c>
      <c r="H41">
        <v>2.085838E-3</v>
      </c>
      <c r="I41">
        <v>6.4197099999999997E-4</v>
      </c>
      <c r="J41">
        <v>1.3842870000000001E-3</v>
      </c>
      <c r="K41">
        <v>1.8993460000000001E-3</v>
      </c>
      <c r="L41">
        <v>5.6691000000000001E-4</v>
      </c>
    </row>
    <row r="42" spans="1:12">
      <c r="A42" s="8" t="s">
        <v>167</v>
      </c>
      <c r="B42" s="8" t="s">
        <v>22</v>
      </c>
      <c r="C42" t="s">
        <v>86</v>
      </c>
      <c r="D42">
        <v>8.3378399999999996E-4</v>
      </c>
      <c r="E42">
        <v>5.0500700000000003E-4</v>
      </c>
      <c r="F42">
        <v>-1.8545500000000001E-4</v>
      </c>
      <c r="G42">
        <v>3.73178E-4</v>
      </c>
      <c r="H42">
        <v>1.4272199999999999E-4</v>
      </c>
      <c r="I42">
        <v>2.3043E-4</v>
      </c>
      <c r="J42">
        <v>-4.6060600000000001E-4</v>
      </c>
      <c r="K42">
        <v>-3.6228500000000001E-4</v>
      </c>
      <c r="L42">
        <v>4.1588500000000001E-4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Demographics 24 Dyads</vt:lpstr>
      <vt:lpstr>Training Feasibility Survey</vt:lpstr>
      <vt:lpstr>Behaviors</vt:lpstr>
      <vt:lpstr>Cognition</vt:lpstr>
      <vt:lpstr>Neural_Corrected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Jaiswal, Satish</cp:lastModifiedBy>
  <dcterms:modified xsi:type="dcterms:W3CDTF">2025-12-12T19:32:48Z</dcterms:modified>
</cp:coreProperties>
</file>