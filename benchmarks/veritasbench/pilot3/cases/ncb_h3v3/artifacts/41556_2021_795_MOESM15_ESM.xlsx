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ipeiguo/Desktop/2020-12-31 Version/08-09-2021 Version/"/>
    </mc:Choice>
  </mc:AlternateContent>
  <xr:revisionPtr revIDLastSave="0" documentId="13_ncr:1_{F3833C0B-96AC-1841-B5A4-467156505272}" xr6:coauthVersionLast="47" xr6:coauthVersionMax="47" xr10:uidLastSave="{00000000-0000-0000-0000-000000000000}"/>
  <bookViews>
    <workbookView xWindow="1800" yWindow="460" windowWidth="17000" windowHeight="15380" xr2:uid="{D2263B75-B6DC-FA4B-A08A-66DA33A547D2}"/>
  </bookViews>
  <sheets>
    <sheet name="Extended Data Figure 6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9" i="13" l="1"/>
  <c r="H60" i="13"/>
  <c r="H61" i="13"/>
  <c r="H62" i="13"/>
  <c r="H63" i="13"/>
  <c r="H51" i="13"/>
  <c r="H52" i="13"/>
  <c r="H53" i="13"/>
  <c r="H54" i="13"/>
  <c r="H50" i="13"/>
  <c r="R30" i="13"/>
  <c r="R26" i="13"/>
</calcChain>
</file>

<file path=xl/sharedStrings.xml><?xml version="1.0" encoding="utf-8"?>
<sst xmlns="http://schemas.openxmlformats.org/spreadsheetml/2006/main" count="84" uniqueCount="39">
  <si>
    <t>LK</t>
  </si>
  <si>
    <t>CD16/32+ LKS</t>
  </si>
  <si>
    <t>KO</t>
  </si>
  <si>
    <t>WT</t>
  </si>
  <si>
    <t>CD16/32+ LKS cells</t>
  </si>
  <si>
    <t>%CD16/32/LK</t>
  </si>
  <si>
    <t xml:space="preserve">% CD16/32+/LKS </t>
  </si>
  <si>
    <t>CMPs</t>
  </si>
  <si>
    <t>GMPs</t>
  </si>
  <si>
    <t>MEPs</t>
  </si>
  <si>
    <t>Hirafl/fl</t>
  </si>
  <si>
    <t>HiraKO</t>
  </si>
  <si>
    <t>cre+ Hiraf/f</t>
  </si>
  <si>
    <t>H3.3 OE lineage cells</t>
  </si>
  <si>
    <t>total expanded cells</t>
  </si>
  <si>
    <t>CD16/32N LKS cells</t>
  </si>
  <si>
    <t>% cells</t>
  </si>
  <si>
    <t>Cell number CD16/32N LKS cells</t>
  </si>
  <si>
    <t>WT+H3.3</t>
  </si>
  <si>
    <t>KO+H3.3</t>
  </si>
  <si>
    <t>% CD11b+Gr1+</t>
  </si>
  <si>
    <t>% B220+</t>
  </si>
  <si>
    <t>% CD11b-Gr1+</t>
  </si>
  <si>
    <t>% CD11b+Gr1-</t>
  </si>
  <si>
    <t>Hiraf/f</t>
  </si>
  <si>
    <t>%CD11b+Gr1+</t>
  </si>
  <si>
    <t>% CD41+</t>
  </si>
  <si>
    <t># B220+</t>
  </si>
  <si>
    <t># CD11b+Gr1+</t>
  </si>
  <si>
    <t># CD11b+Gr1-</t>
  </si>
  <si>
    <t>#CD41+</t>
  </si>
  <si>
    <t>Cell number (X1000)</t>
  </si>
  <si>
    <t>6b</t>
  </si>
  <si>
    <t>6d</t>
  </si>
  <si>
    <t>6e</t>
  </si>
  <si>
    <t>6f</t>
  </si>
  <si>
    <t>6h</t>
  </si>
  <si>
    <t>6j</t>
  </si>
  <si>
    <t>6k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</si>
</sst>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5" fillId="0" borderId="0" xfId="0" applyFont="1" applyAlignment="1">
      <alignment horizontal="left"/>
    </xf>
    <xf numFmtId="0" fontId="5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0" xfId="0" applyFont="1" applyBorder="1"/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00F16-E6D4-5543-8EBC-C66002E195AA}">
  <dimension ref="A3:X78"/>
  <sheetViews>
    <sheetView tabSelected="1" topLeftCell="A48" workbookViewId="0">
      <selection activeCell="H58" sqref="H58"/>
    </sheetView>
  </sheetViews>
  <sheetFormatPr baseColWidth="10" defaultRowHeight="14" x14ac:dyDescent="0.15"/>
  <cols>
    <col min="1" max="1" width="20.1640625" style="3" bestFit="1" customWidth="1"/>
    <col min="2" max="6" width="10.83203125" style="3"/>
    <col min="7" max="7" width="14.83203125" style="3" customWidth="1"/>
    <col min="8" max="13" width="10.83203125" style="3"/>
    <col min="14" max="14" width="15.5" style="3" customWidth="1"/>
    <col min="15" max="16384" width="10.83203125" style="3"/>
  </cols>
  <sheetData>
    <row r="3" spans="1:7" x14ac:dyDescent="0.15">
      <c r="A3" s="6" t="s">
        <v>32</v>
      </c>
      <c r="B3" s="6"/>
      <c r="C3" s="6"/>
      <c r="D3" s="6"/>
      <c r="E3" s="6"/>
      <c r="F3" s="6"/>
    </row>
    <row r="4" spans="1:7" x14ac:dyDescent="0.15">
      <c r="A4" s="4" t="s">
        <v>5</v>
      </c>
      <c r="B4" s="11" t="s">
        <v>2</v>
      </c>
      <c r="C4" s="11"/>
      <c r="D4" s="11"/>
      <c r="E4" s="11" t="s">
        <v>3</v>
      </c>
      <c r="F4" s="11"/>
      <c r="G4" s="11"/>
    </row>
    <row r="5" spans="1:7" x14ac:dyDescent="0.15">
      <c r="A5" s="4">
        <v>-5</v>
      </c>
      <c r="B5" s="5">
        <v>14</v>
      </c>
      <c r="C5" s="5">
        <v>19.3</v>
      </c>
      <c r="D5" s="5">
        <v>19.899999999999999</v>
      </c>
      <c r="E5" s="5">
        <v>23.9</v>
      </c>
      <c r="F5" s="5">
        <v>9.09</v>
      </c>
      <c r="G5" s="5">
        <v>15</v>
      </c>
    </row>
    <row r="6" spans="1:7" x14ac:dyDescent="0.15">
      <c r="A6" s="4">
        <v>0</v>
      </c>
      <c r="B6" s="5">
        <v>42.2</v>
      </c>
      <c r="C6" s="5">
        <v>38.9</v>
      </c>
      <c r="D6" s="5">
        <v>40.1</v>
      </c>
      <c r="E6" s="5">
        <v>45.6</v>
      </c>
      <c r="F6" s="5">
        <v>42.5</v>
      </c>
      <c r="G6" s="5">
        <v>45.6</v>
      </c>
    </row>
    <row r="7" spans="1:7" x14ac:dyDescent="0.15">
      <c r="A7" s="4">
        <v>4</v>
      </c>
      <c r="B7" s="5">
        <v>61.9</v>
      </c>
      <c r="C7" s="5">
        <v>70.5</v>
      </c>
      <c r="D7" s="5">
        <v>59.4</v>
      </c>
      <c r="E7" s="5">
        <v>51.4</v>
      </c>
      <c r="F7" s="5">
        <v>57.3</v>
      </c>
      <c r="G7" s="5">
        <v>55.1</v>
      </c>
    </row>
    <row r="8" spans="1:7" x14ac:dyDescent="0.15">
      <c r="A8" s="4">
        <v>8</v>
      </c>
      <c r="B8" s="5">
        <v>94</v>
      </c>
      <c r="C8" s="5">
        <v>94.5</v>
      </c>
      <c r="D8" s="5">
        <v>93.6</v>
      </c>
      <c r="E8" s="5">
        <v>67.3</v>
      </c>
      <c r="F8" s="5">
        <v>68</v>
      </c>
      <c r="G8" s="5">
        <v>50</v>
      </c>
    </row>
    <row r="11" spans="1:7" x14ac:dyDescent="0.15">
      <c r="A11" s="4" t="s">
        <v>6</v>
      </c>
      <c r="B11" s="10" t="s">
        <v>2</v>
      </c>
      <c r="C11" s="10"/>
      <c r="D11" s="10"/>
      <c r="E11" s="10" t="s">
        <v>3</v>
      </c>
      <c r="F11" s="10"/>
      <c r="G11" s="10"/>
    </row>
    <row r="12" spans="1:7" x14ac:dyDescent="0.15">
      <c r="A12" s="4">
        <v>-5</v>
      </c>
      <c r="B12" s="5">
        <v>8.27</v>
      </c>
      <c r="C12" s="5">
        <v>10.9</v>
      </c>
      <c r="D12" s="5">
        <v>8.6199999999999992</v>
      </c>
      <c r="E12" s="5">
        <v>17</v>
      </c>
      <c r="F12" s="5">
        <v>19.100000000000001</v>
      </c>
      <c r="G12" s="5">
        <v>16.55</v>
      </c>
    </row>
    <row r="13" spans="1:7" x14ac:dyDescent="0.15">
      <c r="A13" s="4">
        <v>0</v>
      </c>
      <c r="B13" s="5">
        <v>3.2</v>
      </c>
      <c r="C13" s="5">
        <v>2.69</v>
      </c>
      <c r="D13" s="5">
        <v>3.89</v>
      </c>
      <c r="E13" s="5">
        <v>5.22</v>
      </c>
      <c r="F13" s="5">
        <v>6.43</v>
      </c>
      <c r="G13" s="5">
        <v>3.7</v>
      </c>
    </row>
    <row r="14" spans="1:7" x14ac:dyDescent="0.15">
      <c r="A14" s="4">
        <v>4</v>
      </c>
      <c r="B14" s="5">
        <v>71.5</v>
      </c>
      <c r="C14" s="5">
        <v>76.400000000000006</v>
      </c>
      <c r="D14" s="5">
        <v>70.8</v>
      </c>
      <c r="E14" s="5">
        <v>19.399999999999999</v>
      </c>
      <c r="F14" s="5">
        <v>20.9</v>
      </c>
      <c r="G14" s="5">
        <v>14.5</v>
      </c>
    </row>
    <row r="15" spans="1:7" x14ac:dyDescent="0.15">
      <c r="A15" s="4">
        <v>8</v>
      </c>
      <c r="B15" s="5">
        <v>92.8</v>
      </c>
      <c r="C15" s="5">
        <v>93.5</v>
      </c>
      <c r="D15" s="5">
        <v>94.6</v>
      </c>
      <c r="E15" s="5">
        <v>27.3</v>
      </c>
      <c r="F15" s="5">
        <v>32.200000000000003</v>
      </c>
      <c r="G15" s="5">
        <v>22.8</v>
      </c>
    </row>
    <row r="17" spans="1:18" x14ac:dyDescent="0.15">
      <c r="A17" s="8" t="s">
        <v>4</v>
      </c>
      <c r="B17" s="10" t="s">
        <v>2</v>
      </c>
      <c r="C17" s="10"/>
      <c r="D17" s="10"/>
      <c r="E17" s="10" t="s">
        <v>3</v>
      </c>
      <c r="F17" s="10"/>
      <c r="G17" s="10"/>
    </row>
    <row r="18" spans="1:18" x14ac:dyDescent="0.15">
      <c r="A18" s="4">
        <v>-5</v>
      </c>
      <c r="B18" s="5">
        <v>389.517</v>
      </c>
      <c r="C18" s="5">
        <v>521.56500000000005</v>
      </c>
      <c r="D18" s="5">
        <v>501.68400000000003</v>
      </c>
      <c r="E18" s="5">
        <v>397.8</v>
      </c>
      <c r="F18" s="5">
        <v>335.20499999999998</v>
      </c>
      <c r="G18" s="5">
        <v>222.18375</v>
      </c>
    </row>
    <row r="19" spans="1:18" x14ac:dyDescent="0.15">
      <c r="A19" s="4">
        <v>0</v>
      </c>
      <c r="B19" s="5">
        <v>2567.0536929999998</v>
      </c>
      <c r="C19" s="5">
        <v>1245.8640170000001</v>
      </c>
      <c r="D19" s="5">
        <v>1775.885677</v>
      </c>
      <c r="E19" s="5">
        <v>958.69188199999996</v>
      </c>
      <c r="F19" s="5">
        <v>2237.858651</v>
      </c>
      <c r="G19" s="5">
        <v>1035.306738</v>
      </c>
    </row>
    <row r="20" spans="1:18" x14ac:dyDescent="0.15">
      <c r="A20" s="4">
        <v>4</v>
      </c>
      <c r="B20" s="5">
        <v>268085.761</v>
      </c>
      <c r="C20" s="5">
        <v>222204.266</v>
      </c>
      <c r="D20" s="5">
        <v>300718.04399999999</v>
      </c>
      <c r="E20" s="5">
        <v>24581.817599999998</v>
      </c>
      <c r="F20" s="5">
        <v>30020.2634</v>
      </c>
      <c r="G20" s="5">
        <v>25690.665000000001</v>
      </c>
    </row>
    <row r="21" spans="1:18" x14ac:dyDescent="0.15">
      <c r="A21" s="4">
        <v>8</v>
      </c>
      <c r="B21" s="5">
        <v>457753.63199999998</v>
      </c>
      <c r="C21" s="5">
        <v>461155.46399999998</v>
      </c>
      <c r="D21" s="5">
        <v>513974.96799999999</v>
      </c>
      <c r="E21" s="5">
        <v>42911.996400000004</v>
      </c>
      <c r="F21" s="5">
        <v>54075.288999999997</v>
      </c>
      <c r="G21" s="5">
        <v>98087.036399999997</v>
      </c>
    </row>
    <row r="23" spans="1:18" x14ac:dyDescent="0.15">
      <c r="A23" s="6" t="s">
        <v>33</v>
      </c>
    </row>
    <row r="24" spans="1:18" ht="15" thickBot="1" x14ac:dyDescent="0.2">
      <c r="A24" s="3" t="s">
        <v>13</v>
      </c>
    </row>
    <row r="25" spans="1:18" ht="16" x14ac:dyDescent="0.2">
      <c r="B25" s="12" t="s">
        <v>3</v>
      </c>
      <c r="C25" s="13"/>
      <c r="D25" s="13"/>
      <c r="E25" s="14"/>
      <c r="F25" s="12" t="s">
        <v>18</v>
      </c>
      <c r="G25" s="13"/>
      <c r="H25" s="13"/>
      <c r="I25" s="14"/>
      <c r="J25" s="12" t="s">
        <v>2</v>
      </c>
      <c r="K25" s="13"/>
      <c r="L25" s="13"/>
      <c r="M25" s="14"/>
      <c r="N25" s="12" t="s">
        <v>19</v>
      </c>
      <c r="O25" s="13"/>
      <c r="P25" s="13"/>
      <c r="Q25" s="14"/>
    </row>
    <row r="26" spans="1:18" ht="17" thickBot="1" x14ac:dyDescent="0.25">
      <c r="A26" s="3" t="s">
        <v>20</v>
      </c>
      <c r="B26" s="15">
        <v>70</v>
      </c>
      <c r="C26" s="16">
        <v>88.5</v>
      </c>
      <c r="D26" s="16"/>
      <c r="E26" s="17"/>
      <c r="F26" s="15">
        <v>89.4</v>
      </c>
      <c r="G26" s="16">
        <v>72.5</v>
      </c>
      <c r="H26" s="16"/>
      <c r="I26" s="17"/>
      <c r="J26" s="15">
        <v>73.7</v>
      </c>
      <c r="K26" s="16">
        <v>77.3</v>
      </c>
      <c r="L26" s="16">
        <v>80.400000000000006</v>
      </c>
      <c r="M26" s="17">
        <v>79.599999999999994</v>
      </c>
      <c r="N26" s="15">
        <v>42.7</v>
      </c>
      <c r="O26" s="16">
        <v>8.35</v>
      </c>
      <c r="P26" s="16"/>
      <c r="Q26" s="17"/>
      <c r="R26" s="3">
        <f>TTEST(J26:M26,N26:O26,2,2)</f>
        <v>8.3064653583589543E-3</v>
      </c>
    </row>
    <row r="27" spans="1:18" ht="16" x14ac:dyDescent="0.2">
      <c r="B27" s="9" t="s">
        <v>18</v>
      </c>
      <c r="C27" s="9"/>
      <c r="D27" s="9"/>
      <c r="E27" s="9"/>
      <c r="F27" s="9" t="s">
        <v>2</v>
      </c>
      <c r="G27" s="9"/>
      <c r="H27" s="9"/>
      <c r="I27" s="9"/>
      <c r="J27" s="9" t="s">
        <v>19</v>
      </c>
      <c r="K27" s="9"/>
      <c r="L27" s="9"/>
      <c r="M27" s="9"/>
    </row>
    <row r="28" spans="1:18" ht="16" x14ac:dyDescent="0.2">
      <c r="A28" s="3" t="s">
        <v>21</v>
      </c>
      <c r="B28" s="1">
        <v>0</v>
      </c>
      <c r="C28" s="1">
        <v>0</v>
      </c>
      <c r="D28" s="1"/>
      <c r="E28" s="1"/>
      <c r="F28" s="1">
        <v>1.4400000000000001E-3</v>
      </c>
      <c r="G28" s="1">
        <v>5.8500000000000002E-4</v>
      </c>
      <c r="H28" s="1">
        <v>0</v>
      </c>
      <c r="I28" s="1">
        <v>1.1299999999999999E-3</v>
      </c>
      <c r="J28" s="1">
        <v>0.1</v>
      </c>
      <c r="K28" s="1">
        <v>0</v>
      </c>
      <c r="L28" s="1"/>
      <c r="M28" s="1"/>
    </row>
    <row r="29" spans="1:18" ht="16" x14ac:dyDescent="0.2">
      <c r="B29" s="9" t="s">
        <v>3</v>
      </c>
      <c r="C29" s="9"/>
      <c r="D29" s="9"/>
      <c r="E29" s="9"/>
      <c r="F29" s="9" t="s">
        <v>18</v>
      </c>
      <c r="G29" s="9"/>
      <c r="H29" s="9"/>
      <c r="I29" s="9"/>
      <c r="J29" s="9" t="s">
        <v>2</v>
      </c>
      <c r="K29" s="9"/>
      <c r="L29" s="9"/>
      <c r="M29" s="9"/>
      <c r="N29" s="9" t="s">
        <v>19</v>
      </c>
      <c r="O29" s="9"/>
      <c r="P29" s="9"/>
      <c r="Q29" s="9"/>
    </row>
    <row r="30" spans="1:18" ht="16" x14ac:dyDescent="0.2">
      <c r="A30" s="3" t="s">
        <v>22</v>
      </c>
      <c r="B30" s="1">
        <v>9.5399999999999991</v>
      </c>
      <c r="C30" s="1">
        <v>11.8</v>
      </c>
      <c r="D30" s="1">
        <v>3.65</v>
      </c>
      <c r="E30" s="1"/>
      <c r="F30" s="1">
        <v>0</v>
      </c>
      <c r="G30" s="1">
        <v>13.8</v>
      </c>
      <c r="H30" s="1"/>
      <c r="I30" s="1"/>
      <c r="J30" s="1">
        <v>12.1</v>
      </c>
      <c r="K30" s="1">
        <v>11.4</v>
      </c>
      <c r="L30" s="1">
        <v>7.95</v>
      </c>
      <c r="M30" s="1">
        <v>6.69</v>
      </c>
      <c r="N30" s="1">
        <v>22.8</v>
      </c>
      <c r="O30" s="1">
        <v>30.9</v>
      </c>
      <c r="P30" s="1"/>
      <c r="Q30" s="1"/>
      <c r="R30" s="3">
        <f t="shared" ref="R27:R31" si="0">TTEST(J30:M30,N30:O30,2,2)</f>
        <v>5.4394830042517311E-3</v>
      </c>
    </row>
    <row r="31" spans="1:18" ht="16" x14ac:dyDescent="0.2">
      <c r="B31" s="9" t="s">
        <v>3</v>
      </c>
      <c r="C31" s="9"/>
      <c r="D31" s="9"/>
      <c r="E31" s="9"/>
      <c r="F31" s="9" t="s">
        <v>18</v>
      </c>
      <c r="G31" s="9"/>
      <c r="H31" s="9"/>
      <c r="I31" s="9"/>
      <c r="J31" s="9" t="s">
        <v>2</v>
      </c>
      <c r="K31" s="9"/>
      <c r="L31" s="9"/>
      <c r="M31" s="9"/>
      <c r="N31" s="9" t="s">
        <v>19</v>
      </c>
      <c r="O31" s="9"/>
      <c r="P31" s="9"/>
      <c r="Q31" s="9"/>
    </row>
    <row r="32" spans="1:18" ht="16" x14ac:dyDescent="0.2">
      <c r="A32" s="3" t="s">
        <v>23</v>
      </c>
      <c r="B32" s="1">
        <v>21.9</v>
      </c>
      <c r="C32" s="1">
        <v>7.61</v>
      </c>
      <c r="D32" s="1"/>
      <c r="E32" s="1"/>
      <c r="F32" s="1">
        <v>4.26</v>
      </c>
      <c r="G32" s="1">
        <v>2.5</v>
      </c>
      <c r="H32" s="1"/>
      <c r="I32" s="1"/>
      <c r="J32" s="1">
        <v>5.8999999999999997E-2</v>
      </c>
      <c r="K32" s="1">
        <v>2.4E-2</v>
      </c>
      <c r="L32" s="1">
        <v>6.3E-2</v>
      </c>
      <c r="M32" s="1">
        <v>4.9000000000000002E-2</v>
      </c>
      <c r="N32" s="1">
        <v>6.2E-2</v>
      </c>
      <c r="O32" s="1">
        <v>0</v>
      </c>
      <c r="P32" s="1"/>
      <c r="Q32" s="1"/>
    </row>
    <row r="33" spans="1:17" ht="16" x14ac:dyDescent="0.2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15">
      <c r="A34" s="6" t="s">
        <v>34</v>
      </c>
    </row>
    <row r="35" spans="1:17" ht="16" x14ac:dyDescent="0.2">
      <c r="A35" s="3" t="s">
        <v>14</v>
      </c>
      <c r="B35" s="9" t="s">
        <v>24</v>
      </c>
      <c r="C35" s="9"/>
      <c r="D35" s="9" t="s">
        <v>12</v>
      </c>
      <c r="E35" s="9"/>
    </row>
    <row r="36" spans="1:17" ht="16" x14ac:dyDescent="0.2">
      <c r="A36" s="2">
        <v>-6</v>
      </c>
      <c r="B36" s="1">
        <v>10040</v>
      </c>
      <c r="C36" s="1">
        <v>10040</v>
      </c>
      <c r="D36" s="1">
        <v>10000</v>
      </c>
      <c r="E36" s="1">
        <v>10000</v>
      </c>
    </row>
    <row r="37" spans="1:17" ht="16" x14ac:dyDescent="0.2">
      <c r="A37" s="2">
        <v>1</v>
      </c>
      <c r="B37" s="1">
        <v>1289554</v>
      </c>
      <c r="C37" s="1">
        <v>1025114</v>
      </c>
      <c r="D37" s="1">
        <v>1405603</v>
      </c>
      <c r="E37" s="1">
        <v>1141911</v>
      </c>
    </row>
    <row r="38" spans="1:17" ht="16" x14ac:dyDescent="0.2">
      <c r="A38" s="2">
        <v>4</v>
      </c>
      <c r="B38" s="1">
        <v>1853879</v>
      </c>
      <c r="C38" s="1">
        <v>2037530</v>
      </c>
      <c r="D38" s="1">
        <v>1271196</v>
      </c>
      <c r="E38" s="1">
        <v>1249840</v>
      </c>
    </row>
    <row r="39" spans="1:17" ht="16" x14ac:dyDescent="0.2">
      <c r="A39" s="2">
        <v>8</v>
      </c>
      <c r="B39" s="1">
        <v>2433854</v>
      </c>
      <c r="C39" s="1">
        <v>2433854</v>
      </c>
      <c r="D39" s="1">
        <v>1022065</v>
      </c>
      <c r="E39" s="1">
        <v>962234.8</v>
      </c>
    </row>
    <row r="41" spans="1:17" x14ac:dyDescent="0.15">
      <c r="A41" s="6" t="s">
        <v>35</v>
      </c>
    </row>
    <row r="42" spans="1:17" ht="16" x14ac:dyDescent="0.2">
      <c r="A42" s="3" t="s">
        <v>15</v>
      </c>
      <c r="B42" s="9" t="s">
        <v>24</v>
      </c>
      <c r="C42" s="9"/>
      <c r="D42" s="9" t="s">
        <v>12</v>
      </c>
      <c r="E42" s="9"/>
    </row>
    <row r="43" spans="1:17" ht="16" x14ac:dyDescent="0.2">
      <c r="A43" s="2">
        <v>-6</v>
      </c>
      <c r="B43" s="1">
        <v>10040</v>
      </c>
      <c r="C43" s="1">
        <v>10040</v>
      </c>
      <c r="D43" s="1">
        <v>10000</v>
      </c>
      <c r="E43" s="1">
        <v>10000</v>
      </c>
    </row>
    <row r="44" spans="1:17" ht="16" x14ac:dyDescent="0.2">
      <c r="A44" s="2">
        <v>1</v>
      </c>
      <c r="B44" s="1">
        <v>108374.1</v>
      </c>
      <c r="C44" s="1">
        <v>87161.35</v>
      </c>
      <c r="D44" s="1">
        <v>136737</v>
      </c>
      <c r="E44" s="1">
        <v>101680.3</v>
      </c>
    </row>
    <row r="45" spans="1:17" ht="16" x14ac:dyDescent="0.2">
      <c r="A45" s="2">
        <v>4</v>
      </c>
      <c r="B45" s="1">
        <v>179826.2</v>
      </c>
      <c r="C45" s="1">
        <v>176097.6</v>
      </c>
      <c r="D45" s="1">
        <v>170279.3</v>
      </c>
      <c r="E45" s="1">
        <v>183044.1</v>
      </c>
    </row>
    <row r="46" spans="1:17" ht="16" x14ac:dyDescent="0.2">
      <c r="A46" s="2">
        <v>8</v>
      </c>
      <c r="B46" s="1"/>
      <c r="C46" s="1">
        <v>565381.80000000005</v>
      </c>
      <c r="D46" s="1">
        <v>354375.4</v>
      </c>
      <c r="E46" s="1">
        <v>315617.8</v>
      </c>
    </row>
    <row r="48" spans="1:17" ht="15" thickBot="1" x14ac:dyDescent="0.2">
      <c r="A48" s="6" t="s">
        <v>36</v>
      </c>
    </row>
    <row r="49" spans="1:8" ht="16" x14ac:dyDescent="0.2">
      <c r="A49" s="7" t="s">
        <v>16</v>
      </c>
      <c r="B49" s="12" t="s">
        <v>10</v>
      </c>
      <c r="C49" s="13"/>
      <c r="D49" s="14"/>
      <c r="E49" s="12" t="s">
        <v>11</v>
      </c>
      <c r="F49" s="13"/>
      <c r="G49" s="14"/>
    </row>
    <row r="50" spans="1:8" ht="16" x14ac:dyDescent="0.2">
      <c r="A50" s="2" t="s">
        <v>0</v>
      </c>
      <c r="B50" s="18">
        <v>23.7</v>
      </c>
      <c r="C50" s="19">
        <v>22.6</v>
      </c>
      <c r="D50" s="20">
        <v>21</v>
      </c>
      <c r="E50" s="18">
        <v>14.1</v>
      </c>
      <c r="F50" s="19">
        <v>12.8</v>
      </c>
      <c r="G50" s="20">
        <v>13</v>
      </c>
      <c r="H50" s="3">
        <f>TTEST(B50:D50,E50:G50,2,2)</f>
        <v>4.9070518070527618E-4</v>
      </c>
    </row>
    <row r="51" spans="1:8" ht="16" x14ac:dyDescent="0.2">
      <c r="A51" s="2" t="s">
        <v>7</v>
      </c>
      <c r="B51" s="18">
        <v>38.299999999999997</v>
      </c>
      <c r="C51" s="19">
        <v>33.799999999999997</v>
      </c>
      <c r="D51" s="20">
        <v>32</v>
      </c>
      <c r="E51" s="18">
        <v>21.1</v>
      </c>
      <c r="F51" s="19">
        <v>21.3</v>
      </c>
      <c r="G51" s="20">
        <v>22</v>
      </c>
      <c r="H51" s="3">
        <f t="shared" ref="H51:H63" si="1">TTEST(B51:D51,E51:G51,2,2)</f>
        <v>2.2042631591578303E-3</v>
      </c>
    </row>
    <row r="52" spans="1:8" ht="16" x14ac:dyDescent="0.2">
      <c r="A52" s="2" t="s">
        <v>8</v>
      </c>
      <c r="B52" s="18">
        <v>32</v>
      </c>
      <c r="C52" s="19">
        <v>27.8</v>
      </c>
      <c r="D52" s="20">
        <v>30.6</v>
      </c>
      <c r="E52" s="18">
        <v>59</v>
      </c>
      <c r="F52" s="19">
        <v>58.7</v>
      </c>
      <c r="G52" s="20">
        <v>57</v>
      </c>
      <c r="H52" s="3">
        <f t="shared" si="1"/>
        <v>3.4627680903567415E-5</v>
      </c>
    </row>
    <row r="53" spans="1:8" ht="16" x14ac:dyDescent="0.2">
      <c r="A53" s="2" t="s">
        <v>9</v>
      </c>
      <c r="B53" s="18">
        <v>19.3</v>
      </c>
      <c r="C53" s="19">
        <v>19.2</v>
      </c>
      <c r="D53" s="20">
        <v>18</v>
      </c>
      <c r="E53" s="18">
        <v>7.84</v>
      </c>
      <c r="F53" s="19">
        <v>7.7</v>
      </c>
      <c r="G53" s="20">
        <v>7.5</v>
      </c>
      <c r="H53" s="3">
        <f t="shared" si="1"/>
        <v>1.3023641084224403E-5</v>
      </c>
    </row>
    <row r="54" spans="1:8" ht="17" thickBot="1" x14ac:dyDescent="0.25">
      <c r="A54" s="2" t="s">
        <v>1</v>
      </c>
      <c r="B54" s="15">
        <v>28.8</v>
      </c>
      <c r="C54" s="16">
        <v>34.6</v>
      </c>
      <c r="D54" s="17">
        <v>33</v>
      </c>
      <c r="E54" s="15">
        <v>61.1</v>
      </c>
      <c r="F54" s="16">
        <v>58.7</v>
      </c>
      <c r="G54" s="17">
        <v>60</v>
      </c>
      <c r="H54" s="3">
        <f t="shared" si="1"/>
        <v>1.1756817947524612E-4</v>
      </c>
    </row>
    <row r="57" spans="1:8" x14ac:dyDescent="0.15">
      <c r="A57" s="6" t="s">
        <v>36</v>
      </c>
    </row>
    <row r="58" spans="1:8" ht="16" x14ac:dyDescent="0.2">
      <c r="A58" s="3" t="s">
        <v>17</v>
      </c>
      <c r="B58" s="9" t="s">
        <v>10</v>
      </c>
      <c r="C58" s="9"/>
      <c r="D58" s="9"/>
      <c r="E58" s="9" t="s">
        <v>11</v>
      </c>
      <c r="F58" s="9"/>
      <c r="G58" s="9"/>
    </row>
    <row r="59" spans="1:8" ht="16" x14ac:dyDescent="0.2">
      <c r="A59" s="2" t="s">
        <v>0</v>
      </c>
      <c r="B59" s="1">
        <v>30590.202300000001</v>
      </c>
      <c r="C59" s="1">
        <v>28706.6836</v>
      </c>
      <c r="D59" s="1">
        <v>22297.964599999999</v>
      </c>
      <c r="E59" s="1">
        <v>10719.516900000001</v>
      </c>
      <c r="F59" s="1">
        <v>10019.0108</v>
      </c>
      <c r="G59" s="1">
        <v>10773.6296</v>
      </c>
      <c r="H59" s="3">
        <f t="shared" si="1"/>
        <v>2.6989777622111709E-3</v>
      </c>
    </row>
    <row r="60" spans="1:8" ht="16" x14ac:dyDescent="0.2">
      <c r="A60" s="2" t="s">
        <v>7</v>
      </c>
      <c r="B60" s="1">
        <v>11716.047500000001</v>
      </c>
      <c r="C60" s="1">
        <v>9702.8590499999991</v>
      </c>
      <c r="D60" s="1">
        <v>7135.3486700000003</v>
      </c>
      <c r="E60" s="1">
        <v>2261.8180699999998</v>
      </c>
      <c r="F60" s="1">
        <v>2134.0493000000001</v>
      </c>
      <c r="G60" s="1">
        <v>2370.1985100000002</v>
      </c>
      <c r="H60" s="3">
        <f t="shared" si="1"/>
        <v>5.4280048102362801E-3</v>
      </c>
    </row>
    <row r="61" spans="1:8" ht="16" x14ac:dyDescent="0.2">
      <c r="A61" s="2" t="s">
        <v>8</v>
      </c>
      <c r="B61" s="1">
        <v>8504.0762350000005</v>
      </c>
      <c r="C61" s="1">
        <v>8784.245175</v>
      </c>
      <c r="D61" s="1">
        <v>7135.3486679999996</v>
      </c>
      <c r="E61" s="1">
        <v>6324.514983</v>
      </c>
      <c r="F61" s="1">
        <v>5881.1593359999997</v>
      </c>
      <c r="G61" s="1">
        <v>6140.9688729999998</v>
      </c>
      <c r="H61" s="3">
        <f t="shared" si="1"/>
        <v>1.8215340947944761E-2</v>
      </c>
    </row>
    <row r="62" spans="1:8" ht="16" x14ac:dyDescent="0.2">
      <c r="A62" s="2" t="s">
        <v>9</v>
      </c>
      <c r="B62" s="1">
        <v>5903.9090409999999</v>
      </c>
      <c r="C62" s="1">
        <v>5511.6832469999999</v>
      </c>
      <c r="D62" s="1">
        <v>4013.6336259999998</v>
      </c>
      <c r="E62" s="1">
        <v>840.41012660000001</v>
      </c>
      <c r="F62" s="1">
        <v>771.46383109999999</v>
      </c>
      <c r="G62" s="1">
        <v>808.02222010000003</v>
      </c>
      <c r="H62" s="3">
        <f t="shared" si="1"/>
        <v>1.6700980461338388E-3</v>
      </c>
    </row>
    <row r="63" spans="1:8" ht="16" x14ac:dyDescent="0.2">
      <c r="A63" s="2" t="s">
        <v>1</v>
      </c>
      <c r="B63" s="1">
        <v>6691.12273</v>
      </c>
      <c r="C63" s="1">
        <v>9009.5799399999996</v>
      </c>
      <c r="D63" s="1">
        <v>7358.3283099999999</v>
      </c>
      <c r="E63" s="1">
        <v>12541.834800000001</v>
      </c>
      <c r="F63" s="1">
        <v>13048.8223</v>
      </c>
      <c r="G63" s="1">
        <v>13922.8444</v>
      </c>
      <c r="H63" s="3">
        <f t="shared" si="1"/>
        <v>2.352235657188445E-3</v>
      </c>
    </row>
    <row r="66" spans="1:24" x14ac:dyDescent="0.15">
      <c r="A66" s="6" t="s">
        <v>37</v>
      </c>
    </row>
    <row r="68" spans="1:24" ht="16" x14ac:dyDescent="0.2">
      <c r="A68" s="7" t="s">
        <v>21</v>
      </c>
      <c r="B68" s="9" t="s">
        <v>24</v>
      </c>
      <c r="C68" s="9"/>
      <c r="D68" s="9" t="s">
        <v>12</v>
      </c>
      <c r="E68" s="9"/>
      <c r="G68" s="2" t="s">
        <v>23</v>
      </c>
      <c r="H68" s="9" t="s">
        <v>24</v>
      </c>
      <c r="I68" s="9"/>
      <c r="J68" s="9" t="s">
        <v>12</v>
      </c>
      <c r="K68" s="9"/>
      <c r="N68" s="2" t="s">
        <v>25</v>
      </c>
      <c r="O68" s="9" t="s">
        <v>24</v>
      </c>
      <c r="P68" s="9"/>
      <c r="Q68" s="9" t="s">
        <v>12</v>
      </c>
      <c r="R68" s="9"/>
      <c r="T68" s="7" t="s">
        <v>26</v>
      </c>
      <c r="U68" s="9" t="s">
        <v>24</v>
      </c>
      <c r="V68" s="9"/>
      <c r="W68" s="9" t="s">
        <v>12</v>
      </c>
      <c r="X68" s="9"/>
    </row>
    <row r="69" spans="1:24" ht="16" x14ac:dyDescent="0.2">
      <c r="A69" s="2">
        <v>1</v>
      </c>
      <c r="B69" s="1">
        <v>12.3</v>
      </c>
      <c r="C69" s="1">
        <v>13.2</v>
      </c>
      <c r="D69" s="1">
        <v>13.6</v>
      </c>
      <c r="E69" s="1">
        <v>13.9</v>
      </c>
      <c r="G69" s="2">
        <v>1</v>
      </c>
      <c r="H69" s="1">
        <v>26.2</v>
      </c>
      <c r="I69" s="1">
        <v>26.3</v>
      </c>
      <c r="J69" s="1">
        <v>28.1</v>
      </c>
      <c r="K69" s="1">
        <v>25.9</v>
      </c>
      <c r="N69" s="2">
        <v>1</v>
      </c>
      <c r="O69" s="1">
        <v>22.4</v>
      </c>
      <c r="P69" s="1">
        <v>20.9</v>
      </c>
      <c r="Q69" s="1">
        <v>19.2</v>
      </c>
      <c r="R69" s="1">
        <v>21</v>
      </c>
      <c r="T69" s="2">
        <v>1</v>
      </c>
      <c r="U69" s="1">
        <v>12.6</v>
      </c>
      <c r="V69" s="1">
        <v>11.6</v>
      </c>
      <c r="W69" s="1">
        <v>11.8</v>
      </c>
      <c r="X69" s="1">
        <v>10.5</v>
      </c>
    </row>
    <row r="70" spans="1:24" ht="16" x14ac:dyDescent="0.2">
      <c r="A70" s="2">
        <v>4</v>
      </c>
      <c r="B70" s="1">
        <v>12.9</v>
      </c>
      <c r="C70" s="1">
        <v>12.3</v>
      </c>
      <c r="D70" s="1">
        <v>16.3</v>
      </c>
      <c r="E70" s="1">
        <v>14.7</v>
      </c>
      <c r="G70" s="2">
        <v>4</v>
      </c>
      <c r="H70" s="1">
        <v>35.299999999999997</v>
      </c>
      <c r="I70" s="1">
        <v>37.4</v>
      </c>
      <c r="J70" s="1">
        <v>33.1</v>
      </c>
      <c r="K70" s="1">
        <v>28.9</v>
      </c>
      <c r="N70" s="2">
        <v>4</v>
      </c>
      <c r="O70" s="1">
        <v>3.43</v>
      </c>
      <c r="P70" s="1">
        <v>3.53</v>
      </c>
      <c r="Q70" s="1">
        <v>6.28</v>
      </c>
      <c r="R70" s="1">
        <v>5.96</v>
      </c>
      <c r="T70" s="2">
        <v>4</v>
      </c>
      <c r="U70" s="1">
        <v>11.1</v>
      </c>
      <c r="V70" s="1">
        <v>11.4</v>
      </c>
      <c r="W70" s="1">
        <v>10.199999999999999</v>
      </c>
      <c r="X70" s="1">
        <v>11.4</v>
      </c>
    </row>
    <row r="71" spans="1:24" ht="16" x14ac:dyDescent="0.2">
      <c r="A71" s="2">
        <v>8</v>
      </c>
      <c r="B71" s="1">
        <v>1.97</v>
      </c>
      <c r="C71" s="1">
        <v>4.95</v>
      </c>
      <c r="D71" s="1">
        <v>4.18</v>
      </c>
      <c r="E71" s="1">
        <v>3.86</v>
      </c>
      <c r="G71" s="2">
        <v>8</v>
      </c>
      <c r="H71" s="1">
        <v>43.6</v>
      </c>
      <c r="I71" s="1">
        <v>27.6</v>
      </c>
      <c r="J71" s="1">
        <v>25.9</v>
      </c>
      <c r="K71" s="1">
        <v>24.8</v>
      </c>
      <c r="N71" s="2">
        <v>8</v>
      </c>
      <c r="O71" s="1">
        <v>5.0599999999999996</v>
      </c>
      <c r="P71" s="1">
        <v>10.199999999999999</v>
      </c>
      <c r="Q71" s="1">
        <v>13.3</v>
      </c>
      <c r="R71" s="1">
        <v>12</v>
      </c>
      <c r="T71" s="2">
        <v>8</v>
      </c>
      <c r="U71" s="1">
        <v>18.2</v>
      </c>
      <c r="V71" s="1">
        <v>15.3</v>
      </c>
      <c r="W71" s="1">
        <v>12.4</v>
      </c>
      <c r="X71" s="1">
        <v>14.1</v>
      </c>
    </row>
    <row r="73" spans="1:24" x14ac:dyDescent="0.15">
      <c r="A73" s="6" t="s">
        <v>38</v>
      </c>
    </row>
    <row r="74" spans="1:24" x14ac:dyDescent="0.15">
      <c r="A74" s="6" t="s">
        <v>31</v>
      </c>
    </row>
    <row r="75" spans="1:24" ht="16" x14ac:dyDescent="0.2">
      <c r="A75" s="7" t="s">
        <v>27</v>
      </c>
      <c r="B75" s="9" t="s">
        <v>24</v>
      </c>
      <c r="C75" s="9"/>
      <c r="D75" s="9" t="s">
        <v>12</v>
      </c>
      <c r="E75" s="9"/>
      <c r="G75" s="7" t="s">
        <v>29</v>
      </c>
      <c r="H75" s="9" t="s">
        <v>24</v>
      </c>
      <c r="I75" s="9"/>
      <c r="J75" s="9" t="s">
        <v>12</v>
      </c>
      <c r="K75" s="9"/>
      <c r="N75" s="7" t="s">
        <v>28</v>
      </c>
      <c r="O75" s="9" t="s">
        <v>24</v>
      </c>
      <c r="P75" s="9"/>
      <c r="Q75" s="9" t="s">
        <v>12</v>
      </c>
      <c r="R75" s="9"/>
      <c r="T75" s="7" t="s">
        <v>30</v>
      </c>
      <c r="U75" s="9" t="s">
        <v>24</v>
      </c>
      <c r="V75" s="9"/>
      <c r="W75" s="9" t="s">
        <v>12</v>
      </c>
      <c r="X75" s="9"/>
    </row>
    <row r="76" spans="1:24" ht="16" x14ac:dyDescent="0.2">
      <c r="A76" s="2">
        <v>1</v>
      </c>
      <c r="B76" s="1">
        <v>158.61510000000001</v>
      </c>
      <c r="C76" s="1">
        <v>135.315</v>
      </c>
      <c r="D76" s="1">
        <v>191.16200000000001</v>
      </c>
      <c r="E76" s="1">
        <v>158.72559999999999</v>
      </c>
      <c r="G76" s="2">
        <v>1</v>
      </c>
      <c r="H76" s="1">
        <v>337.86320000000001</v>
      </c>
      <c r="I76" s="1">
        <v>269.60500000000002</v>
      </c>
      <c r="J76" s="1">
        <v>394.97449999999998</v>
      </c>
      <c r="K76" s="1">
        <v>295.75490000000002</v>
      </c>
      <c r="N76" s="2">
        <v>1</v>
      </c>
      <c r="O76" s="1">
        <v>35.529789999999998</v>
      </c>
      <c r="P76" s="1">
        <v>28.280850000000001</v>
      </c>
      <c r="Q76" s="1">
        <v>36.703110000000002</v>
      </c>
      <c r="R76" s="1">
        <v>33.332380000000001</v>
      </c>
      <c r="T76" s="2">
        <v>1</v>
      </c>
      <c r="U76" s="1">
        <v>12.6</v>
      </c>
      <c r="V76" s="1">
        <v>11.6</v>
      </c>
      <c r="W76" s="1">
        <v>11.8</v>
      </c>
      <c r="X76" s="1">
        <v>10.5</v>
      </c>
    </row>
    <row r="77" spans="1:24" ht="16" x14ac:dyDescent="0.2">
      <c r="A77" s="2">
        <v>4</v>
      </c>
      <c r="B77" s="1">
        <v>239.15039999999999</v>
      </c>
      <c r="C77" s="1">
        <v>250.61619999999999</v>
      </c>
      <c r="D77" s="1">
        <v>207.20500000000001</v>
      </c>
      <c r="E77" s="1">
        <v>183.72649999999999</v>
      </c>
      <c r="G77" s="2">
        <v>4</v>
      </c>
      <c r="H77" s="1">
        <v>654.41930000000002</v>
      </c>
      <c r="I77" s="1">
        <v>762.03620000000001</v>
      </c>
      <c r="J77" s="1">
        <v>420.76589999999999</v>
      </c>
      <c r="K77" s="1">
        <v>361.2038</v>
      </c>
      <c r="N77" s="2">
        <v>4</v>
      </c>
      <c r="O77" s="1">
        <v>8.2028580000000009</v>
      </c>
      <c r="P77" s="1">
        <v>8.8467509999999994</v>
      </c>
      <c r="Q77" s="1">
        <v>13.01247</v>
      </c>
      <c r="R77" s="1">
        <v>10.950100000000001</v>
      </c>
      <c r="T77" s="2">
        <v>4</v>
      </c>
      <c r="U77" s="1">
        <v>11.1</v>
      </c>
      <c r="V77" s="1">
        <v>11.4</v>
      </c>
      <c r="W77" s="1">
        <v>10.199999999999999</v>
      </c>
      <c r="X77" s="1">
        <v>11.4</v>
      </c>
    </row>
    <row r="78" spans="1:24" ht="16" x14ac:dyDescent="0.2">
      <c r="A78" s="2">
        <v>8</v>
      </c>
      <c r="B78" s="1">
        <v>47.946919999999999</v>
      </c>
      <c r="C78" s="1">
        <v>120.47580000000001</v>
      </c>
      <c r="D78" s="1">
        <v>42.722320000000003</v>
      </c>
      <c r="E78" s="1">
        <v>37.14226</v>
      </c>
      <c r="G78" s="2">
        <v>8</v>
      </c>
      <c r="H78" s="1">
        <v>1061.1600000000001</v>
      </c>
      <c r="I78" s="1">
        <v>671.74369999999999</v>
      </c>
      <c r="J78" s="1">
        <v>264.71480000000003</v>
      </c>
      <c r="K78" s="1">
        <v>238.63419999999999</v>
      </c>
      <c r="N78" s="2">
        <v>8</v>
      </c>
      <c r="O78" s="1">
        <v>2.4261140000000001</v>
      </c>
      <c r="P78" s="1">
        <v>12.28853</v>
      </c>
      <c r="Q78" s="1">
        <v>5.6820680000000001</v>
      </c>
      <c r="R78" s="1">
        <v>4.4570720000000001</v>
      </c>
      <c r="T78" s="2">
        <v>8</v>
      </c>
      <c r="U78" s="1">
        <v>18.2</v>
      </c>
      <c r="V78" s="1">
        <v>15.3</v>
      </c>
      <c r="W78" s="1">
        <v>12.4</v>
      </c>
      <c r="X78" s="1">
        <v>14.1</v>
      </c>
    </row>
  </sheetData>
  <mergeCells count="45">
    <mergeCell ref="B4:D4"/>
    <mergeCell ref="E4:G4"/>
    <mergeCell ref="B25:E25"/>
    <mergeCell ref="F25:I25"/>
    <mergeCell ref="J25:M25"/>
    <mergeCell ref="N25:Q25"/>
    <mergeCell ref="B11:D11"/>
    <mergeCell ref="E11:G11"/>
    <mergeCell ref="B17:D17"/>
    <mergeCell ref="E17:G17"/>
    <mergeCell ref="B27:E27"/>
    <mergeCell ref="F27:I27"/>
    <mergeCell ref="J27:M27"/>
    <mergeCell ref="B29:E29"/>
    <mergeCell ref="F29:I29"/>
    <mergeCell ref="J29:M29"/>
    <mergeCell ref="N29:Q29"/>
    <mergeCell ref="B31:E31"/>
    <mergeCell ref="F31:I31"/>
    <mergeCell ref="J31:M31"/>
    <mergeCell ref="N31:Q31"/>
    <mergeCell ref="B35:C35"/>
    <mergeCell ref="D35:E35"/>
    <mergeCell ref="B42:C42"/>
    <mergeCell ref="D42:E42"/>
    <mergeCell ref="B68:C68"/>
    <mergeCell ref="D68:E68"/>
    <mergeCell ref="B49:D49"/>
    <mergeCell ref="E49:G49"/>
    <mergeCell ref="B58:D58"/>
    <mergeCell ref="E58:G58"/>
    <mergeCell ref="H75:I75"/>
    <mergeCell ref="J75:K75"/>
    <mergeCell ref="U75:V75"/>
    <mergeCell ref="W68:X68"/>
    <mergeCell ref="B75:C75"/>
    <mergeCell ref="D75:E75"/>
    <mergeCell ref="O75:P75"/>
    <mergeCell ref="Q75:R75"/>
    <mergeCell ref="W75:X75"/>
    <mergeCell ref="H68:I68"/>
    <mergeCell ref="J68:K68"/>
    <mergeCell ref="O68:P68"/>
    <mergeCell ref="Q68:R68"/>
    <mergeCell ref="U68:V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Extended Data Figure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Peipei Guo</dc:creator>
  <cp:lastModifiedBy>Peipei Guo</cp:lastModifiedBy>
  <dcterms:created xsi:type="dcterms:W3CDTF">2021-03-04T14:55:18Z</dcterms:created>
  <dcterms:modified xsi:type="dcterms:W3CDTF">2021-08-15T14:47:34Z</dcterms:modified>
</cp:coreProperties>
</file>