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mperry/OneDrive - Children's Mercy Kansas City/Manuscripts/Nature Cell Biology 2020/Final Version/Updates Post-March 3 2020/"/>
    </mc:Choice>
  </mc:AlternateContent>
  <xr:revisionPtr revIDLastSave="251" documentId="8_{1A425383-6F61-4258-B144-855AC0999B98}" xr6:coauthVersionLast="45" xr6:coauthVersionMax="45" xr10:uidLastSave="{2357060A-B962-2E46-93B6-B824A728576C}"/>
  <bookViews>
    <workbookView xWindow="10840" yWindow="4960" windowWidth="29040" windowHeight="15840" xr2:uid="{FC80E14B-88AB-7C44-B3FE-AF62549B0224}"/>
  </bookViews>
  <sheets>
    <sheet name="Fig 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41" i="3" l="1"/>
  <c r="J41" i="3"/>
  <c r="I41" i="3"/>
  <c r="K40" i="3"/>
  <c r="J40" i="3"/>
  <c r="I40" i="3"/>
  <c r="E38" i="3"/>
  <c r="D38" i="3"/>
  <c r="C38" i="3"/>
  <c r="E37" i="3"/>
  <c r="D37" i="3"/>
  <c r="C37" i="3"/>
  <c r="K32" i="3"/>
  <c r="J32" i="3"/>
  <c r="I32" i="3"/>
  <c r="K31" i="3"/>
  <c r="J31" i="3"/>
  <c r="I31" i="3"/>
  <c r="E30" i="3"/>
  <c r="D30" i="3"/>
  <c r="C30" i="3"/>
  <c r="E29" i="3"/>
  <c r="D29" i="3"/>
  <c r="C29" i="3"/>
</calcChain>
</file>

<file path=xl/sharedStrings.xml><?xml version="1.0" encoding="utf-8"?>
<sst xmlns="http://schemas.openxmlformats.org/spreadsheetml/2006/main" count="85" uniqueCount="47">
  <si>
    <t>Panel</t>
  </si>
  <si>
    <t>d</t>
  </si>
  <si>
    <t>Vehicle</t>
  </si>
  <si>
    <t>LowDXR</t>
  </si>
  <si>
    <t>b</t>
  </si>
  <si>
    <t>c</t>
  </si>
  <si>
    <t>Chemo</t>
  </si>
  <si>
    <t>Clinical DXR 20mg/kg 1x</t>
  </si>
  <si>
    <r>
      <t>CD45</t>
    </r>
    <r>
      <rPr>
        <vertAlign val="superscript"/>
        <sz val="10"/>
        <rFont val="Arial"/>
        <family val="2"/>
      </rPr>
      <t>Hi</t>
    </r>
    <r>
      <rPr>
        <sz val="10"/>
        <rFont val="Arial"/>
        <family val="2"/>
      </rPr>
      <t xml:space="preserve"> CD3</t>
    </r>
    <r>
      <rPr>
        <vertAlign val="superscript"/>
        <sz val="10"/>
        <rFont val="Arial"/>
        <family val="2"/>
      </rPr>
      <t>+</t>
    </r>
  </si>
  <si>
    <t>[Low]Doxo</t>
  </si>
  <si>
    <t>[Low]Doxo + Chemo</t>
  </si>
  <si>
    <t>Lin- CD3+ c-Kit+</t>
  </si>
  <si>
    <t>LowDoxo</t>
  </si>
  <si>
    <t>LowDoxo + Chemo</t>
  </si>
  <si>
    <t>LSK</t>
  </si>
  <si>
    <t>Nel. + Dexa.</t>
  </si>
  <si>
    <t>Clinical DXR + Dexa.</t>
  </si>
  <si>
    <t>[Low]DXR + Dexa.</t>
  </si>
  <si>
    <t>(nonLSC)</t>
  </si>
  <si>
    <t>Sample</t>
  </si>
  <si>
    <t>552 % T-ALL Blast</t>
  </si>
  <si>
    <t>552 % HSPC</t>
  </si>
  <si>
    <t>552 % LSC</t>
  </si>
  <si>
    <t>1: LM0295.0003.fcs</t>
  </si>
  <si>
    <t>2: LM0289.0001.fcs</t>
  </si>
  <si>
    <t>4: LM0304.0003.fcs</t>
  </si>
  <si>
    <t>3: LM0290.0001.fcs</t>
  </si>
  <si>
    <t>5: LM0305.0003.fcs</t>
  </si>
  <si>
    <t>7: LM0299.0001.fcs</t>
  </si>
  <si>
    <t>Average</t>
  </si>
  <si>
    <t>8: LM0300.0001.fcs</t>
  </si>
  <si>
    <t>Std. Dev.</t>
  </si>
  <si>
    <t>9: LM0301.0001.fcs</t>
  </si>
  <si>
    <t>2: LM0297.0003.fcs</t>
  </si>
  <si>
    <t>3: LM0298.0003.fcs</t>
  </si>
  <si>
    <t>Chemo + LowDXR</t>
  </si>
  <si>
    <t>6: LM0307.0003.fcs</t>
  </si>
  <si>
    <t>4: LM0291.0001.fcs</t>
  </si>
  <si>
    <t>7: LM0308.0003.fcs</t>
  </si>
  <si>
    <t>5: LM0292.0001.fcs</t>
  </si>
  <si>
    <t>6: LM0293.0001.fcs</t>
  </si>
  <si>
    <t>10: LM0302.0001.fcs</t>
  </si>
  <si>
    <t>11: LM0303.0001.fcs</t>
  </si>
  <si>
    <t>f-h</t>
  </si>
  <si>
    <r>
      <t>CD45</t>
    </r>
    <r>
      <rPr>
        <vertAlign val="superscript"/>
        <sz val="12"/>
        <rFont val="Arial"/>
        <family val="2"/>
      </rPr>
      <t>Hi</t>
    </r>
    <r>
      <rPr>
        <sz val="12"/>
        <rFont val="Arial"/>
        <family val="2"/>
      </rPr>
      <t xml:space="preserve"> CD3</t>
    </r>
    <r>
      <rPr>
        <vertAlign val="superscript"/>
        <sz val="12"/>
        <rFont val="Arial"/>
        <family val="2"/>
      </rPr>
      <t>+</t>
    </r>
  </si>
  <si>
    <r>
      <t xml:space="preserve">5 x 0.5 </t>
    </r>
    <r>
      <rPr>
        <sz val="10"/>
        <rFont val="Symbol"/>
        <charset val="2"/>
      </rPr>
      <t>μ</t>
    </r>
    <r>
      <rPr>
        <sz val="10"/>
        <rFont val="Arial"/>
        <family val="2"/>
      </rPr>
      <t>g/g Doxo</t>
    </r>
  </si>
  <si>
    <r>
      <t xml:space="preserve">5 x 0.5 </t>
    </r>
    <r>
      <rPr>
        <sz val="10"/>
        <rFont val="Symbol"/>
        <charset val="2"/>
      </rPr>
      <t>μ</t>
    </r>
    <r>
      <rPr>
        <sz val="10"/>
        <rFont val="Arial"/>
        <family val="2"/>
      </rPr>
      <t>g/g Doxo + Chemo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</si>
</sst>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rial"/>
      <family val="2"/>
    </font>
    <font>
      <u/>
      <sz val="12"/>
      <color theme="1"/>
      <name val="Arial"/>
      <family val="2"/>
    </font>
    <font>
      <sz val="12"/>
      <name val="Arial"/>
      <family val="2"/>
    </font>
    <font>
      <vertAlign val="superscript"/>
      <sz val="12"/>
      <name val="Arial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Symbol"/>
      <charset val="2"/>
    </font>
    <font>
      <vertAlign val="superscript"/>
      <sz val="10"/>
      <name val="Arial"/>
      <family val="2"/>
    </font>
    <font>
      <i/>
      <u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11" fontId="0" fillId="0" borderId="0" xfId="0" applyNumberFormat="1"/>
    <xf numFmtId="0" fontId="2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8" fillId="0" borderId="0" xfId="0" applyFont="1"/>
    <xf numFmtId="0" fontId="0" fillId="0" borderId="1" xfId="0" applyBorder="1"/>
    <xf numFmtId="0" fontId="4" fillId="0" borderId="0" xfId="0" applyFont="1"/>
    <xf numFmtId="0" fontId="2" fillId="0" borderId="0" xfId="0" applyFont="1" applyAlignment="1">
      <alignment horizontal="left"/>
    </xf>
    <xf numFmtId="1" fontId="9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left"/>
    </xf>
    <xf numFmtId="1" fontId="5" fillId="0" borderId="0" xfId="0" applyNumberFormat="1" applyFont="1"/>
    <xf numFmtId="1" fontId="9" fillId="0" borderId="0" xfId="0" applyNumberFormat="1" applyFont="1"/>
    <xf numFmtId="0" fontId="9" fillId="0" borderId="0" xfId="0" applyFont="1" applyAlignment="1">
      <alignment horizontal="center" vertical="center"/>
    </xf>
    <xf numFmtId="0" fontId="9" fillId="0" borderId="0" xfId="0" applyFont="1"/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9A802-7986-9C49-BDA8-BF867603E81A}">
  <dimension ref="A1:DH44"/>
  <sheetViews>
    <sheetView tabSelected="1" topLeftCell="A7" workbookViewId="0">
      <selection activeCell="AO27" sqref="AO27"/>
    </sheetView>
  </sheetViews>
  <sheetFormatPr baseColWidth="10" defaultColWidth="11.5703125" defaultRowHeight="16" x14ac:dyDescent="0.2"/>
  <cols>
    <col min="1" max="1" width="11.5703125" style="2"/>
  </cols>
  <sheetData>
    <row r="1" spans="1:112" x14ac:dyDescent="0.2">
      <c r="A1" s="1" t="s">
        <v>0</v>
      </c>
    </row>
    <row r="2" spans="1:112" x14ac:dyDescent="0.2">
      <c r="A2" s="2" t="s">
        <v>4</v>
      </c>
      <c r="B2" s="7"/>
      <c r="C2" s="20" t="s">
        <v>2</v>
      </c>
      <c r="D2" s="20"/>
      <c r="E2" s="20"/>
      <c r="F2" s="20"/>
      <c r="G2" s="20"/>
      <c r="H2" s="20"/>
      <c r="I2" s="20"/>
      <c r="J2" s="20"/>
      <c r="K2" s="20"/>
      <c r="L2" s="20"/>
      <c r="M2" s="20" t="s">
        <v>6</v>
      </c>
      <c r="N2" s="20"/>
      <c r="O2" s="20"/>
      <c r="P2" s="20"/>
      <c r="Q2" s="20"/>
      <c r="R2" s="20"/>
      <c r="S2" s="20"/>
      <c r="T2" s="20"/>
      <c r="U2" s="20"/>
      <c r="V2" s="20"/>
      <c r="W2" s="20" t="s">
        <v>9</v>
      </c>
      <c r="X2" s="20"/>
      <c r="Y2" s="20"/>
      <c r="Z2" s="20"/>
      <c r="AA2" s="20"/>
      <c r="AB2" s="20"/>
      <c r="AC2" s="20"/>
      <c r="AD2" s="20"/>
      <c r="AE2" s="20"/>
      <c r="AF2" s="20"/>
      <c r="AG2" s="20" t="s">
        <v>10</v>
      </c>
      <c r="AH2" s="20"/>
      <c r="AI2" s="20"/>
      <c r="AJ2" s="20"/>
      <c r="AK2" s="20"/>
      <c r="AL2" s="20"/>
      <c r="AM2" s="20"/>
      <c r="AN2" s="20"/>
      <c r="AO2" s="20"/>
      <c r="AP2" s="20"/>
      <c r="AQ2" s="20" t="s">
        <v>7</v>
      </c>
      <c r="AR2" s="20"/>
      <c r="AS2" s="20"/>
      <c r="AT2" s="20"/>
      <c r="AU2" s="20"/>
      <c r="AV2" s="20"/>
      <c r="AW2" s="20"/>
      <c r="AX2" s="20"/>
      <c r="AY2" s="20"/>
      <c r="AZ2" s="20"/>
    </row>
    <row r="3" spans="1:112" x14ac:dyDescent="0.2">
      <c r="B3" s="8" t="s">
        <v>8</v>
      </c>
      <c r="C3" s="6">
        <v>19.600000000000001</v>
      </c>
      <c r="D3" s="6">
        <v>23.7</v>
      </c>
      <c r="E3" s="6">
        <v>22.6</v>
      </c>
      <c r="F3" s="6">
        <v>34.4</v>
      </c>
      <c r="G3" s="6">
        <v>7.58</v>
      </c>
      <c r="H3" s="6">
        <v>19.600000000000001</v>
      </c>
      <c r="I3" s="6">
        <v>11.8</v>
      </c>
      <c r="J3" s="6">
        <v>21</v>
      </c>
      <c r="K3" s="6">
        <v>23.1</v>
      </c>
      <c r="M3" s="6">
        <v>4.9400000000000004</v>
      </c>
      <c r="N3" s="6">
        <v>2.2000000000000002</v>
      </c>
      <c r="O3" s="6">
        <v>0.93500000000000005</v>
      </c>
      <c r="P3" s="6">
        <v>0.98499999999999999</v>
      </c>
      <c r="Q3" s="6">
        <v>0.91700000000000004</v>
      </c>
      <c r="R3" s="6">
        <v>0.83699999999999997</v>
      </c>
      <c r="S3" s="6">
        <v>1.31</v>
      </c>
      <c r="T3" s="6">
        <v>0.88800000000000001</v>
      </c>
      <c r="U3" s="6">
        <v>1.07</v>
      </c>
      <c r="V3" s="6">
        <v>0.54100000000000004</v>
      </c>
      <c r="W3" s="6">
        <v>17.3</v>
      </c>
      <c r="X3" s="6">
        <v>22.1</v>
      </c>
      <c r="Y3" s="6">
        <v>2.04</v>
      </c>
      <c r="Z3" s="6">
        <v>11.7</v>
      </c>
      <c r="AA3" s="6"/>
      <c r="AB3" s="6"/>
      <c r="AC3" s="6"/>
      <c r="AD3" s="6"/>
      <c r="AE3" s="6"/>
      <c r="AF3" s="6"/>
      <c r="AG3" s="6">
        <v>13.8</v>
      </c>
      <c r="AH3" s="6">
        <v>3.21</v>
      </c>
      <c r="AI3" s="6">
        <v>1.18</v>
      </c>
      <c r="AJ3" s="6"/>
      <c r="AK3" s="6"/>
      <c r="AL3" s="6"/>
      <c r="AM3" s="6"/>
      <c r="AN3" s="6"/>
      <c r="AO3" s="6"/>
      <c r="AP3" s="6"/>
      <c r="AQ3" s="6">
        <v>30</v>
      </c>
      <c r="AR3" s="6">
        <v>28.1</v>
      </c>
      <c r="AS3" s="6">
        <v>38.799999999999997</v>
      </c>
      <c r="AT3" s="6">
        <v>38.200000000000003</v>
      </c>
      <c r="AU3" s="6">
        <v>33.5</v>
      </c>
      <c r="AV3" s="6"/>
      <c r="AW3" s="6"/>
      <c r="AX3" s="6"/>
      <c r="AY3" s="6"/>
      <c r="AZ3" s="6"/>
    </row>
    <row r="5" spans="1:112" x14ac:dyDescent="0.2">
      <c r="B5" s="7"/>
      <c r="C5" s="20" t="s">
        <v>2</v>
      </c>
      <c r="D5" s="20"/>
      <c r="E5" s="20"/>
      <c r="F5" s="20"/>
      <c r="G5" s="20"/>
      <c r="H5" s="20"/>
      <c r="I5" s="20"/>
      <c r="J5" s="20"/>
      <c r="K5" s="20"/>
      <c r="L5" s="20"/>
      <c r="M5" s="20" t="s">
        <v>6</v>
      </c>
      <c r="N5" s="20"/>
      <c r="O5" s="20"/>
      <c r="P5" s="20"/>
      <c r="Q5" s="20"/>
      <c r="R5" s="20"/>
      <c r="S5" s="20"/>
      <c r="T5" s="20"/>
      <c r="U5" s="20"/>
      <c r="V5" s="20"/>
      <c r="W5" s="20" t="s">
        <v>9</v>
      </c>
      <c r="X5" s="20"/>
      <c r="Y5" s="20"/>
      <c r="Z5" s="20"/>
      <c r="AA5" s="20"/>
      <c r="AB5" s="20"/>
      <c r="AC5" s="20"/>
      <c r="AD5" s="20"/>
      <c r="AE5" s="20"/>
      <c r="AF5" s="20"/>
      <c r="AG5" s="20" t="s">
        <v>10</v>
      </c>
      <c r="AH5" s="20"/>
      <c r="AI5" s="20"/>
      <c r="AJ5" s="20"/>
      <c r="AK5" s="20"/>
      <c r="AL5" s="20"/>
      <c r="AM5" s="20"/>
      <c r="AN5" s="20"/>
      <c r="AO5" s="20"/>
      <c r="AP5" s="20"/>
      <c r="AQ5" s="20" t="s">
        <v>7</v>
      </c>
      <c r="AR5" s="20"/>
      <c r="AS5" s="20"/>
      <c r="AT5" s="20"/>
      <c r="AU5" s="20"/>
      <c r="AV5" s="20"/>
      <c r="AW5" s="20"/>
      <c r="AX5" s="20"/>
      <c r="AY5" s="20"/>
      <c r="AZ5" s="20"/>
    </row>
    <row r="6" spans="1:112" x14ac:dyDescent="0.2">
      <c r="B6" s="8" t="s">
        <v>11</v>
      </c>
      <c r="C6" s="6">
        <v>0.12</v>
      </c>
      <c r="D6" s="6">
        <v>0.1</v>
      </c>
      <c r="E6" s="6">
        <v>0.08</v>
      </c>
      <c r="F6" s="6">
        <v>0.22</v>
      </c>
      <c r="G6" s="6">
        <v>0.13</v>
      </c>
      <c r="H6" s="6">
        <v>0.01</v>
      </c>
      <c r="I6" s="6"/>
      <c r="J6" s="6"/>
      <c r="K6" s="6"/>
      <c r="L6" s="6"/>
      <c r="M6" s="6">
        <v>0.38</v>
      </c>
      <c r="N6" s="6">
        <v>2.11</v>
      </c>
      <c r="O6" s="6">
        <v>0.4</v>
      </c>
      <c r="P6" s="6">
        <v>0.56000000000000005</v>
      </c>
      <c r="Q6" s="6">
        <v>0.22</v>
      </c>
      <c r="R6" s="6">
        <v>0.41</v>
      </c>
      <c r="S6" s="6">
        <v>2.2200000000000002</v>
      </c>
      <c r="T6" s="6"/>
      <c r="U6" s="6"/>
      <c r="V6" s="6"/>
      <c r="W6" s="6">
        <v>3.4500000000000003E-2</v>
      </c>
      <c r="X6" s="6">
        <v>2.12E-2</v>
      </c>
      <c r="Y6" s="6">
        <v>7.0000000000000007E-2</v>
      </c>
      <c r="Z6" s="6"/>
      <c r="AA6" s="6"/>
      <c r="AB6" s="6"/>
      <c r="AC6" s="6"/>
      <c r="AD6" s="6"/>
      <c r="AE6" s="6"/>
      <c r="AF6" s="6"/>
      <c r="AG6" s="6">
        <v>2.0199999999999999E-2</v>
      </c>
      <c r="AH6" s="6">
        <v>1.14E-2</v>
      </c>
      <c r="AI6" s="6">
        <v>1.8600000000000001E-3</v>
      </c>
      <c r="AJ6" s="6"/>
      <c r="AK6" s="6"/>
      <c r="AL6" s="6"/>
      <c r="AM6" s="6"/>
      <c r="AN6" s="6"/>
      <c r="AO6" s="6"/>
      <c r="AP6" s="6"/>
      <c r="AQ6" s="6">
        <v>0.74</v>
      </c>
      <c r="AR6" s="6">
        <v>0.39</v>
      </c>
      <c r="AS6" s="6">
        <v>0.49</v>
      </c>
      <c r="AT6" s="6">
        <v>0.35</v>
      </c>
      <c r="AU6" s="6">
        <v>0.55000000000000004</v>
      </c>
      <c r="AV6" s="6"/>
      <c r="AW6" s="6"/>
      <c r="AX6" s="6"/>
      <c r="AY6" s="6"/>
      <c r="AZ6" s="6"/>
    </row>
    <row r="8" spans="1:112" x14ac:dyDescent="0.2">
      <c r="B8" s="7"/>
      <c r="C8" s="20" t="s">
        <v>2</v>
      </c>
      <c r="D8" s="20"/>
      <c r="E8" s="20"/>
      <c r="F8" s="20"/>
      <c r="G8" s="20"/>
      <c r="H8" s="20"/>
      <c r="I8" s="20"/>
      <c r="J8" s="20"/>
      <c r="K8" s="20"/>
      <c r="L8" s="20"/>
      <c r="M8" s="20" t="s">
        <v>6</v>
      </c>
      <c r="N8" s="20"/>
      <c r="O8" s="20"/>
      <c r="P8" s="20"/>
      <c r="Q8" s="20"/>
      <c r="R8" s="20"/>
      <c r="S8" s="20"/>
      <c r="T8" s="20"/>
      <c r="U8" s="20"/>
      <c r="V8" s="20"/>
      <c r="W8" s="20" t="s">
        <v>12</v>
      </c>
      <c r="X8" s="20"/>
      <c r="Y8" s="20"/>
      <c r="Z8" s="20"/>
      <c r="AA8" s="20"/>
      <c r="AB8" s="20"/>
      <c r="AC8" s="20"/>
      <c r="AD8" s="20"/>
      <c r="AE8" s="20"/>
      <c r="AF8" s="20"/>
      <c r="AG8" s="20" t="s">
        <v>13</v>
      </c>
      <c r="AH8" s="20"/>
      <c r="AI8" s="20"/>
      <c r="AJ8" s="20"/>
      <c r="AK8" s="20"/>
      <c r="AL8" s="20"/>
      <c r="AM8" s="20"/>
      <c r="AN8" s="20"/>
      <c r="AO8" s="20"/>
      <c r="AP8" s="20"/>
      <c r="AQ8" s="20" t="s">
        <v>7</v>
      </c>
      <c r="AR8" s="20"/>
      <c r="AS8" s="20"/>
      <c r="AT8" s="20"/>
      <c r="AU8" s="20"/>
      <c r="AV8" s="20"/>
      <c r="AW8" s="20"/>
      <c r="AX8" s="20"/>
      <c r="AY8" s="20"/>
      <c r="AZ8" s="20"/>
    </row>
    <row r="9" spans="1:112" x14ac:dyDescent="0.2">
      <c r="B9" s="8" t="s">
        <v>14</v>
      </c>
      <c r="C9" s="6">
        <v>0</v>
      </c>
      <c r="D9" s="6">
        <v>0.02</v>
      </c>
      <c r="E9" s="6">
        <v>0.05</v>
      </c>
      <c r="F9" s="6">
        <v>0</v>
      </c>
      <c r="G9" s="6">
        <v>0.01</v>
      </c>
      <c r="H9" s="6">
        <v>0.06</v>
      </c>
      <c r="I9" s="6"/>
      <c r="J9" s="6"/>
      <c r="K9" s="6"/>
      <c r="L9" s="6"/>
      <c r="M9" s="6">
        <v>0.02</v>
      </c>
      <c r="N9" s="6">
        <v>0.19</v>
      </c>
      <c r="O9" s="6">
        <v>0.03</v>
      </c>
      <c r="P9" s="6">
        <v>0.02</v>
      </c>
      <c r="Q9" s="6">
        <v>0.03</v>
      </c>
      <c r="R9" s="6">
        <v>0.05</v>
      </c>
      <c r="S9" s="6"/>
      <c r="T9" s="6"/>
      <c r="U9" s="6"/>
      <c r="V9" s="6"/>
      <c r="W9" s="6">
        <v>7.4800000000000005E-2</v>
      </c>
      <c r="X9" s="6">
        <v>0.17899999999999999</v>
      </c>
      <c r="Y9" s="6">
        <v>9.8400000000000001E-2</v>
      </c>
      <c r="Z9" s="6">
        <v>5.7299999999999997E-2</v>
      </c>
      <c r="AA9" s="6">
        <v>8.5900000000000004E-2</v>
      </c>
      <c r="AB9" s="6">
        <v>9.8000000000000004E-2</v>
      </c>
      <c r="AC9" s="6">
        <v>0.14699999999999999</v>
      </c>
      <c r="AD9" s="6">
        <v>0.20899999999999999</v>
      </c>
      <c r="AE9" s="6">
        <v>7.2099999999999997E-2</v>
      </c>
      <c r="AF9" s="6">
        <v>9.64E-2</v>
      </c>
      <c r="AG9" s="6">
        <v>5.2600000000000001E-2</v>
      </c>
      <c r="AH9" s="6">
        <v>7.5300000000000006E-2</v>
      </c>
      <c r="AI9" s="6">
        <v>6.5199999999999994E-2</v>
      </c>
      <c r="AJ9" s="6">
        <v>7.0800000000000002E-2</v>
      </c>
      <c r="AK9" s="6">
        <v>4.0800000000000003E-2</v>
      </c>
      <c r="AL9" s="6">
        <v>5.7500000000000002E-2</v>
      </c>
      <c r="AM9" s="6">
        <v>5.62E-2</v>
      </c>
      <c r="AN9" s="6">
        <v>6.7500000000000004E-2</v>
      </c>
      <c r="AO9" s="6">
        <v>5.2600000000000001E-2</v>
      </c>
      <c r="AP9" s="6">
        <v>7.0099999999999996E-2</v>
      </c>
      <c r="AQ9" s="6">
        <v>4.2999999999999997E-2</v>
      </c>
      <c r="AR9" s="6">
        <v>0.14000000000000001</v>
      </c>
      <c r="AS9" s="6">
        <v>3.1E-2</v>
      </c>
      <c r="AT9" s="6">
        <v>2.3E-2</v>
      </c>
      <c r="AU9" s="6">
        <v>7.0999999999999994E-2</v>
      </c>
      <c r="AV9" s="6"/>
      <c r="AW9" s="6"/>
      <c r="AX9" s="6"/>
      <c r="AY9" s="6"/>
      <c r="AZ9" s="6"/>
    </row>
    <row r="10" spans="1:112" x14ac:dyDescent="0.2">
      <c r="B10" s="8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s="19" customFormat="1" ht="13" x14ac:dyDescent="0.15">
      <c r="A11" s="18" t="s">
        <v>5</v>
      </c>
      <c r="B11" s="9"/>
      <c r="C11" s="20" t="s">
        <v>2</v>
      </c>
      <c r="D11" s="20"/>
      <c r="E11" s="20"/>
      <c r="F11" s="20"/>
      <c r="G11" s="20"/>
      <c r="H11" s="20"/>
      <c r="I11" s="20"/>
      <c r="J11" s="20"/>
      <c r="K11" s="20"/>
      <c r="L11" s="20"/>
      <c r="M11" s="20" t="s">
        <v>6</v>
      </c>
      <c r="N11" s="20"/>
      <c r="O11" s="20"/>
      <c r="P11" s="20"/>
      <c r="Q11" s="20"/>
      <c r="R11" s="20"/>
      <c r="S11" s="20"/>
      <c r="T11" s="20"/>
      <c r="U11" s="20"/>
      <c r="V11" s="20"/>
      <c r="W11" s="20" t="s">
        <v>45</v>
      </c>
      <c r="X11" s="20"/>
      <c r="Y11" s="20"/>
      <c r="Z11" s="20"/>
      <c r="AA11" s="20"/>
      <c r="AB11" s="20"/>
      <c r="AC11" s="20"/>
      <c r="AD11" s="20"/>
      <c r="AE11" s="20"/>
      <c r="AF11" s="20"/>
      <c r="AG11" s="20" t="s">
        <v>46</v>
      </c>
      <c r="AH11" s="20"/>
      <c r="AI11" s="20"/>
      <c r="AJ11" s="20"/>
      <c r="AK11" s="20"/>
      <c r="AL11" s="20"/>
      <c r="AM11" s="20"/>
      <c r="AN11" s="20"/>
      <c r="AO11" s="20"/>
      <c r="AP11" s="20"/>
      <c r="AQ11" s="20" t="s">
        <v>7</v>
      </c>
      <c r="AR11" s="20"/>
      <c r="AS11" s="20"/>
      <c r="AT11" s="20"/>
      <c r="AU11" s="20"/>
      <c r="AV11" s="20"/>
      <c r="AW11" s="20"/>
      <c r="AX11" s="20"/>
      <c r="AY11" s="20"/>
      <c r="AZ11" s="20"/>
    </row>
    <row r="12" spans="1:112" s="17" customFormat="1" ht="15" x14ac:dyDescent="0.15">
      <c r="A12" s="14"/>
      <c r="B12" s="15" t="s">
        <v>8</v>
      </c>
      <c r="C12" s="16">
        <v>407942.8</v>
      </c>
      <c r="D12" s="16">
        <v>415457.2</v>
      </c>
      <c r="E12" s="16">
        <v>82085.710000000006</v>
      </c>
      <c r="F12" s="16">
        <v>457342.8</v>
      </c>
      <c r="G12" s="16">
        <v>580987.5</v>
      </c>
      <c r="H12" s="16">
        <v>1083575</v>
      </c>
      <c r="I12" s="16">
        <v>1962500</v>
      </c>
      <c r="J12" s="16">
        <v>1058988</v>
      </c>
      <c r="K12" s="16">
        <v>2462500</v>
      </c>
      <c r="L12" s="16">
        <v>2287500</v>
      </c>
      <c r="M12" s="16">
        <v>308700</v>
      </c>
      <c r="N12" s="16">
        <v>186329</v>
      </c>
      <c r="O12" s="16">
        <v>101671</v>
      </c>
      <c r="P12" s="16">
        <v>108429</v>
      </c>
      <c r="Q12" s="16">
        <v>97057</v>
      </c>
      <c r="R12" s="16">
        <v>104914</v>
      </c>
      <c r="S12" s="16">
        <v>210814</v>
      </c>
      <c r="T12" s="16">
        <v>73329</v>
      </c>
      <c r="U12" s="16">
        <v>94414</v>
      </c>
      <c r="V12" s="16">
        <v>48529</v>
      </c>
      <c r="W12" s="16">
        <v>728125</v>
      </c>
      <c r="X12" s="16">
        <v>2137500</v>
      </c>
      <c r="Y12" s="16">
        <v>215700</v>
      </c>
      <c r="Z12" s="16">
        <v>414862.5</v>
      </c>
      <c r="AA12" s="16"/>
      <c r="AB12" s="16"/>
      <c r="AC12" s="16"/>
      <c r="AD12" s="16"/>
      <c r="AE12" s="16"/>
      <c r="AF12" s="16"/>
      <c r="AG12" s="16">
        <v>52886</v>
      </c>
      <c r="AH12" s="16">
        <v>56400</v>
      </c>
      <c r="AI12" s="16">
        <v>121071</v>
      </c>
      <c r="AJ12" s="16">
        <v>231086</v>
      </c>
      <c r="AK12" s="16">
        <v>157114</v>
      </c>
      <c r="AL12" s="16">
        <v>43386</v>
      </c>
      <c r="AM12" s="16">
        <v>77700</v>
      </c>
      <c r="AN12" s="16">
        <v>93457</v>
      </c>
      <c r="AO12" s="16">
        <v>137057</v>
      </c>
      <c r="AP12" s="16">
        <v>49286</v>
      </c>
      <c r="AQ12" s="16">
        <v>15310</v>
      </c>
      <c r="AR12" s="16">
        <v>35594</v>
      </c>
      <c r="AS12" s="16">
        <v>35545</v>
      </c>
      <c r="AT12" s="16">
        <v>43519</v>
      </c>
      <c r="AU12" s="16">
        <v>36213</v>
      </c>
      <c r="AV12" s="16"/>
      <c r="AW12" s="16"/>
      <c r="AX12" s="16"/>
      <c r="AY12" s="16"/>
      <c r="AZ12" s="16"/>
    </row>
    <row r="13" spans="1:112" s="17" customFormat="1" ht="13" x14ac:dyDescent="0.15">
      <c r="A13" s="14"/>
      <c r="B13" s="15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</row>
    <row r="14" spans="1:112" x14ac:dyDescent="0.2">
      <c r="B14" s="7"/>
      <c r="C14" s="20" t="s">
        <v>2</v>
      </c>
      <c r="D14" s="20"/>
      <c r="E14" s="20"/>
      <c r="F14" s="20"/>
      <c r="G14" s="20"/>
      <c r="H14" s="20"/>
      <c r="I14" s="20"/>
      <c r="J14" s="20"/>
      <c r="K14" s="20"/>
      <c r="L14" s="20"/>
      <c r="M14" s="20" t="s">
        <v>6</v>
      </c>
      <c r="N14" s="20"/>
      <c r="O14" s="20"/>
      <c r="P14" s="20"/>
      <c r="Q14" s="20"/>
      <c r="R14" s="20"/>
      <c r="S14" s="20"/>
      <c r="T14" s="20"/>
      <c r="U14" s="20"/>
      <c r="V14" s="20"/>
      <c r="W14" s="20" t="s">
        <v>12</v>
      </c>
      <c r="X14" s="20"/>
      <c r="Y14" s="20"/>
      <c r="Z14" s="20"/>
      <c r="AA14" s="20"/>
      <c r="AB14" s="20"/>
      <c r="AC14" s="20"/>
      <c r="AD14" s="20"/>
      <c r="AE14" s="20"/>
      <c r="AF14" s="20"/>
      <c r="AG14" s="20" t="s">
        <v>13</v>
      </c>
      <c r="AH14" s="20"/>
      <c r="AI14" s="20"/>
      <c r="AJ14" s="20"/>
      <c r="AK14" s="20"/>
      <c r="AL14" s="20"/>
      <c r="AM14" s="20"/>
      <c r="AN14" s="20"/>
      <c r="AO14" s="20"/>
      <c r="AP14" s="20"/>
      <c r="AQ14" s="20" t="s">
        <v>7</v>
      </c>
      <c r="AR14" s="20"/>
      <c r="AS14" s="20"/>
      <c r="AT14" s="20"/>
      <c r="AU14" s="20"/>
      <c r="AV14" s="20"/>
      <c r="AW14" s="20"/>
      <c r="AX14" s="20"/>
      <c r="AY14" s="20"/>
      <c r="AZ14" s="20"/>
    </row>
    <row r="15" spans="1:112" x14ac:dyDescent="0.2">
      <c r="B15" s="8" t="s">
        <v>11</v>
      </c>
      <c r="C15" s="6">
        <v>5800</v>
      </c>
      <c r="D15" s="6">
        <v>4129</v>
      </c>
      <c r="E15" s="6">
        <v>4043</v>
      </c>
      <c r="F15" s="6">
        <v>4200</v>
      </c>
      <c r="G15" s="6">
        <v>8014</v>
      </c>
      <c r="H15" s="6">
        <v>2529</v>
      </c>
      <c r="I15" s="6">
        <v>3729</v>
      </c>
      <c r="J15" s="6">
        <v>5986</v>
      </c>
      <c r="K15" s="6">
        <v>3886</v>
      </c>
      <c r="L15" s="6">
        <v>5229</v>
      </c>
      <c r="M15" s="6">
        <v>4571.4290000000001</v>
      </c>
      <c r="N15" s="6">
        <v>53900</v>
      </c>
      <c r="O15" s="6">
        <v>7400</v>
      </c>
      <c r="P15" s="6">
        <v>12100</v>
      </c>
      <c r="Q15" s="6">
        <v>2228.5720000000001</v>
      </c>
      <c r="R15" s="6">
        <v>9600</v>
      </c>
      <c r="S15" s="6">
        <v>131200</v>
      </c>
      <c r="T15" s="6"/>
      <c r="U15" s="6"/>
      <c r="V15" s="6"/>
      <c r="W15" s="6">
        <v>1729</v>
      </c>
      <c r="X15" s="6">
        <v>3329</v>
      </c>
      <c r="Y15" s="6">
        <v>2871</v>
      </c>
      <c r="Z15" s="6">
        <v>3786</v>
      </c>
      <c r="AA15" s="6">
        <v>1157</v>
      </c>
      <c r="AB15" s="6">
        <v>2429</v>
      </c>
      <c r="AC15" s="6">
        <v>2600</v>
      </c>
      <c r="AD15" s="6">
        <v>4557</v>
      </c>
      <c r="AE15" s="6">
        <v>5043</v>
      </c>
      <c r="AF15" s="6">
        <v>3029</v>
      </c>
      <c r="AG15" s="6">
        <v>1343</v>
      </c>
      <c r="AH15" s="6">
        <v>1986</v>
      </c>
      <c r="AI15" s="6">
        <v>2314</v>
      </c>
      <c r="AJ15" s="6">
        <v>1929</v>
      </c>
      <c r="AK15" s="6">
        <v>2200</v>
      </c>
      <c r="AL15" s="6">
        <v>3014</v>
      </c>
      <c r="AM15" s="6">
        <v>3314</v>
      </c>
      <c r="AN15" s="6">
        <v>3100</v>
      </c>
      <c r="AO15" s="6">
        <v>3443</v>
      </c>
      <c r="AP15" s="6">
        <v>3071</v>
      </c>
      <c r="AQ15" s="6">
        <v>376</v>
      </c>
      <c r="AR15" s="6">
        <v>495</v>
      </c>
      <c r="AS15" s="6">
        <v>451</v>
      </c>
      <c r="AT15" s="6">
        <v>402</v>
      </c>
      <c r="AU15" s="6">
        <v>600</v>
      </c>
      <c r="AV15" s="6"/>
      <c r="AW15" s="6"/>
      <c r="AX15" s="6"/>
      <c r="AY15" s="6"/>
      <c r="AZ15" s="6"/>
    </row>
    <row r="16" spans="1:112" x14ac:dyDescent="0.2">
      <c r="B16" s="8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</row>
    <row r="17" spans="1:52" s="19" customFormat="1" ht="13" x14ac:dyDescent="0.15">
      <c r="A17" s="9"/>
      <c r="B17" s="20" t="s">
        <v>2</v>
      </c>
      <c r="C17" s="20"/>
      <c r="D17" s="20"/>
      <c r="E17" s="20"/>
      <c r="F17" s="20"/>
      <c r="G17" s="20"/>
      <c r="H17" s="20"/>
      <c r="I17" s="20"/>
      <c r="J17" s="20"/>
      <c r="K17" s="20"/>
      <c r="L17" s="20" t="s">
        <v>6</v>
      </c>
      <c r="M17" s="20"/>
      <c r="N17" s="20"/>
      <c r="O17" s="20"/>
      <c r="P17" s="20"/>
      <c r="Q17" s="20"/>
      <c r="R17" s="20"/>
      <c r="S17" s="20"/>
      <c r="T17" s="20"/>
      <c r="U17" s="20"/>
      <c r="V17" s="20" t="s">
        <v>45</v>
      </c>
      <c r="W17" s="20"/>
      <c r="X17" s="20"/>
      <c r="Y17" s="20"/>
      <c r="Z17" s="20"/>
      <c r="AA17" s="20"/>
      <c r="AB17" s="20"/>
      <c r="AC17" s="20"/>
      <c r="AD17" s="20"/>
      <c r="AE17" s="20"/>
      <c r="AF17" s="20" t="s">
        <v>46</v>
      </c>
      <c r="AG17" s="20"/>
      <c r="AH17" s="20"/>
      <c r="AI17" s="20"/>
      <c r="AJ17" s="20"/>
      <c r="AK17" s="20"/>
      <c r="AL17" s="20"/>
      <c r="AM17" s="20"/>
      <c r="AN17" s="20"/>
      <c r="AO17" s="20"/>
      <c r="AP17" s="20" t="s">
        <v>7</v>
      </c>
      <c r="AQ17" s="20"/>
      <c r="AR17" s="20"/>
      <c r="AS17" s="20"/>
      <c r="AT17" s="20"/>
      <c r="AU17" s="20"/>
      <c r="AV17" s="20"/>
      <c r="AW17" s="20"/>
      <c r="AX17" s="20"/>
      <c r="AY17" s="20"/>
    </row>
    <row r="18" spans="1:52" s="17" customFormat="1" ht="13" x14ac:dyDescent="0.15">
      <c r="B18" s="15" t="s">
        <v>14</v>
      </c>
      <c r="C18" s="16">
        <v>28.571429999999999</v>
      </c>
      <c r="D18" s="16">
        <v>485.71429999999998</v>
      </c>
      <c r="E18" s="16">
        <v>828.57140000000004</v>
      </c>
      <c r="F18" s="16">
        <v>0</v>
      </c>
      <c r="G18" s="16">
        <v>185.71430000000001</v>
      </c>
      <c r="H18" s="16">
        <v>2614.2860000000001</v>
      </c>
      <c r="I18" s="16"/>
      <c r="J18" s="16"/>
      <c r="K18" s="16"/>
      <c r="L18" s="16"/>
      <c r="M18" s="16">
        <v>185.71430000000001</v>
      </c>
      <c r="N18" s="16">
        <v>4871.4290000000001</v>
      </c>
      <c r="O18" s="16">
        <v>600</v>
      </c>
      <c r="P18" s="16">
        <v>414.28570000000002</v>
      </c>
      <c r="Q18" s="16">
        <v>285.71429999999998</v>
      </c>
      <c r="R18" s="16">
        <v>1100</v>
      </c>
      <c r="S18" s="16"/>
      <c r="T18" s="16"/>
      <c r="U18" s="16"/>
      <c r="V18" s="16"/>
      <c r="W18" s="16">
        <v>3743</v>
      </c>
      <c r="X18" s="16">
        <v>7214</v>
      </c>
      <c r="Y18" s="16">
        <v>6257</v>
      </c>
      <c r="Z18" s="16">
        <v>3871</v>
      </c>
      <c r="AA18" s="16">
        <v>2643</v>
      </c>
      <c r="AB18" s="16">
        <v>6429</v>
      </c>
      <c r="AC18" s="16">
        <v>7800</v>
      </c>
      <c r="AD18" s="16">
        <v>13400</v>
      </c>
      <c r="AE18" s="16">
        <v>8829</v>
      </c>
      <c r="AF18" s="16">
        <v>6757</v>
      </c>
      <c r="AG18" s="16">
        <v>6000</v>
      </c>
      <c r="AH18" s="16">
        <v>5586</v>
      </c>
      <c r="AI18" s="16">
        <v>8057</v>
      </c>
      <c r="AJ18" s="16">
        <v>7400</v>
      </c>
      <c r="AK18" s="16">
        <v>5086</v>
      </c>
      <c r="AL18" s="16">
        <v>8200</v>
      </c>
      <c r="AM18" s="16">
        <v>6729</v>
      </c>
      <c r="AN18" s="16">
        <v>8357</v>
      </c>
      <c r="AO18" s="16">
        <v>6486</v>
      </c>
      <c r="AP18" s="16"/>
      <c r="AQ18" s="16">
        <v>22</v>
      </c>
      <c r="AR18" s="16">
        <v>181</v>
      </c>
      <c r="AS18" s="16">
        <v>28</v>
      </c>
      <c r="AT18" s="16">
        <v>26</v>
      </c>
      <c r="AU18" s="16">
        <v>76</v>
      </c>
      <c r="AV18" s="16"/>
      <c r="AW18" s="16"/>
      <c r="AX18" s="16"/>
      <c r="AY18" s="16"/>
      <c r="AZ18" s="16"/>
    </row>
    <row r="19" spans="1:52" x14ac:dyDescent="0.2">
      <c r="B19" s="8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</row>
    <row r="20" spans="1:52" x14ac:dyDescent="0.2">
      <c r="A20" s="2" t="s">
        <v>1</v>
      </c>
      <c r="B20" s="5"/>
      <c r="C20" s="21" t="s">
        <v>2</v>
      </c>
      <c r="D20" s="21"/>
      <c r="E20" s="21"/>
      <c r="F20" s="21"/>
      <c r="G20" s="21"/>
      <c r="H20" s="21"/>
      <c r="I20" s="21"/>
      <c r="J20" s="21"/>
      <c r="K20" s="21"/>
      <c r="L20" s="21"/>
      <c r="M20" s="21" t="s">
        <v>15</v>
      </c>
      <c r="N20" s="21"/>
      <c r="O20" s="21"/>
      <c r="P20" s="21"/>
      <c r="Q20" s="21"/>
      <c r="R20" s="21"/>
      <c r="S20" s="21"/>
      <c r="T20" s="21"/>
      <c r="U20" s="21"/>
      <c r="V20" s="21"/>
      <c r="W20" s="21" t="s">
        <v>16</v>
      </c>
      <c r="X20" s="21"/>
      <c r="Y20" s="21"/>
      <c r="Z20" s="21"/>
      <c r="AA20" s="21"/>
      <c r="AB20" s="21"/>
      <c r="AC20" s="21"/>
      <c r="AD20" s="21"/>
      <c r="AE20" s="21"/>
      <c r="AF20" s="21"/>
      <c r="AG20" s="21" t="s">
        <v>17</v>
      </c>
      <c r="AH20" s="21"/>
      <c r="AI20" s="21"/>
      <c r="AJ20" s="21"/>
      <c r="AK20" s="21"/>
      <c r="AL20" s="21"/>
      <c r="AM20" s="21"/>
      <c r="AN20" s="21"/>
      <c r="AO20" s="21"/>
      <c r="AP20" s="21"/>
    </row>
    <row r="21" spans="1:52" ht="18" x14ac:dyDescent="0.2">
      <c r="B21" s="13" t="s">
        <v>44</v>
      </c>
      <c r="C21" s="3">
        <v>19.600000000000001</v>
      </c>
      <c r="D21" s="3">
        <v>23.7</v>
      </c>
      <c r="E21" s="3">
        <v>22.6</v>
      </c>
      <c r="F21" s="3">
        <v>34.4</v>
      </c>
      <c r="G21" s="3">
        <v>7.58</v>
      </c>
      <c r="H21" s="3">
        <v>19.600000000000001</v>
      </c>
      <c r="I21" s="3">
        <v>11.8</v>
      </c>
      <c r="J21" s="3">
        <v>21</v>
      </c>
      <c r="K21" s="3">
        <v>23.1</v>
      </c>
      <c r="M21" s="3">
        <v>4.9400000000000004</v>
      </c>
      <c r="N21" s="3">
        <v>2.2000000000000002</v>
      </c>
      <c r="O21" s="3">
        <v>0.93500000000000005</v>
      </c>
      <c r="P21" s="3">
        <v>0.98499999999999999</v>
      </c>
      <c r="Q21" s="3">
        <v>0.91700000000000004</v>
      </c>
      <c r="R21" s="3">
        <v>0.83699999999999997</v>
      </c>
      <c r="S21" s="3">
        <v>1.31</v>
      </c>
      <c r="T21" s="3">
        <v>0.88800000000000001</v>
      </c>
      <c r="U21" s="3">
        <v>1.07</v>
      </c>
      <c r="V21" s="3">
        <v>0.54100000000000004</v>
      </c>
      <c r="W21" s="3">
        <v>2.97</v>
      </c>
      <c r="X21" s="3">
        <v>0.623</v>
      </c>
      <c r="Y21" s="3">
        <v>3.28</v>
      </c>
      <c r="Z21" s="3">
        <v>1.36</v>
      </c>
      <c r="AA21" s="3">
        <v>1.36</v>
      </c>
      <c r="AB21" s="3">
        <v>0.79900000000000004</v>
      </c>
      <c r="AC21" s="3">
        <v>1.02</v>
      </c>
      <c r="AD21" s="3">
        <v>0.82699999999999996</v>
      </c>
      <c r="AE21" s="3">
        <v>0.79900000000000004</v>
      </c>
      <c r="AF21" s="3"/>
      <c r="AG21" s="3">
        <v>24.3</v>
      </c>
      <c r="AH21" s="3">
        <v>35</v>
      </c>
      <c r="AI21" s="3">
        <v>1</v>
      </c>
      <c r="AJ21" s="3">
        <v>17.600000000000001</v>
      </c>
      <c r="AK21" s="3">
        <v>0.9</v>
      </c>
      <c r="AL21" s="3">
        <v>28</v>
      </c>
      <c r="AM21" s="3">
        <v>1.2</v>
      </c>
      <c r="AN21" s="3">
        <v>1.1000000000000001</v>
      </c>
      <c r="AO21" s="3">
        <v>39.6</v>
      </c>
      <c r="AP21" s="3">
        <v>1.5</v>
      </c>
    </row>
    <row r="22" spans="1:52" x14ac:dyDescent="0.2">
      <c r="B22" s="8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</row>
    <row r="23" spans="1:52" x14ac:dyDescent="0.2">
      <c r="A23" s="2" t="s">
        <v>43</v>
      </c>
      <c r="C23" t="s">
        <v>18</v>
      </c>
      <c r="I23" t="s">
        <v>18</v>
      </c>
    </row>
    <row r="24" spans="1:52" x14ac:dyDescent="0.2">
      <c r="B24" t="s">
        <v>19</v>
      </c>
      <c r="C24" t="s">
        <v>20</v>
      </c>
      <c r="D24" t="s">
        <v>21</v>
      </c>
      <c r="E24" t="s">
        <v>22</v>
      </c>
      <c r="H24" t="s">
        <v>19</v>
      </c>
      <c r="I24" t="s">
        <v>20</v>
      </c>
      <c r="J24" t="s">
        <v>21</v>
      </c>
      <c r="K24" t="s">
        <v>22</v>
      </c>
    </row>
    <row r="25" spans="1:52" x14ac:dyDescent="0.2">
      <c r="B25" s="10" t="s">
        <v>2</v>
      </c>
      <c r="H25" s="10" t="s">
        <v>3</v>
      </c>
    </row>
    <row r="26" spans="1:52" x14ac:dyDescent="0.2">
      <c r="B26" t="s">
        <v>23</v>
      </c>
      <c r="C26">
        <v>0.90200000000000002</v>
      </c>
      <c r="D26">
        <v>2.11</v>
      </c>
      <c r="E26">
        <v>75.900000000000006</v>
      </c>
      <c r="H26" t="s">
        <v>24</v>
      </c>
      <c r="I26">
        <v>0.46700000000000003</v>
      </c>
      <c r="J26">
        <v>0.627</v>
      </c>
      <c r="K26">
        <v>2.44</v>
      </c>
    </row>
    <row r="27" spans="1:52" x14ac:dyDescent="0.2">
      <c r="B27" t="s">
        <v>25</v>
      </c>
      <c r="C27">
        <v>1.4</v>
      </c>
      <c r="D27">
        <v>15.6</v>
      </c>
      <c r="E27">
        <v>81.2</v>
      </c>
      <c r="H27" t="s">
        <v>26</v>
      </c>
      <c r="I27">
        <v>0.55400000000000005</v>
      </c>
      <c r="J27">
        <v>0</v>
      </c>
      <c r="K27">
        <v>0</v>
      </c>
    </row>
    <row r="28" spans="1:52" x14ac:dyDescent="0.2">
      <c r="B28" t="s">
        <v>27</v>
      </c>
      <c r="C28">
        <v>0.89</v>
      </c>
      <c r="D28" s="11">
        <v>3.75</v>
      </c>
      <c r="E28" s="11">
        <v>85.2</v>
      </c>
      <c r="H28" t="s">
        <v>28</v>
      </c>
      <c r="I28">
        <v>0.28799999999999998</v>
      </c>
      <c r="J28">
        <v>2.84</v>
      </c>
      <c r="K28">
        <v>1.78</v>
      </c>
    </row>
    <row r="29" spans="1:52" x14ac:dyDescent="0.2">
      <c r="B29" s="12" t="s">
        <v>29</v>
      </c>
      <c r="C29" s="12">
        <f>AVERAGE(C26:C28)</f>
        <v>1.0640000000000001</v>
      </c>
      <c r="D29" s="12">
        <f t="shared" ref="D29:E29" si="0">AVERAGE(D26:D28)</f>
        <v>7.1533333333333333</v>
      </c>
      <c r="E29" s="12">
        <f t="shared" si="0"/>
        <v>80.766666666666666</v>
      </c>
      <c r="H29" t="s">
        <v>30</v>
      </c>
      <c r="I29">
        <v>0.82799999999999996</v>
      </c>
      <c r="J29">
        <v>2.48</v>
      </c>
      <c r="K29">
        <v>9.4700000000000006</v>
      </c>
    </row>
    <row r="30" spans="1:52" x14ac:dyDescent="0.2">
      <c r="B30" s="12" t="s">
        <v>31</v>
      </c>
      <c r="C30">
        <f>STDEV(C26:C28)</f>
        <v>0.2910463880552373</v>
      </c>
      <c r="D30">
        <f>STDEV(D26:D28)</f>
        <v>7.3608446073350384</v>
      </c>
      <c r="E30">
        <f t="shared" ref="E30" si="1">STDEV(E26:E28)</f>
        <v>4.665118790913402</v>
      </c>
      <c r="H30" t="s">
        <v>32</v>
      </c>
      <c r="I30" s="11">
        <v>0.39700000000000002</v>
      </c>
      <c r="J30" s="11">
        <v>0</v>
      </c>
      <c r="K30" s="11">
        <v>5.65</v>
      </c>
    </row>
    <row r="31" spans="1:52" x14ac:dyDescent="0.2">
      <c r="H31" s="12" t="s">
        <v>29</v>
      </c>
      <c r="I31" s="12">
        <f>AVERAGE(I26:I30)</f>
        <v>0.50679999999999992</v>
      </c>
      <c r="J31" s="12">
        <f t="shared" ref="J31:K31" si="2">AVERAGE(J26:J30)</f>
        <v>1.1893999999999998</v>
      </c>
      <c r="K31" s="12">
        <f t="shared" si="2"/>
        <v>3.8680000000000008</v>
      </c>
    </row>
    <row r="32" spans="1:52" x14ac:dyDescent="0.2">
      <c r="B32" s="10" t="s">
        <v>6</v>
      </c>
      <c r="H32" s="12" t="s">
        <v>31</v>
      </c>
      <c r="I32">
        <f>STDEV(I26:I30)</f>
        <v>0.2042735910488678</v>
      </c>
      <c r="J32">
        <f>STDEV(J26:J30)</f>
        <v>1.372567593963955</v>
      </c>
      <c r="K32">
        <f t="shared" ref="K32" si="3">STDEV(K26:K30)</f>
        <v>3.7389263164710798</v>
      </c>
    </row>
    <row r="33" spans="2:11" x14ac:dyDescent="0.2">
      <c r="B33" t="s">
        <v>33</v>
      </c>
      <c r="C33">
        <v>0.93700000000000006</v>
      </c>
      <c r="D33">
        <v>3.57</v>
      </c>
      <c r="E33">
        <v>77.5</v>
      </c>
    </row>
    <row r="34" spans="2:11" x14ac:dyDescent="0.2">
      <c r="B34" t="s">
        <v>34</v>
      </c>
      <c r="C34">
        <v>0.84199999999999997</v>
      </c>
      <c r="D34">
        <v>2.67</v>
      </c>
      <c r="E34">
        <v>60.9</v>
      </c>
      <c r="H34" s="10" t="s">
        <v>35</v>
      </c>
    </row>
    <row r="35" spans="2:11" x14ac:dyDescent="0.2">
      <c r="B35" t="s">
        <v>36</v>
      </c>
      <c r="C35">
        <v>1.49</v>
      </c>
      <c r="D35">
        <v>9.9</v>
      </c>
      <c r="E35">
        <v>85.2</v>
      </c>
      <c r="H35" t="s">
        <v>37</v>
      </c>
      <c r="I35">
        <v>0.70499999999999996</v>
      </c>
      <c r="J35">
        <v>1.05</v>
      </c>
      <c r="K35">
        <v>2.82</v>
      </c>
    </row>
    <row r="36" spans="2:11" x14ac:dyDescent="0.2">
      <c r="B36" t="s">
        <v>38</v>
      </c>
      <c r="C36">
        <v>1.68</v>
      </c>
      <c r="D36" s="11">
        <v>6.67</v>
      </c>
      <c r="E36" s="11">
        <v>90.7</v>
      </c>
      <c r="H36" t="s">
        <v>39</v>
      </c>
      <c r="I36">
        <v>0.82599999999999996</v>
      </c>
      <c r="J36">
        <v>4.78</v>
      </c>
      <c r="K36">
        <v>2.2400000000000002</v>
      </c>
    </row>
    <row r="37" spans="2:11" x14ac:dyDescent="0.2">
      <c r="B37" s="12" t="s">
        <v>29</v>
      </c>
      <c r="C37" s="12">
        <f>AVERAGE(C33:C36)</f>
        <v>1.23725</v>
      </c>
      <c r="D37" s="12">
        <f t="shared" ref="D37:E37" si="4">AVERAGE(D33:D36)</f>
        <v>5.7025000000000006</v>
      </c>
      <c r="E37" s="12">
        <f t="shared" si="4"/>
        <v>78.575000000000003</v>
      </c>
      <c r="H37" t="s">
        <v>40</v>
      </c>
      <c r="I37">
        <v>0.51500000000000001</v>
      </c>
      <c r="J37">
        <v>1.5</v>
      </c>
      <c r="K37">
        <v>3.67</v>
      </c>
    </row>
    <row r="38" spans="2:11" x14ac:dyDescent="0.2">
      <c r="B38" s="12" t="s">
        <v>31</v>
      </c>
      <c r="C38">
        <f>STDEV(C33:C36)</f>
        <v>0.4108052052575123</v>
      </c>
      <c r="D38">
        <f>STDEV(D33:D36)</f>
        <v>3.2811926185458833</v>
      </c>
      <c r="E38">
        <f>STDEV(E33:E36)</f>
        <v>12.967491404791126</v>
      </c>
      <c r="H38" t="s">
        <v>41</v>
      </c>
      <c r="I38">
        <v>0.53700000000000003</v>
      </c>
      <c r="J38">
        <v>4.83</v>
      </c>
      <c r="K38">
        <v>3.75</v>
      </c>
    </row>
    <row r="39" spans="2:11" x14ac:dyDescent="0.2">
      <c r="H39" t="s">
        <v>42</v>
      </c>
      <c r="I39" s="11">
        <v>0.68899999999999995</v>
      </c>
      <c r="J39" s="11">
        <v>8.01</v>
      </c>
      <c r="K39" s="11">
        <v>4.5599999999999996</v>
      </c>
    </row>
    <row r="40" spans="2:11" x14ac:dyDescent="0.2">
      <c r="H40" s="12" t="s">
        <v>29</v>
      </c>
      <c r="I40" s="12">
        <f>AVERAGE(I35:I39)</f>
        <v>0.65439999999999998</v>
      </c>
      <c r="J40" s="12">
        <f t="shared" ref="J40:K40" si="5">AVERAGE(J35:J39)</f>
        <v>4.0340000000000007</v>
      </c>
      <c r="K40" s="12">
        <f t="shared" si="5"/>
        <v>3.4079999999999999</v>
      </c>
    </row>
    <row r="41" spans="2:11" x14ac:dyDescent="0.2">
      <c r="H41" s="12" t="s">
        <v>31</v>
      </c>
      <c r="I41">
        <f>STDEV(I35:I39)</f>
        <v>0.12885961353348835</v>
      </c>
      <c r="J41">
        <f t="shared" ref="J41:K41" si="6">STDEV(J35:J39)</f>
        <v>2.8427152513046385</v>
      </c>
      <c r="K41">
        <f t="shared" si="6"/>
        <v>0.89759122099093691</v>
      </c>
    </row>
    <row r="43" spans="2:11" x14ac:dyDescent="0.2">
      <c r="C43" s="4"/>
    </row>
    <row r="44" spans="2:11" x14ac:dyDescent="0.2">
      <c r="C44" s="4"/>
    </row>
  </sheetData>
  <mergeCells count="34">
    <mergeCell ref="AQ2:AZ2"/>
    <mergeCell ref="C2:L2"/>
    <mergeCell ref="M2:V2"/>
    <mergeCell ref="AQ14:AZ14"/>
    <mergeCell ref="AG5:AP5"/>
    <mergeCell ref="W5:AF5"/>
    <mergeCell ref="AQ5:AZ5"/>
    <mergeCell ref="C14:L14"/>
    <mergeCell ref="M14:V14"/>
    <mergeCell ref="W14:AF14"/>
    <mergeCell ref="AG14:AP14"/>
    <mergeCell ref="C5:L5"/>
    <mergeCell ref="M5:V5"/>
    <mergeCell ref="AG11:AP11"/>
    <mergeCell ref="AQ8:AZ8"/>
    <mergeCell ref="C11:L11"/>
    <mergeCell ref="AG20:AP20"/>
    <mergeCell ref="C20:L20"/>
    <mergeCell ref="M20:V20"/>
    <mergeCell ref="W20:AF20"/>
    <mergeCell ref="AG2:AP2"/>
    <mergeCell ref="W2:AF2"/>
    <mergeCell ref="M11:V11"/>
    <mergeCell ref="W11:AF11"/>
    <mergeCell ref="C8:L8"/>
    <mergeCell ref="M8:V8"/>
    <mergeCell ref="W8:AF8"/>
    <mergeCell ref="AG8:AP8"/>
    <mergeCell ref="AP17:AY17"/>
    <mergeCell ref="AQ11:AZ11"/>
    <mergeCell ref="B17:K17"/>
    <mergeCell ref="L17:U17"/>
    <mergeCell ref="V17:AE17"/>
    <mergeCell ref="AF17:AO1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2107DE4827054C9C9E13A6647D5DFB" ma:contentTypeVersion="13" ma:contentTypeDescription="Create a new document." ma:contentTypeScope="" ma:versionID="a28a8032c1965d79bbd8cf5b2226d86b">
  <xsd:schema xmlns:xsd="http://www.w3.org/2001/XMLSchema" xmlns:xs="http://www.w3.org/2001/XMLSchema" xmlns:p="http://schemas.microsoft.com/office/2006/metadata/properties" xmlns:ns3="04ab8c66-11e7-4e03-be49-f4ab47747570" xmlns:ns4="46755e5f-f6fe-4ac3-a85f-c24df68c77d3" targetNamespace="http://schemas.microsoft.com/office/2006/metadata/properties" ma:root="true" ma:fieldsID="2d78e2ffd9e6dd54e3403478bbb613ef" ns3:_="" ns4:_="">
    <xsd:import namespace="04ab8c66-11e7-4e03-be49-f4ab47747570"/>
    <xsd:import namespace="46755e5f-f6fe-4ac3-a85f-c24df68c77d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ab8c66-11e7-4e03-be49-f4ab477475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755e5f-f6fe-4ac3-a85f-c24df68c77d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651C34E-6BA9-4F0B-8734-573BE31F930E}">
  <ds:schemaRefs>
    <ds:schemaRef ds:uri="http://schemas.microsoft.com/office/2006/documentManagement/types"/>
    <ds:schemaRef ds:uri="http://purl.org/dc/terms/"/>
    <ds:schemaRef ds:uri="http://purl.org/dc/dcmitype/"/>
    <ds:schemaRef ds:uri="http://schemas.microsoft.com/office/2006/metadata/properties"/>
    <ds:schemaRef ds:uri="http://schemas.openxmlformats.org/package/2006/metadata/core-properties"/>
    <ds:schemaRef ds:uri="46755e5f-f6fe-4ac3-a85f-c24df68c77d3"/>
    <ds:schemaRef ds:uri="04ab8c66-11e7-4e03-be49-f4ab47747570"/>
    <ds:schemaRef ds:uri="http://schemas.microsoft.com/office/infopath/2007/PartnerControls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7E696D43-9935-42EA-9CE2-F077C821AF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ab8c66-11e7-4e03-be49-f4ab47747570"/>
    <ds:schemaRef ds:uri="46755e5f-f6fe-4ac3-a85f-c24df68c77d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97CB7DB-C486-4D14-99A1-52E4893B0CF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Perry, John, M PhD</dc:creator>
  <cp:lastModifiedBy>Perry, John, M PhD</cp:lastModifiedBy>
  <dcterms:created xsi:type="dcterms:W3CDTF">2020-01-30T15:48:58Z</dcterms:created>
  <dcterms:modified xsi:type="dcterms:W3CDTF">2020-03-09T19:09:03Z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0x010100EC2107DE4827054C9C9E13A6647D5DFB</vt:lpwstr>
  </property>
</Properties>
</file>